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INERG~1\AppData\Local\Temp\"/>
    </mc:Choice>
  </mc:AlternateContent>
  <xr:revisionPtr revIDLastSave="0" documentId="13_ncr:1_{0F84F204-B192-48E4-A75B-4361A8EDD873}" xr6:coauthVersionLast="47" xr6:coauthVersionMax="47" xr10:uidLastSave="{00000000-0000-0000-0000-000000000000}"/>
  <bookViews>
    <workbookView xWindow="38280" yWindow="-120" windowWidth="29040" windowHeight="15720" firstSheet="1" activeTab="1" xr2:uid="{00000000-000D-0000-FFFF-FFFF00000000}"/>
  </bookViews>
  <sheets>
    <sheet name="Proyecto" sheetId="1" state="hidden" r:id="rId1"/>
    <sheet name="Servicios y fibra" sheetId="12" r:id="rId2"/>
    <sheet name="Resumen" sheetId="2" r:id="rId3"/>
    <sheet name="Catalogo" sheetId="3" r:id="rId4"/>
    <sheet name="MUESTRA PISO" sheetId="4" r:id="rId5"/>
    <sheet name="MUESTRA GABINETE" sheetId="5" r:id="rId6"/>
    <sheet name="MUESTRA PARED" sheetId="6" r:id="rId7"/>
    <sheet name="INICIO_TR" sheetId="7" r:id="rId8"/>
    <sheet name="TR-01" sheetId="8" r:id="rId9"/>
    <sheet name="FIN_TR" sheetId="9" r:id="rId10"/>
    <sheet name="Revisiones" sheetId="10" r:id="rId11"/>
    <sheet name="listas" sheetId="11" r:id="rId12"/>
  </sheets>
  <definedNames>
    <definedName name="_xlnm.Print_Area" localSheetId="5">'MUESTRA GABINETE'!$A$1:$X$182</definedName>
    <definedName name="_xlnm.Print_Area" localSheetId="6">'MUESTRA PARED'!$A$1:$X$182</definedName>
    <definedName name="_xlnm.Print_Area" localSheetId="4">'MUESTRA PISO'!$A$1:$X$182</definedName>
    <definedName name="_xlnm.Print_Area" localSheetId="8">'TR-01'!$A$1:$X$182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0" l="1"/>
  <c r="B77" i="12"/>
  <c r="B76" i="12"/>
  <c r="B75" i="12"/>
  <c r="B74" i="12"/>
  <c r="B73" i="12"/>
  <c r="B72" i="12"/>
  <c r="B71" i="12"/>
  <c r="B70" i="12"/>
  <c r="E65" i="12"/>
  <c r="C65" i="12"/>
  <c r="B65" i="12"/>
  <c r="E64" i="12"/>
  <c r="C64" i="12"/>
  <c r="B64" i="12"/>
  <c r="E63" i="12"/>
  <c r="C63" i="12"/>
  <c r="B63" i="12"/>
  <c r="E62" i="12"/>
  <c r="C62" i="12"/>
  <c r="B62" i="12"/>
  <c r="E61" i="12"/>
  <c r="C61" i="12"/>
  <c r="B61" i="12"/>
  <c r="E60" i="12"/>
  <c r="C60" i="12"/>
  <c r="B60" i="12"/>
  <c r="E59" i="12"/>
  <c r="C59" i="12"/>
  <c r="B59" i="12"/>
  <c r="E58" i="12"/>
  <c r="C58" i="12"/>
  <c r="B58" i="12"/>
  <c r="E57" i="12"/>
  <c r="C57" i="12"/>
  <c r="B57" i="12"/>
  <c r="E56" i="12"/>
  <c r="C56" i="12"/>
  <c r="B56" i="12"/>
  <c r="K51" i="12"/>
  <c r="J51" i="12"/>
  <c r="I51" i="12"/>
  <c r="H51" i="12"/>
  <c r="G51" i="12"/>
  <c r="F51" i="12"/>
  <c r="E51" i="12"/>
  <c r="D51" i="12"/>
  <c r="L50" i="12"/>
  <c r="M50" i="12" s="1"/>
  <c r="D65" i="12" s="1"/>
  <c r="C50" i="12"/>
  <c r="B50" i="12"/>
  <c r="L49" i="12"/>
  <c r="M49" i="12" s="1"/>
  <c r="D64" i="12" s="1"/>
  <c r="C49" i="12"/>
  <c r="B49" i="12"/>
  <c r="L48" i="12"/>
  <c r="M48" i="12" s="1"/>
  <c r="D63" i="12" s="1"/>
  <c r="C48" i="12"/>
  <c r="B48" i="12"/>
  <c r="L47" i="12"/>
  <c r="M47" i="12" s="1"/>
  <c r="D62" i="12" s="1"/>
  <c r="C47" i="12"/>
  <c r="B47" i="12"/>
  <c r="L46" i="12"/>
  <c r="M46" i="12" s="1"/>
  <c r="D61" i="12" s="1"/>
  <c r="C46" i="12"/>
  <c r="B46" i="12"/>
  <c r="L45" i="12"/>
  <c r="M45" i="12" s="1"/>
  <c r="D60" i="12" s="1"/>
  <c r="C45" i="12"/>
  <c r="B45" i="12"/>
  <c r="L44" i="12"/>
  <c r="M44" i="12" s="1"/>
  <c r="D59" i="12" s="1"/>
  <c r="C44" i="12"/>
  <c r="B44" i="12"/>
  <c r="L43" i="12"/>
  <c r="M43" i="12" s="1"/>
  <c r="D58" i="12" s="1"/>
  <c r="C43" i="12"/>
  <c r="B43" i="12"/>
  <c r="L42" i="12"/>
  <c r="M42" i="12" s="1"/>
  <c r="D57" i="12" s="1"/>
  <c r="C42" i="12"/>
  <c r="B42" i="12"/>
  <c r="L41" i="12"/>
  <c r="C41" i="12"/>
  <c r="B41" i="12"/>
  <c r="K40" i="12"/>
  <c r="J40" i="12"/>
  <c r="I40" i="12"/>
  <c r="H40" i="12"/>
  <c r="G40" i="12"/>
  <c r="F40" i="12"/>
  <c r="E40" i="12"/>
  <c r="D40" i="12"/>
  <c r="G24" i="12"/>
  <c r="C24" i="12"/>
  <c r="B24" i="12"/>
  <c r="G23" i="12"/>
  <c r="C23" i="12"/>
  <c r="B23" i="12"/>
  <c r="G22" i="12"/>
  <c r="C22" i="12"/>
  <c r="B22" i="12"/>
  <c r="G21" i="12"/>
  <c r="C21" i="12"/>
  <c r="B21" i="12"/>
  <c r="G20" i="12"/>
  <c r="C20" i="12"/>
  <c r="B20" i="12"/>
  <c r="G19" i="12"/>
  <c r="C19" i="12"/>
  <c r="B19" i="12"/>
  <c r="G18" i="12"/>
  <c r="C18" i="12"/>
  <c r="B18" i="12"/>
  <c r="G17" i="12"/>
  <c r="C17" i="12"/>
  <c r="B17" i="12"/>
  <c r="G16" i="12"/>
  <c r="C16" i="12"/>
  <c r="B16" i="12"/>
  <c r="G15" i="12"/>
  <c r="C15" i="12"/>
  <c r="B15" i="12"/>
  <c r="C12" i="12"/>
  <c r="BJ28" i="6" a="1"/>
  <c r="BJ27" i="6" a="1"/>
  <c r="BJ26" i="6" a="1"/>
  <c r="BJ25" i="6" a="1"/>
  <c r="BJ24" i="6" a="1"/>
  <c r="BJ23" i="6" a="1"/>
  <c r="BJ22" i="6" a="1"/>
  <c r="BJ21" i="6" a="1"/>
  <c r="BJ20" i="6" a="1"/>
  <c r="BJ19" i="6" a="1"/>
  <c r="BJ18" i="6" a="1"/>
  <c r="BJ17" i="6" a="1"/>
  <c r="BJ16" i="6" a="1"/>
  <c r="BJ15" i="6" a="1"/>
  <c r="BJ14" i="6" a="1"/>
  <c r="BJ13" i="6" a="1"/>
  <c r="CD179" i="6" a="1"/>
  <c r="CC179" i="6" a="1"/>
  <c r="CB179" i="6" a="1"/>
  <c r="CA179" i="6" a="1"/>
  <c r="CD178" i="6" a="1"/>
  <c r="CC178" i="6" a="1"/>
  <c r="CB178" i="6" a="1"/>
  <c r="CA178" i="6" a="1"/>
  <c r="CD177" i="6" a="1"/>
  <c r="CC177" i="6" a="1"/>
  <c r="CB177" i="6" a="1"/>
  <c r="CA177" i="6" a="1"/>
  <c r="CD176" i="6" a="1"/>
  <c r="CC176" i="6" a="1"/>
  <c r="CB176" i="6" a="1"/>
  <c r="CA176" i="6" a="1"/>
  <c r="CD175" i="6" a="1"/>
  <c r="CC175" i="6" a="1"/>
  <c r="CB175" i="6" a="1"/>
  <c r="CA175" i="6" a="1"/>
  <c r="CD174" i="6" a="1"/>
  <c r="CC174" i="6" a="1"/>
  <c r="CB174" i="6" a="1"/>
  <c r="CA174" i="6" a="1"/>
  <c r="CD173" i="6" a="1"/>
  <c r="CC173" i="6" a="1"/>
  <c r="CB173" i="6" a="1"/>
  <c r="CA173" i="6" a="1"/>
  <c r="CD172" i="6" a="1"/>
  <c r="CC172" i="6" a="1"/>
  <c r="CB172" i="6" a="1"/>
  <c r="CA172" i="6" a="1"/>
  <c r="CD171" i="6" a="1"/>
  <c r="CC171" i="6" a="1"/>
  <c r="CB171" i="6" a="1"/>
  <c r="CA171" i="6" a="1"/>
  <c r="CD170" i="6" a="1"/>
  <c r="CC170" i="6" a="1"/>
  <c r="CB170" i="6" a="1"/>
  <c r="CA170" i="6" a="1"/>
  <c r="CD169" i="6" a="1"/>
  <c r="CC169" i="6" a="1"/>
  <c r="CB169" i="6" a="1"/>
  <c r="CA169" i="6" a="1"/>
  <c r="CD168" i="6" a="1"/>
  <c r="CC168" i="6" a="1"/>
  <c r="CB168" i="6" a="1"/>
  <c r="CA168" i="6" a="1"/>
  <c r="CD167" i="6" a="1"/>
  <c r="CC167" i="6" a="1"/>
  <c r="CB167" i="6" a="1"/>
  <c r="CA167" i="6" a="1"/>
  <c r="CD166" i="6" a="1"/>
  <c r="CC166" i="6" a="1"/>
  <c r="CB166" i="6" a="1"/>
  <c r="CA166" i="6" a="1"/>
  <c r="CD165" i="6" a="1"/>
  <c r="CC165" i="6" a="1"/>
  <c r="CB165" i="6" a="1"/>
  <c r="CA165" i="6" a="1"/>
  <c r="CD164" i="6" a="1"/>
  <c r="CC164" i="6" a="1"/>
  <c r="CB164" i="6" a="1"/>
  <c r="CA164" i="6" a="1"/>
  <c r="CD163" i="6" a="1"/>
  <c r="CC163" i="6" a="1"/>
  <c r="CB163" i="6" a="1"/>
  <c r="CA163" i="6" a="1"/>
  <c r="CD162" i="6" a="1"/>
  <c r="CC162" i="6" a="1"/>
  <c r="CB162" i="6" a="1"/>
  <c r="CA162" i="6" a="1"/>
  <c r="CD161" i="6" a="1"/>
  <c r="CC161" i="6" a="1"/>
  <c r="CB161" i="6" a="1"/>
  <c r="CA161" i="6" a="1"/>
  <c r="CD160" i="6" a="1"/>
  <c r="CC160" i="6" a="1"/>
  <c r="CB160" i="6" a="1"/>
  <c r="CA160" i="6" a="1"/>
  <c r="CD159" i="6" a="1"/>
  <c r="CC159" i="6" a="1"/>
  <c r="CB159" i="6" a="1"/>
  <c r="CA159" i="6" a="1"/>
  <c r="CD158" i="6" a="1"/>
  <c r="CC158" i="6" a="1"/>
  <c r="CB158" i="6" a="1"/>
  <c r="CA158" i="6" a="1"/>
  <c r="CD157" i="6" a="1"/>
  <c r="CC157" i="6" a="1"/>
  <c r="CB157" i="6" a="1"/>
  <c r="CA157" i="6" a="1"/>
  <c r="CD156" i="6" a="1"/>
  <c r="CC156" i="6" a="1"/>
  <c r="CB156" i="6" a="1"/>
  <c r="CA156" i="6" a="1"/>
  <c r="CD151" i="6" a="1"/>
  <c r="CC151" i="6" a="1"/>
  <c r="CB151" i="6" a="1"/>
  <c r="CA151" i="6" a="1"/>
  <c r="CD150" i="6" a="1"/>
  <c r="CC150" i="6" a="1"/>
  <c r="CB150" i="6" a="1"/>
  <c r="CA150" i="6" a="1"/>
  <c r="CD149" i="6" a="1"/>
  <c r="CC149" i="6" a="1"/>
  <c r="CB149" i="6" a="1"/>
  <c r="CA149" i="6" a="1"/>
  <c r="CD148" i="6" a="1"/>
  <c r="CC148" i="6" a="1"/>
  <c r="CB148" i="6" a="1"/>
  <c r="CA148" i="6" a="1"/>
  <c r="CD147" i="6" a="1"/>
  <c r="CC147" i="6" a="1"/>
  <c r="CB147" i="6" a="1"/>
  <c r="CA147" i="6" a="1"/>
  <c r="CD146" i="6" a="1"/>
  <c r="CC146" i="6" a="1"/>
  <c r="CB146" i="6" a="1"/>
  <c r="CA146" i="6" a="1"/>
  <c r="CD145" i="6" a="1"/>
  <c r="CC145" i="6" a="1"/>
  <c r="CB145" i="6" a="1"/>
  <c r="CA145" i="6" a="1"/>
  <c r="CD144" i="6" a="1"/>
  <c r="CC144" i="6" a="1"/>
  <c r="CB144" i="6" a="1"/>
  <c r="CA144" i="6" a="1"/>
  <c r="CD143" i="6" a="1"/>
  <c r="CC143" i="6" a="1"/>
  <c r="CB143" i="6" a="1"/>
  <c r="CA143" i="6" a="1"/>
  <c r="CD142" i="6" a="1"/>
  <c r="CC142" i="6" a="1"/>
  <c r="CB142" i="6" a="1"/>
  <c r="CA142" i="6" a="1"/>
  <c r="CD141" i="6" a="1"/>
  <c r="CC141" i="6" a="1"/>
  <c r="CB141" i="6" a="1"/>
  <c r="CA141" i="6" a="1"/>
  <c r="CD140" i="6" a="1"/>
  <c r="CC140" i="6" a="1"/>
  <c r="CB140" i="6" a="1"/>
  <c r="CA140" i="6" a="1"/>
  <c r="CD139" i="6" a="1"/>
  <c r="CC139" i="6" a="1"/>
  <c r="CB139" i="6" a="1"/>
  <c r="CA139" i="6" a="1"/>
  <c r="CD138" i="6" a="1"/>
  <c r="CC138" i="6" a="1"/>
  <c r="CB138" i="6" a="1"/>
  <c r="CA138" i="6" a="1"/>
  <c r="CD137" i="6" a="1"/>
  <c r="CC137" i="6" a="1"/>
  <c r="CB137" i="6" a="1"/>
  <c r="CA137" i="6" a="1"/>
  <c r="CD136" i="6" a="1"/>
  <c r="CC136" i="6" a="1"/>
  <c r="CB136" i="6" a="1"/>
  <c r="CA136" i="6" a="1"/>
  <c r="CD135" i="6" a="1"/>
  <c r="CC135" i="6" a="1"/>
  <c r="CB135" i="6" a="1"/>
  <c r="CA135" i="6" a="1"/>
  <c r="CD134" i="6" a="1"/>
  <c r="CC134" i="6" a="1"/>
  <c r="CB134" i="6" a="1"/>
  <c r="CA134" i="6" a="1"/>
  <c r="CD133" i="6" a="1"/>
  <c r="CC133" i="6" a="1"/>
  <c r="CB133" i="6" a="1"/>
  <c r="CA133" i="6" a="1"/>
  <c r="CD132" i="6" a="1"/>
  <c r="CC132" i="6" a="1"/>
  <c r="CB132" i="6" a="1"/>
  <c r="CA132" i="6" a="1"/>
  <c r="CD131" i="6" a="1"/>
  <c r="CC131" i="6" a="1"/>
  <c r="CB131" i="6" a="1"/>
  <c r="CA131" i="6" a="1"/>
  <c r="CD130" i="6" a="1"/>
  <c r="CC130" i="6" a="1"/>
  <c r="CB130" i="6" a="1"/>
  <c r="CA130" i="6" a="1"/>
  <c r="CD129" i="6" a="1"/>
  <c r="CC129" i="6" a="1"/>
  <c r="CB129" i="6" a="1"/>
  <c r="CA129" i="6" a="1"/>
  <c r="CD128" i="6" a="1"/>
  <c r="CC128" i="6" a="1"/>
  <c r="CB128" i="6" a="1"/>
  <c r="CA128" i="6" a="1"/>
  <c r="CD123" i="6" a="1"/>
  <c r="CC123" i="6" a="1"/>
  <c r="CB123" i="6" a="1"/>
  <c r="CA123" i="6" a="1"/>
  <c r="CD122" i="6" a="1"/>
  <c r="CC122" i="6" a="1"/>
  <c r="CB122" i="6" a="1"/>
  <c r="CA122" i="6" a="1"/>
  <c r="CD121" i="6" a="1"/>
  <c r="CC121" i="6" a="1"/>
  <c r="CB121" i="6" a="1"/>
  <c r="CA121" i="6" a="1"/>
  <c r="CD120" i="6" a="1"/>
  <c r="CC120" i="6" a="1"/>
  <c r="CB120" i="6" a="1"/>
  <c r="CA120" i="6" a="1"/>
  <c r="CD119" i="6" a="1"/>
  <c r="CC119" i="6" a="1"/>
  <c r="CB119" i="6" a="1"/>
  <c r="CA119" i="6" a="1"/>
  <c r="CD118" i="6" a="1"/>
  <c r="CC118" i="6" a="1"/>
  <c r="CB118" i="6" a="1"/>
  <c r="CA118" i="6" a="1"/>
  <c r="CD117" i="6" a="1"/>
  <c r="CC117" i="6" a="1"/>
  <c r="CB117" i="6" a="1"/>
  <c r="CA117" i="6" a="1"/>
  <c r="CD116" i="6" a="1"/>
  <c r="CC116" i="6" a="1"/>
  <c r="CB116" i="6" a="1"/>
  <c r="CA116" i="6" a="1"/>
  <c r="CD115" i="6" a="1"/>
  <c r="CC115" i="6" a="1"/>
  <c r="CB115" i="6" a="1"/>
  <c r="CA115" i="6" a="1"/>
  <c r="CD114" i="6" a="1"/>
  <c r="CC114" i="6" a="1"/>
  <c r="CB114" i="6" a="1"/>
  <c r="CA114" i="6" a="1"/>
  <c r="CD113" i="6" a="1"/>
  <c r="CC113" i="6" a="1"/>
  <c r="CB113" i="6" a="1"/>
  <c r="CA113" i="6" a="1"/>
  <c r="CD112" i="6" a="1"/>
  <c r="CC112" i="6" a="1"/>
  <c r="CB112" i="6" a="1"/>
  <c r="CA112" i="6" a="1"/>
  <c r="CD111" i="6" a="1"/>
  <c r="CC111" i="6" a="1"/>
  <c r="CB111" i="6" a="1"/>
  <c r="CA111" i="6" a="1"/>
  <c r="CD110" i="6" a="1"/>
  <c r="CC110" i="6" a="1"/>
  <c r="CB110" i="6" a="1"/>
  <c r="CA110" i="6" a="1"/>
  <c r="CD109" i="6" a="1"/>
  <c r="CC109" i="6" a="1"/>
  <c r="CB109" i="6" a="1"/>
  <c r="CA109" i="6" a="1"/>
  <c r="CD108" i="6" a="1"/>
  <c r="CC108" i="6" a="1"/>
  <c r="CB108" i="6" a="1"/>
  <c r="CA108" i="6" a="1"/>
  <c r="CD107" i="6" a="1"/>
  <c r="CC107" i="6" a="1"/>
  <c r="CB107" i="6" a="1"/>
  <c r="CA107" i="6" a="1"/>
  <c r="CD106" i="6" a="1"/>
  <c r="CC106" i="6" a="1"/>
  <c r="CB106" i="6" a="1"/>
  <c r="CA106" i="6" a="1"/>
  <c r="CD105" i="6" a="1"/>
  <c r="CC105" i="6" a="1"/>
  <c r="CB105" i="6" a="1"/>
  <c r="CA105" i="6" a="1"/>
  <c r="CD104" i="6" a="1"/>
  <c r="CC104" i="6" a="1"/>
  <c r="CB104" i="6" a="1"/>
  <c r="CA104" i="6" a="1"/>
  <c r="CD103" i="6" a="1"/>
  <c r="CC103" i="6" a="1"/>
  <c r="CB103" i="6" a="1"/>
  <c r="CA103" i="6" a="1"/>
  <c r="CD102" i="6" a="1"/>
  <c r="CC102" i="6" a="1"/>
  <c r="CB102" i="6" a="1"/>
  <c r="CA102" i="6" a="1"/>
  <c r="CD101" i="6" a="1"/>
  <c r="CC101" i="6" a="1"/>
  <c r="CB101" i="6" a="1"/>
  <c r="CA101" i="6" a="1"/>
  <c r="CD100" i="6" a="1"/>
  <c r="CC100" i="6" a="1"/>
  <c r="CB100" i="6" a="1"/>
  <c r="CA100" i="6" a="1"/>
  <c r="CD95" i="6" a="1"/>
  <c r="CC95" i="6" a="1"/>
  <c r="CB95" i="6" a="1"/>
  <c r="CD94" i="6" a="1"/>
  <c r="CC94" i="6" a="1"/>
  <c r="CB94" i="6" a="1"/>
  <c r="CD93" i="6" a="1"/>
  <c r="CC93" i="6" a="1"/>
  <c r="CB93" i="6" a="1"/>
  <c r="CD92" i="6" a="1"/>
  <c r="CC92" i="6" a="1"/>
  <c r="CB92" i="6" a="1"/>
  <c r="CD91" i="6" a="1"/>
  <c r="CC91" i="6" a="1"/>
  <c r="CB91" i="6" a="1"/>
  <c r="CD90" i="6" a="1"/>
  <c r="CC90" i="6" a="1"/>
  <c r="CB90" i="6" a="1"/>
  <c r="CD89" i="6" a="1"/>
  <c r="CC89" i="6" a="1"/>
  <c r="CB89" i="6" a="1"/>
  <c r="CD88" i="6" a="1"/>
  <c r="CC88" i="6" a="1"/>
  <c r="CB88" i="6" a="1"/>
  <c r="CD87" i="6" a="1"/>
  <c r="CC87" i="6" a="1"/>
  <c r="CB87" i="6" a="1"/>
  <c r="CD86" i="6" a="1"/>
  <c r="CC86" i="6" a="1"/>
  <c r="CB86" i="6" a="1"/>
  <c r="CD85" i="6" a="1"/>
  <c r="CC85" i="6" a="1"/>
  <c r="CB85" i="6" a="1"/>
  <c r="CD84" i="6" a="1"/>
  <c r="CC84" i="6" a="1"/>
  <c r="CB84" i="6" a="1"/>
  <c r="CD83" i="6" a="1"/>
  <c r="CC83" i="6" a="1"/>
  <c r="CB83" i="6" a="1"/>
  <c r="CD82" i="6" a="1"/>
  <c r="CC82" i="6" a="1"/>
  <c r="CB82" i="6" a="1"/>
  <c r="CD81" i="6" a="1"/>
  <c r="CC81" i="6" a="1"/>
  <c r="CB81" i="6" a="1"/>
  <c r="CD80" i="6" a="1"/>
  <c r="CC80" i="6" a="1"/>
  <c r="CB80" i="6" a="1"/>
  <c r="CD79" i="6" a="1"/>
  <c r="CC79" i="6" a="1"/>
  <c r="CB79" i="6" a="1"/>
  <c r="CD78" i="6" a="1"/>
  <c r="CC78" i="6" a="1"/>
  <c r="CB78" i="6" a="1"/>
  <c r="CD77" i="6" a="1"/>
  <c r="CC77" i="6" a="1"/>
  <c r="CB77" i="6" a="1"/>
  <c r="CD76" i="6" a="1"/>
  <c r="CC76" i="6" a="1"/>
  <c r="CB76" i="6" a="1"/>
  <c r="CD75" i="6" a="1"/>
  <c r="CC75" i="6" a="1"/>
  <c r="CB75" i="6" a="1"/>
  <c r="CD74" i="6" a="1"/>
  <c r="CC74" i="6" a="1"/>
  <c r="CB74" i="6" a="1"/>
  <c r="CD73" i="6" a="1"/>
  <c r="CC73" i="6" a="1"/>
  <c r="CB73" i="6" a="1"/>
  <c r="CD72" i="6" a="1"/>
  <c r="CC72" i="6" a="1"/>
  <c r="CB72" i="6" a="1"/>
  <c r="BJ28" i="5" a="1"/>
  <c r="BJ27" i="5" a="1"/>
  <c r="BJ26" i="5" a="1"/>
  <c r="BJ25" i="5" a="1"/>
  <c r="BJ24" i="5" a="1"/>
  <c r="BJ23" i="5" a="1"/>
  <c r="BJ22" i="5" a="1"/>
  <c r="BJ21" i="5" a="1"/>
  <c r="BJ20" i="5" a="1"/>
  <c r="BJ19" i="5" a="1"/>
  <c r="BJ18" i="5" a="1"/>
  <c r="BJ17" i="5" a="1"/>
  <c r="BJ16" i="5" a="1"/>
  <c r="CD179" i="5" a="1"/>
  <c r="CC179" i="5" a="1"/>
  <c r="CB179" i="5" a="1"/>
  <c r="CA179" i="5" a="1"/>
  <c r="CD178" i="5" a="1"/>
  <c r="CC178" i="5" a="1"/>
  <c r="CB178" i="5" a="1"/>
  <c r="CA178" i="5" a="1"/>
  <c r="CD177" i="5" a="1"/>
  <c r="CC177" i="5" a="1"/>
  <c r="CB177" i="5" a="1"/>
  <c r="CA177" i="5" a="1"/>
  <c r="CD176" i="5" a="1"/>
  <c r="CC176" i="5" a="1"/>
  <c r="CB176" i="5" a="1"/>
  <c r="CA176" i="5" a="1"/>
  <c r="CD175" i="5" a="1"/>
  <c r="CC175" i="5" a="1"/>
  <c r="CB175" i="5" a="1"/>
  <c r="CA175" i="5" a="1"/>
  <c r="CD174" i="5" a="1"/>
  <c r="CC174" i="5" a="1"/>
  <c r="CB174" i="5" a="1"/>
  <c r="CA174" i="5" a="1"/>
  <c r="CD173" i="5" a="1"/>
  <c r="CC173" i="5" a="1"/>
  <c r="CB173" i="5" a="1"/>
  <c r="CA173" i="5" a="1"/>
  <c r="CD172" i="5" a="1"/>
  <c r="CC172" i="5" a="1"/>
  <c r="CB172" i="5" a="1"/>
  <c r="CA172" i="5" a="1"/>
  <c r="CD171" i="5" a="1"/>
  <c r="CC171" i="5" a="1"/>
  <c r="CB171" i="5" a="1"/>
  <c r="CA171" i="5" a="1"/>
  <c r="CD170" i="5" a="1"/>
  <c r="CC170" i="5" a="1"/>
  <c r="CB170" i="5" a="1"/>
  <c r="CA170" i="5" a="1"/>
  <c r="CD169" i="5" a="1"/>
  <c r="CC169" i="5" a="1"/>
  <c r="CB169" i="5" a="1"/>
  <c r="CA169" i="5" a="1"/>
  <c r="CD168" i="5" a="1"/>
  <c r="CC168" i="5" a="1"/>
  <c r="CB168" i="5" a="1"/>
  <c r="CA168" i="5" a="1"/>
  <c r="CD167" i="5" a="1"/>
  <c r="CC167" i="5" a="1"/>
  <c r="CB167" i="5" a="1"/>
  <c r="CA167" i="5" a="1"/>
  <c r="CD166" i="5" a="1"/>
  <c r="CC166" i="5" a="1"/>
  <c r="CB166" i="5" a="1"/>
  <c r="CA166" i="5" a="1"/>
  <c r="CD165" i="5" a="1"/>
  <c r="CC165" i="5" a="1"/>
  <c r="CB165" i="5" a="1"/>
  <c r="CA165" i="5" a="1"/>
  <c r="CD164" i="5" a="1"/>
  <c r="CC164" i="5" a="1"/>
  <c r="CB164" i="5" a="1"/>
  <c r="CA164" i="5" a="1"/>
  <c r="CD163" i="5" a="1"/>
  <c r="CC163" i="5" a="1"/>
  <c r="CB163" i="5" a="1"/>
  <c r="CA163" i="5" a="1"/>
  <c r="CD162" i="5" a="1"/>
  <c r="CC162" i="5" a="1"/>
  <c r="CB162" i="5" a="1"/>
  <c r="CA162" i="5" a="1"/>
  <c r="CD161" i="5" a="1"/>
  <c r="CC161" i="5" a="1"/>
  <c r="CB161" i="5" a="1"/>
  <c r="CA161" i="5" a="1"/>
  <c r="CD160" i="5" a="1"/>
  <c r="CC160" i="5" a="1"/>
  <c r="CB160" i="5" a="1"/>
  <c r="CA160" i="5" a="1"/>
  <c r="CD159" i="5" a="1"/>
  <c r="CC159" i="5" a="1"/>
  <c r="CB159" i="5" a="1"/>
  <c r="CA159" i="5" a="1"/>
  <c r="CD158" i="5" a="1"/>
  <c r="CC158" i="5" a="1"/>
  <c r="CB158" i="5" a="1"/>
  <c r="CA158" i="5" a="1"/>
  <c r="CD157" i="5" a="1"/>
  <c r="CC157" i="5" a="1"/>
  <c r="CB157" i="5" a="1"/>
  <c r="CA157" i="5" a="1"/>
  <c r="CD156" i="5" a="1"/>
  <c r="CC156" i="5" a="1"/>
  <c r="CB156" i="5" a="1"/>
  <c r="CA156" i="5" a="1"/>
  <c r="CD151" i="5" a="1"/>
  <c r="CC151" i="5" a="1"/>
  <c r="CB151" i="5" a="1"/>
  <c r="CA151" i="5" a="1"/>
  <c r="CD150" i="5" a="1"/>
  <c r="CC150" i="5" a="1"/>
  <c r="CB150" i="5" a="1"/>
  <c r="CA150" i="5" a="1"/>
  <c r="CD149" i="5" a="1"/>
  <c r="CC149" i="5" a="1"/>
  <c r="CB149" i="5" a="1"/>
  <c r="CA149" i="5" a="1"/>
  <c r="CD148" i="5" a="1"/>
  <c r="CC148" i="5" a="1"/>
  <c r="CB148" i="5" a="1"/>
  <c r="CA148" i="5" a="1"/>
  <c r="CD147" i="5" a="1"/>
  <c r="CC147" i="5" a="1"/>
  <c r="CB147" i="5" a="1"/>
  <c r="CA147" i="5" a="1"/>
  <c r="CD146" i="5" a="1"/>
  <c r="CC146" i="5" a="1"/>
  <c r="CB146" i="5" a="1"/>
  <c r="CA146" i="5" a="1"/>
  <c r="CD145" i="5" a="1"/>
  <c r="CC145" i="5" a="1"/>
  <c r="CB145" i="5" a="1"/>
  <c r="CA145" i="5" a="1"/>
  <c r="CD144" i="5" a="1"/>
  <c r="CC144" i="5" a="1"/>
  <c r="CB144" i="5" a="1"/>
  <c r="CA144" i="5" a="1"/>
  <c r="CD143" i="5" a="1"/>
  <c r="CC143" i="5" a="1"/>
  <c r="CB143" i="5" a="1"/>
  <c r="CA143" i="5" a="1"/>
  <c r="CD142" i="5" a="1"/>
  <c r="CC142" i="5" a="1"/>
  <c r="CB142" i="5" a="1"/>
  <c r="CA142" i="5" a="1"/>
  <c r="CD141" i="5" a="1"/>
  <c r="CC141" i="5" a="1"/>
  <c r="CB141" i="5" a="1"/>
  <c r="CA141" i="5" a="1"/>
  <c r="CD140" i="5" a="1"/>
  <c r="CC140" i="5" a="1"/>
  <c r="CB140" i="5" a="1"/>
  <c r="CA140" i="5" a="1"/>
  <c r="CD139" i="5" a="1"/>
  <c r="CC139" i="5" a="1"/>
  <c r="CB139" i="5" a="1"/>
  <c r="CA139" i="5" a="1"/>
  <c r="CD138" i="5" a="1"/>
  <c r="CC138" i="5" a="1"/>
  <c r="CB138" i="5" a="1"/>
  <c r="CA138" i="5" a="1"/>
  <c r="CD137" i="5" a="1"/>
  <c r="CC137" i="5" a="1"/>
  <c r="CB137" i="5" a="1"/>
  <c r="CA137" i="5" a="1"/>
  <c r="CD136" i="5" a="1"/>
  <c r="CC136" i="5" a="1"/>
  <c r="CB136" i="5" a="1"/>
  <c r="CA136" i="5" a="1"/>
  <c r="CD135" i="5" a="1"/>
  <c r="CC135" i="5" a="1"/>
  <c r="CB135" i="5" a="1"/>
  <c r="CA135" i="5" a="1"/>
  <c r="CD134" i="5" a="1"/>
  <c r="CC134" i="5" a="1"/>
  <c r="CB134" i="5" a="1"/>
  <c r="CA134" i="5" a="1"/>
  <c r="CD133" i="5" a="1"/>
  <c r="CC133" i="5" a="1"/>
  <c r="CB133" i="5" a="1"/>
  <c r="CA133" i="5" a="1"/>
  <c r="CD132" i="5" a="1"/>
  <c r="CC132" i="5" a="1"/>
  <c r="CB132" i="5" a="1"/>
  <c r="CA132" i="5" a="1"/>
  <c r="CD131" i="5" a="1"/>
  <c r="CC131" i="5" a="1"/>
  <c r="CB131" i="5" a="1"/>
  <c r="CA131" i="5" a="1"/>
  <c r="CD130" i="5" a="1"/>
  <c r="CC130" i="5" a="1"/>
  <c r="CB130" i="5" a="1"/>
  <c r="CA130" i="5" a="1"/>
  <c r="CD129" i="5" a="1"/>
  <c r="CC129" i="5" a="1"/>
  <c r="CB129" i="5" a="1"/>
  <c r="CA129" i="5" a="1"/>
  <c r="CD128" i="5" a="1"/>
  <c r="CC128" i="5" a="1"/>
  <c r="CB128" i="5" a="1"/>
  <c r="CA128" i="5" a="1"/>
  <c r="CD123" i="5" a="1"/>
  <c r="CC123" i="5" a="1"/>
  <c r="CB123" i="5" a="1"/>
  <c r="CA123" i="5" a="1"/>
  <c r="CD122" i="5" a="1"/>
  <c r="CC122" i="5" a="1"/>
  <c r="CB122" i="5" a="1"/>
  <c r="CA122" i="5" a="1"/>
  <c r="CD121" i="5" a="1"/>
  <c r="CC121" i="5" a="1"/>
  <c r="CB121" i="5" a="1"/>
  <c r="CA121" i="5" a="1"/>
  <c r="CD120" i="5" a="1"/>
  <c r="CC120" i="5" a="1"/>
  <c r="CB120" i="5" a="1"/>
  <c r="CA120" i="5" a="1"/>
  <c r="CD119" i="5" a="1"/>
  <c r="CC119" i="5" a="1"/>
  <c r="CB119" i="5" a="1"/>
  <c r="CA119" i="5" a="1"/>
  <c r="CD118" i="5" a="1"/>
  <c r="CC118" i="5" a="1"/>
  <c r="CB118" i="5" a="1"/>
  <c r="CA118" i="5" a="1"/>
  <c r="CD117" i="5" a="1"/>
  <c r="CC117" i="5" a="1"/>
  <c r="CB117" i="5" a="1"/>
  <c r="CA117" i="5" a="1"/>
  <c r="CD116" i="5" a="1"/>
  <c r="CC116" i="5" a="1"/>
  <c r="CB116" i="5" a="1"/>
  <c r="CA116" i="5" a="1"/>
  <c r="CD115" i="5" a="1"/>
  <c r="CC115" i="5" a="1"/>
  <c r="CB115" i="5" a="1"/>
  <c r="CA115" i="5" a="1"/>
  <c r="CD114" i="5" a="1"/>
  <c r="CC114" i="5" a="1"/>
  <c r="CB114" i="5" a="1"/>
  <c r="CA114" i="5" a="1"/>
  <c r="CD113" i="5" a="1"/>
  <c r="CC113" i="5" a="1"/>
  <c r="CB113" i="5" a="1"/>
  <c r="CA113" i="5" a="1"/>
  <c r="CD112" i="5" a="1"/>
  <c r="CC112" i="5" a="1"/>
  <c r="CB112" i="5" a="1"/>
  <c r="CA112" i="5" a="1"/>
  <c r="CD111" i="5" a="1"/>
  <c r="CC111" i="5" a="1"/>
  <c r="CB111" i="5" a="1"/>
  <c r="CA111" i="5" a="1"/>
  <c r="CD110" i="5" a="1"/>
  <c r="CC110" i="5" a="1"/>
  <c r="CB110" i="5" a="1"/>
  <c r="CA110" i="5" a="1"/>
  <c r="CD109" i="5" a="1"/>
  <c r="CC109" i="5" a="1"/>
  <c r="CB109" i="5" a="1"/>
  <c r="CA109" i="5" a="1"/>
  <c r="CD108" i="5" a="1"/>
  <c r="CC108" i="5" a="1"/>
  <c r="CB108" i="5" a="1"/>
  <c r="CA108" i="5" a="1"/>
  <c r="CD107" i="5" a="1"/>
  <c r="CC107" i="5" a="1"/>
  <c r="CB107" i="5" a="1"/>
  <c r="CA107" i="5" a="1"/>
  <c r="CD106" i="5" a="1"/>
  <c r="CC106" i="5" a="1"/>
  <c r="CB106" i="5" a="1"/>
  <c r="CA106" i="5" a="1"/>
  <c r="CD105" i="5" a="1"/>
  <c r="CC105" i="5" a="1"/>
  <c r="CB105" i="5" a="1"/>
  <c r="CA105" i="5" a="1"/>
  <c r="CD104" i="5" a="1"/>
  <c r="CC104" i="5" a="1"/>
  <c r="CB104" i="5" a="1"/>
  <c r="CA104" i="5" a="1"/>
  <c r="CD103" i="5" a="1"/>
  <c r="CC103" i="5" a="1"/>
  <c r="CB103" i="5" a="1"/>
  <c r="CA103" i="5" a="1"/>
  <c r="CD102" i="5" a="1"/>
  <c r="CC102" i="5" a="1"/>
  <c r="CB102" i="5" a="1"/>
  <c r="CA102" i="5" a="1"/>
  <c r="CD101" i="5" a="1"/>
  <c r="CC101" i="5" a="1"/>
  <c r="CB101" i="5" a="1"/>
  <c r="CA101" i="5" a="1"/>
  <c r="CD100" i="5" a="1"/>
  <c r="CC100" i="5" a="1"/>
  <c r="CB100" i="5" a="1"/>
  <c r="CA100" i="5" a="1"/>
  <c r="BJ28" i="4" a="1"/>
  <c r="BJ27" i="4" a="1"/>
  <c r="BJ26" i="4" a="1"/>
  <c r="BJ25" i="4" a="1"/>
  <c r="BJ24" i="4" a="1"/>
  <c r="BJ23" i="4" a="1"/>
  <c r="BJ22" i="4" a="1"/>
  <c r="BJ21" i="4" a="1"/>
  <c r="BJ20" i="4" a="1"/>
  <c r="BJ19" i="4" a="1"/>
  <c r="BJ18" i="4" a="1"/>
  <c r="BJ17" i="4" a="1"/>
  <c r="BJ16" i="4" a="1"/>
  <c r="BJ15" i="4" a="1"/>
  <c r="BJ14" i="4" a="1"/>
  <c r="BJ13" i="4" a="1"/>
  <c r="CD179" i="4" a="1"/>
  <c r="CC179" i="4" a="1"/>
  <c r="CB179" i="4" a="1"/>
  <c r="CA179" i="4" a="1"/>
  <c r="CD178" i="4" a="1"/>
  <c r="CC178" i="4" a="1"/>
  <c r="CB178" i="4" a="1"/>
  <c r="CA178" i="4" a="1"/>
  <c r="CD177" i="4" a="1"/>
  <c r="CC177" i="4" a="1"/>
  <c r="CB177" i="4" a="1"/>
  <c r="CA177" i="4" a="1"/>
  <c r="CD176" i="4" a="1"/>
  <c r="CC176" i="4" a="1"/>
  <c r="CB176" i="4" a="1"/>
  <c r="CA176" i="4" a="1"/>
  <c r="CD175" i="4" a="1"/>
  <c r="CC175" i="4" a="1"/>
  <c r="CB175" i="4" a="1"/>
  <c r="CA175" i="4" a="1"/>
  <c r="CD174" i="4" a="1"/>
  <c r="CC174" i="4" a="1"/>
  <c r="CB174" i="4" a="1"/>
  <c r="CA174" i="4" a="1"/>
  <c r="CD173" i="4" a="1"/>
  <c r="CC173" i="4" a="1"/>
  <c r="CB173" i="4" a="1"/>
  <c r="CA173" i="4" a="1"/>
  <c r="CD172" i="4" a="1"/>
  <c r="CC172" i="4" a="1"/>
  <c r="CB172" i="4" a="1"/>
  <c r="CA172" i="4" a="1"/>
  <c r="CD171" i="4" a="1"/>
  <c r="CC171" i="4" a="1"/>
  <c r="CB171" i="4" a="1"/>
  <c r="CA171" i="4" a="1"/>
  <c r="CD170" i="4" a="1"/>
  <c r="CC170" i="4" a="1"/>
  <c r="CB170" i="4" a="1"/>
  <c r="CA170" i="4" a="1"/>
  <c r="CD169" i="4" a="1"/>
  <c r="CC169" i="4" a="1"/>
  <c r="CB169" i="4" a="1"/>
  <c r="CA169" i="4" a="1"/>
  <c r="CD168" i="4" a="1"/>
  <c r="CC168" i="4" a="1"/>
  <c r="CB168" i="4" a="1"/>
  <c r="CA168" i="4" a="1"/>
  <c r="CD167" i="4" a="1"/>
  <c r="CC167" i="4" a="1"/>
  <c r="CB167" i="4" a="1"/>
  <c r="CA167" i="4" a="1"/>
  <c r="CD166" i="4" a="1"/>
  <c r="CC166" i="4" a="1"/>
  <c r="CB166" i="4" a="1"/>
  <c r="CA166" i="4" a="1"/>
  <c r="CD165" i="4" a="1"/>
  <c r="CC165" i="4" a="1"/>
  <c r="CB165" i="4" a="1"/>
  <c r="CA165" i="4" a="1"/>
  <c r="CD164" i="4" a="1"/>
  <c r="CC164" i="4" a="1"/>
  <c r="CB164" i="4" a="1"/>
  <c r="CA164" i="4" a="1"/>
  <c r="CD163" i="4" a="1"/>
  <c r="CC163" i="4" a="1"/>
  <c r="CB163" i="4" a="1"/>
  <c r="CA163" i="4" a="1"/>
  <c r="CD162" i="4" a="1"/>
  <c r="CC162" i="4" a="1"/>
  <c r="CB162" i="4" a="1"/>
  <c r="CA162" i="4" a="1"/>
  <c r="CD161" i="4" a="1"/>
  <c r="CC161" i="4" a="1"/>
  <c r="CB161" i="4" a="1"/>
  <c r="CA161" i="4" a="1"/>
  <c r="CD160" i="4" a="1"/>
  <c r="CC160" i="4" a="1"/>
  <c r="CB160" i="4" a="1"/>
  <c r="CA160" i="4" a="1"/>
  <c r="CD159" i="4" a="1"/>
  <c r="CC159" i="4" a="1"/>
  <c r="CB159" i="4" a="1"/>
  <c r="CA159" i="4" a="1"/>
  <c r="CD158" i="4" a="1"/>
  <c r="CC158" i="4" a="1"/>
  <c r="CB158" i="4" a="1"/>
  <c r="CA158" i="4" a="1"/>
  <c r="CD157" i="4" a="1"/>
  <c r="CC157" i="4" a="1"/>
  <c r="CB157" i="4" a="1"/>
  <c r="CA157" i="4" a="1"/>
  <c r="CD156" i="4" a="1"/>
  <c r="CC156" i="4" a="1"/>
  <c r="CB156" i="4" a="1"/>
  <c r="CA156" i="4" a="1"/>
  <c r="CD151" i="4" a="1"/>
  <c r="CC151" i="4" a="1"/>
  <c r="CB151" i="4" a="1"/>
  <c r="CA151" i="4" a="1"/>
  <c r="CD150" i="4" a="1"/>
  <c r="CC150" i="4" a="1"/>
  <c r="CB150" i="4" a="1"/>
  <c r="CA150" i="4" a="1"/>
  <c r="CD149" i="4" a="1"/>
  <c r="CC149" i="4" a="1"/>
  <c r="CB149" i="4" a="1"/>
  <c r="CA149" i="4" a="1"/>
  <c r="CD148" i="4" a="1"/>
  <c r="CC148" i="4" a="1"/>
  <c r="CB148" i="4" a="1"/>
  <c r="CA148" i="4" a="1"/>
  <c r="CD147" i="4" a="1"/>
  <c r="CC147" i="4" a="1"/>
  <c r="CB147" i="4" a="1"/>
  <c r="CA147" i="4" a="1"/>
  <c r="CD146" i="4" a="1"/>
  <c r="CC146" i="4" a="1"/>
  <c r="CB146" i="4" a="1"/>
  <c r="CA146" i="4" a="1"/>
  <c r="CD145" i="4" a="1"/>
  <c r="CC145" i="4" a="1"/>
  <c r="CB145" i="4" a="1"/>
  <c r="CA145" i="4" a="1"/>
  <c r="CD144" i="4" a="1"/>
  <c r="CC144" i="4" a="1"/>
  <c r="CB144" i="4" a="1"/>
  <c r="CA144" i="4" a="1"/>
  <c r="CD143" i="4" a="1"/>
  <c r="CC143" i="4" a="1"/>
  <c r="CB143" i="4" a="1"/>
  <c r="CA143" i="4" a="1"/>
  <c r="CD142" i="4" a="1"/>
  <c r="CC142" i="4" a="1"/>
  <c r="CB142" i="4" a="1"/>
  <c r="CA142" i="4" a="1"/>
  <c r="CD141" i="4" a="1"/>
  <c r="CC141" i="4" a="1"/>
  <c r="CB141" i="4" a="1"/>
  <c r="CA141" i="4" a="1"/>
  <c r="CD140" i="4" a="1"/>
  <c r="CC140" i="4" a="1"/>
  <c r="CB140" i="4" a="1"/>
  <c r="CA140" i="4" a="1"/>
  <c r="CD139" i="4" a="1"/>
  <c r="CC139" i="4" a="1"/>
  <c r="CB139" i="4" a="1"/>
  <c r="CA139" i="4" a="1"/>
  <c r="CD138" i="4" a="1"/>
  <c r="CC138" i="4" a="1"/>
  <c r="CB138" i="4" a="1"/>
  <c r="CA138" i="4" a="1"/>
  <c r="CD137" i="4" a="1"/>
  <c r="CC137" i="4" a="1"/>
  <c r="CB137" i="4" a="1"/>
  <c r="CA137" i="4" a="1"/>
  <c r="CD136" i="4" a="1"/>
  <c r="CC136" i="4" a="1"/>
  <c r="CB136" i="4" a="1"/>
  <c r="CA136" i="4" a="1"/>
  <c r="CD135" i="4" a="1"/>
  <c r="CC135" i="4" a="1"/>
  <c r="CB135" i="4" a="1"/>
  <c r="CA135" i="4" a="1"/>
  <c r="CD134" i="4" a="1"/>
  <c r="CC134" i="4" a="1"/>
  <c r="CB134" i="4" a="1"/>
  <c r="CA134" i="4" a="1"/>
  <c r="CD133" i="4" a="1"/>
  <c r="CC133" i="4" a="1"/>
  <c r="CB133" i="4" a="1"/>
  <c r="CA133" i="4" a="1"/>
  <c r="CD132" i="4" a="1"/>
  <c r="CC132" i="4" a="1"/>
  <c r="CB132" i="4" a="1"/>
  <c r="CA132" i="4" a="1"/>
  <c r="CD131" i="4" a="1"/>
  <c r="CC131" i="4" a="1"/>
  <c r="CB131" i="4" a="1"/>
  <c r="CA131" i="4" a="1"/>
  <c r="CD130" i="4" a="1"/>
  <c r="CC130" i="4" a="1"/>
  <c r="CB130" i="4" a="1"/>
  <c r="CA130" i="4" a="1"/>
  <c r="CD129" i="4" a="1"/>
  <c r="CC129" i="4" a="1"/>
  <c r="CB129" i="4" a="1"/>
  <c r="CA129" i="4" a="1"/>
  <c r="CD128" i="4" a="1"/>
  <c r="CC128" i="4" a="1"/>
  <c r="CB128" i="4" a="1"/>
  <c r="CA128" i="4" a="1"/>
  <c r="CD123" i="4" a="1"/>
  <c r="CC123" i="4" a="1"/>
  <c r="CB123" i="4" a="1"/>
  <c r="CA123" i="4" a="1"/>
  <c r="CD122" i="4" a="1"/>
  <c r="CC122" i="4" a="1"/>
  <c r="CB122" i="4" a="1"/>
  <c r="CA122" i="4" a="1"/>
  <c r="CD121" i="4" a="1"/>
  <c r="CC121" i="4" a="1"/>
  <c r="CB121" i="4" a="1"/>
  <c r="CA121" i="4" a="1"/>
  <c r="CD120" i="4" a="1"/>
  <c r="CC120" i="4" a="1"/>
  <c r="CB120" i="4" a="1"/>
  <c r="CA120" i="4" a="1"/>
  <c r="CD119" i="4" a="1"/>
  <c r="CC119" i="4" a="1"/>
  <c r="CB119" i="4" a="1"/>
  <c r="CA119" i="4" a="1"/>
  <c r="CD118" i="4" a="1"/>
  <c r="CC118" i="4" a="1"/>
  <c r="CB118" i="4" a="1"/>
  <c r="CA118" i="4" a="1"/>
  <c r="CD117" i="4" a="1"/>
  <c r="CC117" i="4" a="1"/>
  <c r="CB117" i="4" a="1"/>
  <c r="CA117" i="4" a="1"/>
  <c r="CD116" i="4" a="1"/>
  <c r="CC116" i="4" a="1"/>
  <c r="CB116" i="4" a="1"/>
  <c r="CA116" i="4" a="1"/>
  <c r="CD115" i="4" a="1"/>
  <c r="CC115" i="4" a="1"/>
  <c r="CB115" i="4" a="1"/>
  <c r="CA115" i="4" a="1"/>
  <c r="CD114" i="4" a="1"/>
  <c r="CC114" i="4" a="1"/>
  <c r="CB114" i="4" a="1"/>
  <c r="CA114" i="4" a="1"/>
  <c r="CD113" i="4" a="1"/>
  <c r="CC113" i="4" a="1"/>
  <c r="CB113" i="4" a="1"/>
  <c r="CA113" i="4" a="1"/>
  <c r="CD112" i="4" a="1"/>
  <c r="CC112" i="4" a="1"/>
  <c r="CB112" i="4" a="1"/>
  <c r="CA112" i="4" a="1"/>
  <c r="CD111" i="4" a="1"/>
  <c r="CC111" i="4" a="1"/>
  <c r="CB111" i="4" a="1"/>
  <c r="CA111" i="4" a="1"/>
  <c r="CD110" i="4" a="1"/>
  <c r="CC110" i="4" a="1"/>
  <c r="CB110" i="4" a="1"/>
  <c r="CA110" i="4" a="1"/>
  <c r="CD109" i="4" a="1"/>
  <c r="CC109" i="4" a="1"/>
  <c r="CB109" i="4" a="1"/>
  <c r="CA109" i="4" a="1"/>
  <c r="CD108" i="4" a="1"/>
  <c r="CC108" i="4" a="1"/>
  <c r="CB108" i="4" a="1"/>
  <c r="CA108" i="4" a="1"/>
  <c r="CD107" i="4" a="1"/>
  <c r="CC107" i="4" a="1"/>
  <c r="CB107" i="4" a="1"/>
  <c r="CA107" i="4" a="1"/>
  <c r="CD106" i="4" a="1"/>
  <c r="CC106" i="4" a="1"/>
  <c r="CB106" i="4" a="1"/>
  <c r="CA106" i="4" a="1"/>
  <c r="CD105" i="4" a="1"/>
  <c r="CC105" i="4" a="1"/>
  <c r="CB105" i="4" a="1"/>
  <c r="CA105" i="4" a="1"/>
  <c r="CD104" i="4" a="1"/>
  <c r="CC104" i="4" a="1"/>
  <c r="CB104" i="4" a="1"/>
  <c r="CA104" i="4" a="1"/>
  <c r="CD103" i="4" a="1"/>
  <c r="CC103" i="4" a="1"/>
  <c r="CB103" i="4" a="1"/>
  <c r="CA103" i="4" a="1"/>
  <c r="CD102" i="4" a="1"/>
  <c r="CC102" i="4" a="1"/>
  <c r="CB102" i="4" a="1"/>
  <c r="CA102" i="4" a="1"/>
  <c r="CD101" i="4" a="1"/>
  <c r="CC101" i="4" a="1"/>
  <c r="CB101" i="4" a="1"/>
  <c r="CA101" i="4" a="1"/>
  <c r="CD100" i="4" a="1"/>
  <c r="CC100" i="4" a="1"/>
  <c r="CB100" i="4" a="1"/>
  <c r="CA100" i="4" a="1"/>
  <c r="BA125" i="8"/>
  <c r="AI125" i="2" s="1"/>
  <c r="BA124" i="8"/>
  <c r="AI124" i="2" s="1"/>
  <c r="BA123" i="8"/>
  <c r="AI123" i="2" s="1"/>
  <c r="BA122" i="8"/>
  <c r="AI122" i="2" s="1"/>
  <c r="BA121" i="8"/>
  <c r="AI121" i="2" s="1"/>
  <c r="BA120" i="8"/>
  <c r="AI120" i="2" s="1"/>
  <c r="BA119" i="8"/>
  <c r="AI119" i="2" s="1"/>
  <c r="BA118" i="8"/>
  <c r="AI118" i="2" s="1"/>
  <c r="BA117" i="8"/>
  <c r="AI117" i="2" s="1"/>
  <c r="BA116" i="8"/>
  <c r="AI116" i="2" s="1"/>
  <c r="BA115" i="8"/>
  <c r="AI115" i="2" s="1"/>
  <c r="BA114" i="8"/>
  <c r="AI114" i="2" s="1"/>
  <c r="BA113" i="8"/>
  <c r="AI113" i="2" s="1"/>
  <c r="BA111" i="8"/>
  <c r="AI111" i="2" s="1"/>
  <c r="BA110" i="8"/>
  <c r="AI110" i="2" s="1"/>
  <c r="BA109" i="8"/>
  <c r="AI109" i="2" s="1"/>
  <c r="BA108" i="8"/>
  <c r="AI108" i="2" s="1"/>
  <c r="BA107" i="8"/>
  <c r="AI107" i="2" s="1"/>
  <c r="BA106" i="8"/>
  <c r="AI106" i="2" s="1"/>
  <c r="BA105" i="8"/>
  <c r="AI105" i="2" s="1"/>
  <c r="BA104" i="8"/>
  <c r="AI104" i="2" s="1"/>
  <c r="BA103" i="8"/>
  <c r="AI103" i="2" s="1"/>
  <c r="BA102" i="8"/>
  <c r="AI102" i="2" s="1"/>
  <c r="BA101" i="8"/>
  <c r="AI101" i="2" s="1"/>
  <c r="BA100" i="8"/>
  <c r="AI100" i="2" s="1"/>
  <c r="BA99" i="8"/>
  <c r="AI99" i="2" s="1"/>
  <c r="BA98" i="8"/>
  <c r="AI98" i="2" s="1"/>
  <c r="BA97" i="8"/>
  <c r="AI97" i="2" s="1"/>
  <c r="BA96" i="8"/>
  <c r="AI96" i="2" s="1"/>
  <c r="BA95" i="8"/>
  <c r="AI95" i="2" s="1"/>
  <c r="BA94" i="8"/>
  <c r="AI94" i="2" s="1"/>
  <c r="BA93" i="8"/>
  <c r="AI93" i="2" s="1"/>
  <c r="BA92" i="8"/>
  <c r="AI92" i="2" s="1"/>
  <c r="BA91" i="8"/>
  <c r="AI91" i="2" s="1"/>
  <c r="BA90" i="8"/>
  <c r="AI90" i="2" s="1"/>
  <c r="BA89" i="8"/>
  <c r="AI89" i="2" s="1"/>
  <c r="BA88" i="8"/>
  <c r="AI88" i="2" s="1"/>
  <c r="BA87" i="8"/>
  <c r="AI87" i="2" s="1"/>
  <c r="BA86" i="8"/>
  <c r="AI86" i="2" s="1"/>
  <c r="BA85" i="8"/>
  <c r="AI85" i="2" s="1"/>
  <c r="BA84" i="8"/>
  <c r="AI84" i="2" s="1"/>
  <c r="BA83" i="8"/>
  <c r="AI83" i="2" s="1"/>
  <c r="BA82" i="8"/>
  <c r="AI82" i="2" s="1"/>
  <c r="BA81" i="8"/>
  <c r="AI81" i="2" s="1"/>
  <c r="BA80" i="8"/>
  <c r="AI80" i="2" s="1"/>
  <c r="BA79" i="8"/>
  <c r="AI79" i="2" s="1"/>
  <c r="BA78" i="8"/>
  <c r="AI78" i="2" s="1"/>
  <c r="BA77" i="8"/>
  <c r="AI77" i="2" s="1"/>
  <c r="BA76" i="8"/>
  <c r="AI76" i="2" s="1"/>
  <c r="BA75" i="8"/>
  <c r="AI75" i="2" s="1"/>
  <c r="BA74" i="8"/>
  <c r="AI74" i="2" s="1"/>
  <c r="BA73" i="8"/>
  <c r="AI73" i="2" s="1"/>
  <c r="BA72" i="8"/>
  <c r="AI72" i="2" s="1"/>
  <c r="BA71" i="8"/>
  <c r="AI71" i="2" s="1"/>
  <c r="BA70" i="8"/>
  <c r="AI70" i="2" s="1"/>
  <c r="BA69" i="8"/>
  <c r="AI69" i="2" s="1"/>
  <c r="BA68" i="8"/>
  <c r="AI68" i="2" s="1"/>
  <c r="BA67" i="8"/>
  <c r="AI67" i="2" s="1"/>
  <c r="BA66" i="8"/>
  <c r="AI66" i="2" s="1"/>
  <c r="BA65" i="8"/>
  <c r="AI65" i="2" s="1"/>
  <c r="BA64" i="8"/>
  <c r="AI64" i="2" s="1"/>
  <c r="BA63" i="8"/>
  <c r="AI63" i="2" s="1"/>
  <c r="BA62" i="8"/>
  <c r="AI62" i="2" s="1"/>
  <c r="BA61" i="8"/>
  <c r="AI61" i="2" s="1"/>
  <c r="BA60" i="8"/>
  <c r="AI60" i="2" s="1"/>
  <c r="BA59" i="8"/>
  <c r="AI59" i="2" s="1"/>
  <c r="BA58" i="8"/>
  <c r="AI58" i="2" s="1"/>
  <c r="I58" i="8"/>
  <c r="BA57" i="8"/>
  <c r="AI57" i="2" s="1"/>
  <c r="I57" i="8"/>
  <c r="BA56" i="8"/>
  <c r="AI56" i="2" s="1"/>
  <c r="I56" i="8"/>
  <c r="BA55" i="8"/>
  <c r="AI55" i="2" s="1"/>
  <c r="I55" i="8"/>
  <c r="BA54" i="8"/>
  <c r="AI54" i="2" s="1"/>
  <c r="I54" i="8"/>
  <c r="BA53" i="8"/>
  <c r="AI53" i="2" s="1"/>
  <c r="I53" i="8"/>
  <c r="BA52" i="8"/>
  <c r="AI52" i="2" s="1"/>
  <c r="I52" i="8"/>
  <c r="BA51" i="8"/>
  <c r="AI51" i="2" s="1"/>
  <c r="I51" i="8"/>
  <c r="BA50" i="8"/>
  <c r="AI50" i="2" s="1"/>
  <c r="I50" i="8"/>
  <c r="BA49" i="8"/>
  <c r="AI49" i="2" s="1"/>
  <c r="I49" i="8"/>
  <c r="BA48" i="8"/>
  <c r="AI48" i="2" s="1"/>
  <c r="BA47" i="8"/>
  <c r="AI47" i="2" s="1"/>
  <c r="BA46" i="8"/>
  <c r="AI46" i="2" s="1"/>
  <c r="BA45" i="8"/>
  <c r="AI45" i="2" s="1"/>
  <c r="BA44" i="8"/>
  <c r="AI44" i="2" s="1"/>
  <c r="BA43" i="8"/>
  <c r="AI43" i="2" s="1"/>
  <c r="CO42" i="8"/>
  <c r="CN42" i="8"/>
  <c r="CM42" i="8"/>
  <c r="CL42" i="8"/>
  <c r="BA42" i="8"/>
  <c r="AI42" i="2" s="1"/>
  <c r="AH42" i="8"/>
  <c r="AD42" i="8"/>
  <c r="AE42" i="8" s="1"/>
  <c r="J42" i="8"/>
  <c r="K42" i="8" s="1"/>
  <c r="I42" i="8"/>
  <c r="H42" i="8"/>
  <c r="F42" i="8"/>
  <c r="CO41" i="8"/>
  <c r="CN41" i="8"/>
  <c r="CM41" i="8"/>
  <c r="CL41" i="8"/>
  <c r="BA41" i="8"/>
  <c r="AI41" i="2" s="1"/>
  <c r="AH41" i="8"/>
  <c r="AD41" i="8"/>
  <c r="AE41" i="8" s="1"/>
  <c r="I41" i="8"/>
  <c r="H41" i="8"/>
  <c r="J41" i="8" s="1"/>
  <c r="K41" i="8" s="1"/>
  <c r="F41" i="8"/>
  <c r="CO40" i="8"/>
  <c r="CN40" i="8"/>
  <c r="CM40" i="8"/>
  <c r="CL40" i="8"/>
  <c r="BA40" i="8"/>
  <c r="AI40" i="2" s="1"/>
  <c r="AH40" i="8"/>
  <c r="AD40" i="8"/>
  <c r="AE40" i="8" s="1"/>
  <c r="I40" i="8"/>
  <c r="H40" i="8"/>
  <c r="J40" i="8" s="1"/>
  <c r="K40" i="8" s="1"/>
  <c r="F40" i="8"/>
  <c r="CO39" i="8"/>
  <c r="CN39" i="8"/>
  <c r="CM39" i="8"/>
  <c r="CL39" i="8"/>
  <c r="BA39" i="8"/>
  <c r="AI39" i="2" s="1"/>
  <c r="AH39" i="8"/>
  <c r="AD39" i="8"/>
  <c r="AE39" i="8" s="1"/>
  <c r="I39" i="8"/>
  <c r="H39" i="8"/>
  <c r="J39" i="8" s="1"/>
  <c r="K39" i="8" s="1"/>
  <c r="F39" i="8"/>
  <c r="CO38" i="8"/>
  <c r="CN38" i="8"/>
  <c r="CM38" i="8"/>
  <c r="CL38" i="8"/>
  <c r="BA38" i="8"/>
  <c r="AI38" i="2" s="1"/>
  <c r="AH38" i="8"/>
  <c r="AD38" i="8"/>
  <c r="AE38" i="8" s="1"/>
  <c r="I38" i="8"/>
  <c r="H38" i="8"/>
  <c r="J38" i="8" s="1"/>
  <c r="K38" i="8" s="1"/>
  <c r="F38" i="8"/>
  <c r="CO37" i="8"/>
  <c r="CN37" i="8"/>
  <c r="CM37" i="8"/>
  <c r="CL37" i="8"/>
  <c r="BA37" i="8"/>
  <c r="AI37" i="2" s="1"/>
  <c r="AH37" i="8"/>
  <c r="AD37" i="8"/>
  <c r="AE37" i="8" s="1"/>
  <c r="I37" i="8"/>
  <c r="H37" i="8"/>
  <c r="J37" i="8" s="1"/>
  <c r="K37" i="8" s="1"/>
  <c r="F37" i="8"/>
  <c r="CO36" i="8"/>
  <c r="CN36" i="8"/>
  <c r="CM36" i="8"/>
  <c r="CL36" i="8"/>
  <c r="BA36" i="8"/>
  <c r="AI36" i="2" s="1"/>
  <c r="AH36" i="8"/>
  <c r="AD36" i="8"/>
  <c r="AE36" i="8" s="1"/>
  <c r="I36" i="8"/>
  <c r="H36" i="8"/>
  <c r="J36" i="8" s="1"/>
  <c r="K36" i="8" s="1"/>
  <c r="F36" i="8"/>
  <c r="CO35" i="8"/>
  <c r="CN35" i="8"/>
  <c r="CM35" i="8"/>
  <c r="CL35" i="8"/>
  <c r="BA35" i="8"/>
  <c r="AI35" i="2" s="1"/>
  <c r="AH35" i="8"/>
  <c r="AD35" i="8"/>
  <c r="AE35" i="8" s="1"/>
  <c r="I35" i="8"/>
  <c r="H35" i="8"/>
  <c r="J35" i="8" s="1"/>
  <c r="K35" i="8" s="1"/>
  <c r="F35" i="8"/>
  <c r="CO34" i="8"/>
  <c r="CN34" i="8"/>
  <c r="CM34" i="8"/>
  <c r="CL34" i="8"/>
  <c r="BA34" i="8"/>
  <c r="AI34" i="2" s="1"/>
  <c r="AH34" i="8"/>
  <c r="AD34" i="8"/>
  <c r="AE34" i="8" s="1"/>
  <c r="I34" i="8"/>
  <c r="H34" i="8"/>
  <c r="J34" i="8" s="1"/>
  <c r="K34" i="8" s="1"/>
  <c r="F34" i="8"/>
  <c r="CO33" i="8"/>
  <c r="CN33" i="8"/>
  <c r="CM33" i="8"/>
  <c r="CL33" i="8"/>
  <c r="BA33" i="8"/>
  <c r="AI33" i="2" s="1"/>
  <c r="AH33" i="8"/>
  <c r="AD33" i="8"/>
  <c r="AE33" i="8" s="1"/>
  <c r="I33" i="8"/>
  <c r="H33" i="8"/>
  <c r="J33" i="8" s="1"/>
  <c r="K33" i="8" s="1"/>
  <c r="F33" i="8"/>
  <c r="CO32" i="8"/>
  <c r="CN32" i="8"/>
  <c r="CM32" i="8"/>
  <c r="CL32" i="8"/>
  <c r="BA32" i="8"/>
  <c r="AI32" i="2" s="1"/>
  <c r="AH32" i="8"/>
  <c r="AD32" i="8"/>
  <c r="AE32" i="8" s="1"/>
  <c r="I32" i="8"/>
  <c r="H32" i="8"/>
  <c r="J32" i="8" s="1"/>
  <c r="K32" i="8" s="1"/>
  <c r="F32" i="8"/>
  <c r="CO31" i="8"/>
  <c r="CN31" i="8"/>
  <c r="CM31" i="8"/>
  <c r="CL31" i="8"/>
  <c r="BA31" i="8"/>
  <c r="AI31" i="2" s="1"/>
  <c r="AH31" i="8"/>
  <c r="AD31" i="8"/>
  <c r="AE31" i="8" s="1"/>
  <c r="I31" i="8"/>
  <c r="H31" i="8"/>
  <c r="J31" i="8" s="1"/>
  <c r="K31" i="8" s="1"/>
  <c r="F31" i="8"/>
  <c r="CO30" i="8"/>
  <c r="CN30" i="8"/>
  <c r="CM30" i="8"/>
  <c r="CL30" i="8"/>
  <c r="BA30" i="8"/>
  <c r="AI30" i="2" s="1"/>
  <c r="AH30" i="8"/>
  <c r="AD30" i="8"/>
  <c r="AE30" i="8" s="1"/>
  <c r="I30" i="8"/>
  <c r="H30" i="8"/>
  <c r="J30" i="8" s="1"/>
  <c r="K30" i="8" s="1"/>
  <c r="F30" i="8"/>
  <c r="CO29" i="8"/>
  <c r="CN29" i="8"/>
  <c r="CM29" i="8"/>
  <c r="CL29" i="8"/>
  <c r="BA29" i="8"/>
  <c r="AI29" i="2" s="1"/>
  <c r="AH29" i="8"/>
  <c r="AD29" i="8"/>
  <c r="AE29" i="8" s="1"/>
  <c r="I29" i="8"/>
  <c r="H29" i="8"/>
  <c r="J29" i="8" s="1"/>
  <c r="K29" i="8" s="1"/>
  <c r="F29" i="8"/>
  <c r="CO28" i="8"/>
  <c r="CN28" i="8"/>
  <c r="CM28" i="8"/>
  <c r="CL28" i="8"/>
  <c r="BA28" i="8"/>
  <c r="AI28" i="2" s="1"/>
  <c r="AH28" i="8"/>
  <c r="AD28" i="8"/>
  <c r="AE28" i="8" s="1"/>
  <c r="I28" i="8"/>
  <c r="H28" i="8"/>
  <c r="J28" i="8" s="1"/>
  <c r="K28" i="8" s="1"/>
  <c r="F28" i="8"/>
  <c r="CO27" i="8"/>
  <c r="CN27" i="8"/>
  <c r="CM27" i="8"/>
  <c r="CL27" i="8"/>
  <c r="BA27" i="8"/>
  <c r="AI27" i="2" s="1"/>
  <c r="AQ27" i="8"/>
  <c r="AC27" i="2" s="1"/>
  <c r="AH27" i="8"/>
  <c r="AD27" i="8"/>
  <c r="AE27" i="8" s="1"/>
  <c r="I27" i="8"/>
  <c r="H27" i="8"/>
  <c r="J27" i="8" s="1"/>
  <c r="K27" i="8" s="1"/>
  <c r="F27" i="8"/>
  <c r="CO26" i="8"/>
  <c r="CN26" i="8"/>
  <c r="CM26" i="8"/>
  <c r="CL26" i="8"/>
  <c r="BA26" i="8"/>
  <c r="AI26" i="2" s="1"/>
  <c r="AQ26" i="8"/>
  <c r="AC26" i="2" s="1"/>
  <c r="AH26" i="8"/>
  <c r="AD26" i="8"/>
  <c r="AE26" i="8" s="1"/>
  <c r="I26" i="8"/>
  <c r="H26" i="8"/>
  <c r="J26" i="8" s="1"/>
  <c r="K26" i="8" s="1"/>
  <c r="F26" i="8"/>
  <c r="CO25" i="8"/>
  <c r="CN25" i="8"/>
  <c r="CM25" i="8"/>
  <c r="CL25" i="8"/>
  <c r="BA25" i="8"/>
  <c r="AI25" i="2" s="1"/>
  <c r="AQ25" i="8"/>
  <c r="AC25" i="2" s="1"/>
  <c r="AH25" i="8"/>
  <c r="AD25" i="8"/>
  <c r="AE25" i="8" s="1"/>
  <c r="I25" i="8"/>
  <c r="H25" i="8"/>
  <c r="J25" i="8" s="1"/>
  <c r="K25" i="8" s="1"/>
  <c r="F25" i="8"/>
  <c r="CO24" i="8"/>
  <c r="CN24" i="8"/>
  <c r="CM24" i="8"/>
  <c r="CL24" i="8"/>
  <c r="BA24" i="8"/>
  <c r="AI24" i="2" s="1"/>
  <c r="AQ24" i="8"/>
  <c r="AC24" i="2" s="1"/>
  <c r="AH24" i="8"/>
  <c r="AD24" i="8"/>
  <c r="AE24" i="8" s="1"/>
  <c r="I24" i="8"/>
  <c r="H24" i="8"/>
  <c r="J24" i="8" s="1"/>
  <c r="K24" i="8" s="1"/>
  <c r="F24" i="8"/>
  <c r="CO23" i="8"/>
  <c r="CN23" i="8"/>
  <c r="CM23" i="8"/>
  <c r="CL23" i="8"/>
  <c r="BA23" i="8"/>
  <c r="AI23" i="2" s="1"/>
  <c r="AH23" i="8"/>
  <c r="AD23" i="8"/>
  <c r="AE23" i="8" s="1"/>
  <c r="I23" i="8"/>
  <c r="H23" i="8"/>
  <c r="J23" i="8" s="1"/>
  <c r="K23" i="8" s="1"/>
  <c r="F23" i="8"/>
  <c r="CO22" i="8"/>
  <c r="CN22" i="8"/>
  <c r="CM22" i="8"/>
  <c r="CL22" i="8"/>
  <c r="BA22" i="8"/>
  <c r="AI22" i="2" s="1"/>
  <c r="AH22" i="8"/>
  <c r="AD22" i="8"/>
  <c r="H22" i="8"/>
  <c r="F22" i="8"/>
  <c r="CO21" i="8"/>
  <c r="CN21" i="8"/>
  <c r="CM21" i="8"/>
  <c r="CL21" i="8"/>
  <c r="BA21" i="8"/>
  <c r="AI21" i="2" s="1"/>
  <c r="AH21" i="8"/>
  <c r="AD21" i="8"/>
  <c r="AE21" i="8" s="1"/>
  <c r="I21" i="8"/>
  <c r="H21" i="8"/>
  <c r="J21" i="8" s="1"/>
  <c r="K21" i="8" s="1"/>
  <c r="F21" i="8"/>
  <c r="CO20" i="8"/>
  <c r="CN20" i="8"/>
  <c r="CM20" i="8"/>
  <c r="CL20" i="8"/>
  <c r="BA20" i="8"/>
  <c r="AI20" i="2" s="1"/>
  <c r="AH20" i="8"/>
  <c r="AD20" i="8"/>
  <c r="AE20" i="8" s="1"/>
  <c r="I20" i="8"/>
  <c r="H20" i="8"/>
  <c r="J20" i="8" s="1"/>
  <c r="K20" i="8" s="1"/>
  <c r="F20" i="8"/>
  <c r="CO19" i="8"/>
  <c r="CN19" i="8"/>
  <c r="CM19" i="8"/>
  <c r="CL19" i="8"/>
  <c r="BA19" i="8"/>
  <c r="AI19" i="2" s="1"/>
  <c r="AH19" i="8"/>
  <c r="AD19" i="8"/>
  <c r="AE19" i="8" s="1"/>
  <c r="I19" i="8"/>
  <c r="H19" i="8"/>
  <c r="J19" i="8" s="1"/>
  <c r="K19" i="8" s="1"/>
  <c r="F19" i="8"/>
  <c r="CO18" i="8"/>
  <c r="CN18" i="8"/>
  <c r="CM18" i="8"/>
  <c r="CL18" i="8"/>
  <c r="BA18" i="8"/>
  <c r="AI18" i="2" s="1"/>
  <c r="AH18" i="8"/>
  <c r="AD18" i="8"/>
  <c r="AE18" i="8" s="1"/>
  <c r="I18" i="8"/>
  <c r="H18" i="8"/>
  <c r="J18" i="8" s="1"/>
  <c r="K18" i="8" s="1"/>
  <c r="F18" i="8"/>
  <c r="CO17" i="8"/>
  <c r="CN17" i="8"/>
  <c r="CM17" i="8"/>
  <c r="CL17" i="8"/>
  <c r="BA17" i="8"/>
  <c r="AI17" i="2" s="1"/>
  <c r="AH17" i="8"/>
  <c r="AD17" i="8"/>
  <c r="AE17" i="8" s="1"/>
  <c r="I17" i="8"/>
  <c r="H17" i="8"/>
  <c r="J17" i="8" s="1"/>
  <c r="K17" i="8" s="1"/>
  <c r="F17" i="8"/>
  <c r="CO16" i="8"/>
  <c r="CN16" i="8"/>
  <c r="CM16" i="8"/>
  <c r="CL16" i="8"/>
  <c r="BA16" i="8"/>
  <c r="AI16" i="2" s="1"/>
  <c r="AH16" i="8"/>
  <c r="AD16" i="8"/>
  <c r="AE16" i="8" s="1"/>
  <c r="I16" i="8"/>
  <c r="H16" i="8"/>
  <c r="J16" i="8" s="1"/>
  <c r="K16" i="8" s="1"/>
  <c r="F16" i="8"/>
  <c r="CO15" i="8"/>
  <c r="CN15" i="8"/>
  <c r="CM15" i="8"/>
  <c r="CL15" i="8"/>
  <c r="BA15" i="8"/>
  <c r="AI15" i="2" s="1"/>
  <c r="AH15" i="8"/>
  <c r="AD15" i="8"/>
  <c r="AE15" i="8" s="1"/>
  <c r="I15" i="8"/>
  <c r="H15" i="8"/>
  <c r="J15" i="8" s="1"/>
  <c r="K15" i="8" s="1"/>
  <c r="F15" i="8"/>
  <c r="CO14" i="8"/>
  <c r="CN14" i="8"/>
  <c r="CM14" i="8"/>
  <c r="CL14" i="8"/>
  <c r="AH14" i="8"/>
  <c r="AD14" i="8"/>
  <c r="AE14" i="8" s="1"/>
  <c r="I14" i="8"/>
  <c r="H14" i="8"/>
  <c r="J14" i="8" s="1"/>
  <c r="K14" i="8" s="1"/>
  <c r="F14" i="8"/>
  <c r="CN13" i="8"/>
  <c r="CM13" i="8"/>
  <c r="H64" i="8" s="1"/>
  <c r="CL13" i="8"/>
  <c r="H60" i="8" s="1"/>
  <c r="BH13" i="8"/>
  <c r="BA13" i="8"/>
  <c r="AI13" i="2" s="1"/>
  <c r="AD13" i="8"/>
  <c r="X13" i="8"/>
  <c r="R13" i="8"/>
  <c r="H13" i="8"/>
  <c r="J13" i="8" s="1"/>
  <c r="K13" i="8" s="1"/>
  <c r="F13" i="8"/>
  <c r="BA12" i="8"/>
  <c r="AI12" i="2" s="1"/>
  <c r="BA11" i="8"/>
  <c r="AI11" i="2" s="1"/>
  <c r="BA10" i="8"/>
  <c r="AI10" i="2" s="1"/>
  <c r="BA9" i="8"/>
  <c r="AI9" i="2" s="1"/>
  <c r="E9" i="8"/>
  <c r="BA8" i="8"/>
  <c r="AI8" i="2" s="1"/>
  <c r="N8" i="8"/>
  <c r="BA14" i="8" s="1"/>
  <c r="AI14" i="2" s="1"/>
  <c r="BA7" i="8"/>
  <c r="AI7" i="2" s="1"/>
  <c r="BA6" i="8"/>
  <c r="AI6" i="2" s="1"/>
  <c r="AR5" i="8"/>
  <c r="AT3" i="8"/>
  <c r="AS3" i="8"/>
  <c r="B3" i="8"/>
  <c r="BA125" i="6"/>
  <c r="BA124" i="6"/>
  <c r="BA123" i="6"/>
  <c r="BA122" i="6"/>
  <c r="BA121" i="6"/>
  <c r="BA120" i="6"/>
  <c r="BA119" i="6"/>
  <c r="BA118" i="6"/>
  <c r="BA117" i="6"/>
  <c r="BA116" i="6"/>
  <c r="BA115" i="6"/>
  <c r="BA114" i="6"/>
  <c r="BA113" i="6"/>
  <c r="BA111" i="6"/>
  <c r="BA110" i="6"/>
  <c r="BA109" i="6"/>
  <c r="BA108" i="6"/>
  <c r="BA107" i="6"/>
  <c r="BA106" i="6"/>
  <c r="BA105" i="6"/>
  <c r="BA104" i="6"/>
  <c r="BA103" i="6"/>
  <c r="BA102" i="6"/>
  <c r="BA101" i="6"/>
  <c r="BA100" i="6"/>
  <c r="BA99" i="6"/>
  <c r="BA98" i="6"/>
  <c r="BA97" i="6"/>
  <c r="BA96" i="6"/>
  <c r="BA95" i="6"/>
  <c r="BA94" i="6"/>
  <c r="BA93" i="6"/>
  <c r="BA92" i="6"/>
  <c r="BA91" i="6"/>
  <c r="BA90" i="6"/>
  <c r="BA89" i="6"/>
  <c r="BA88" i="6"/>
  <c r="BA87" i="6"/>
  <c r="BA86" i="6"/>
  <c r="BA85" i="6"/>
  <c r="BA84" i="6"/>
  <c r="BA83" i="6"/>
  <c r="BA82" i="6"/>
  <c r="BA81" i="6"/>
  <c r="BA80" i="6"/>
  <c r="BA79" i="6"/>
  <c r="BA78" i="6"/>
  <c r="BA77" i="6"/>
  <c r="BA76" i="6"/>
  <c r="BA75" i="6"/>
  <c r="BA74" i="6"/>
  <c r="BA73" i="6"/>
  <c r="BA72" i="6"/>
  <c r="BA71" i="6"/>
  <c r="BA70" i="6"/>
  <c r="BA69" i="6"/>
  <c r="BA68" i="6"/>
  <c r="BA67" i="6"/>
  <c r="BA66" i="6"/>
  <c r="BA65" i="6"/>
  <c r="BA64" i="6"/>
  <c r="BA63" i="6"/>
  <c r="BA62" i="6"/>
  <c r="BA61" i="6"/>
  <c r="BA60" i="6"/>
  <c r="BA59" i="6"/>
  <c r="BA58" i="6"/>
  <c r="I58" i="6"/>
  <c r="BA57" i="6"/>
  <c r="I57" i="6"/>
  <c r="BA56" i="6"/>
  <c r="I56" i="6"/>
  <c r="BA55" i="6"/>
  <c r="I55" i="6"/>
  <c r="BA54" i="6"/>
  <c r="I54" i="6"/>
  <c r="BA53" i="6"/>
  <c r="I53" i="6"/>
  <c r="BA52" i="6"/>
  <c r="I52" i="6"/>
  <c r="BA51" i="6"/>
  <c r="I51" i="6"/>
  <c r="BA50" i="6"/>
  <c r="I50" i="6"/>
  <c r="BA49" i="6"/>
  <c r="I49" i="6"/>
  <c r="BA48" i="6"/>
  <c r="BA47" i="6"/>
  <c r="BA46" i="6"/>
  <c r="BA45" i="6"/>
  <c r="BA44" i="6"/>
  <c r="BA43" i="6"/>
  <c r="CO42" i="6"/>
  <c r="CN42" i="6"/>
  <c r="CM42" i="6"/>
  <c r="CL42" i="6"/>
  <c r="BA42" i="6"/>
  <c r="AH42" i="6"/>
  <c r="AD42" i="6"/>
  <c r="AE42" i="6" s="1"/>
  <c r="I42" i="6"/>
  <c r="H42" i="6"/>
  <c r="J42" i="6" s="1"/>
  <c r="K42" i="6" s="1"/>
  <c r="F42" i="6"/>
  <c r="CO41" i="6"/>
  <c r="CN41" i="6"/>
  <c r="CM41" i="6"/>
  <c r="CL41" i="6"/>
  <c r="BA41" i="6"/>
  <c r="AH41" i="6"/>
  <c r="AD41" i="6"/>
  <c r="AE41" i="6" s="1"/>
  <c r="I41" i="6"/>
  <c r="H41" i="6"/>
  <c r="J41" i="6" s="1"/>
  <c r="K41" i="6" s="1"/>
  <c r="F41" i="6"/>
  <c r="CO40" i="6"/>
  <c r="CN40" i="6"/>
  <c r="CM40" i="6"/>
  <c r="CL40" i="6"/>
  <c r="BA40" i="6"/>
  <c r="AH40" i="6"/>
  <c r="AD40" i="6"/>
  <c r="AE40" i="6" s="1"/>
  <c r="I40" i="6"/>
  <c r="H40" i="6"/>
  <c r="J40" i="6" s="1"/>
  <c r="K40" i="6" s="1"/>
  <c r="F40" i="6"/>
  <c r="CO39" i="6"/>
  <c r="CN39" i="6"/>
  <c r="CM39" i="6"/>
  <c r="CL39" i="6"/>
  <c r="BA39" i="6"/>
  <c r="AH39" i="6"/>
  <c r="AD39" i="6"/>
  <c r="AE39" i="6" s="1"/>
  <c r="I39" i="6"/>
  <c r="H39" i="6"/>
  <c r="J39" i="6" s="1"/>
  <c r="K39" i="6" s="1"/>
  <c r="F39" i="6"/>
  <c r="CO38" i="6"/>
  <c r="CN38" i="6"/>
  <c r="CM38" i="6"/>
  <c r="CL38" i="6"/>
  <c r="BA38" i="6"/>
  <c r="AH38" i="6"/>
  <c r="AD38" i="6"/>
  <c r="AE38" i="6" s="1"/>
  <c r="I38" i="6"/>
  <c r="H38" i="6"/>
  <c r="J38" i="6" s="1"/>
  <c r="K38" i="6" s="1"/>
  <c r="F38" i="6"/>
  <c r="CO37" i="6"/>
  <c r="CN37" i="6"/>
  <c r="CM37" i="6"/>
  <c r="CL37" i="6"/>
  <c r="BA37" i="6"/>
  <c r="AH37" i="6"/>
  <c r="AD37" i="6"/>
  <c r="AE37" i="6" s="1"/>
  <c r="I37" i="6"/>
  <c r="H37" i="6"/>
  <c r="J37" i="6" s="1"/>
  <c r="K37" i="6" s="1"/>
  <c r="F37" i="6"/>
  <c r="CO36" i="6"/>
  <c r="CN36" i="6"/>
  <c r="CM36" i="6"/>
  <c r="CL36" i="6"/>
  <c r="BA36" i="6"/>
  <c r="AH36" i="6"/>
  <c r="AD36" i="6"/>
  <c r="AE36" i="6" s="1"/>
  <c r="I36" i="6"/>
  <c r="H36" i="6"/>
  <c r="J36" i="6" s="1"/>
  <c r="K36" i="6" s="1"/>
  <c r="F36" i="6"/>
  <c r="CO35" i="6"/>
  <c r="CN35" i="6"/>
  <c r="CM35" i="6"/>
  <c r="CL35" i="6"/>
  <c r="BA35" i="6"/>
  <c r="AH35" i="6"/>
  <c r="AD35" i="6"/>
  <c r="AE35" i="6" s="1"/>
  <c r="I35" i="6"/>
  <c r="H35" i="6"/>
  <c r="J35" i="6" s="1"/>
  <c r="K35" i="6" s="1"/>
  <c r="F35" i="6"/>
  <c r="CO34" i="6"/>
  <c r="CN34" i="6"/>
  <c r="CM34" i="6"/>
  <c r="CL34" i="6"/>
  <c r="BA34" i="6"/>
  <c r="AH34" i="6"/>
  <c r="AD34" i="6"/>
  <c r="AE34" i="6" s="1"/>
  <c r="I34" i="6"/>
  <c r="H34" i="6"/>
  <c r="J34" i="6" s="1"/>
  <c r="K34" i="6" s="1"/>
  <c r="F34" i="6"/>
  <c r="CO33" i="6"/>
  <c r="CN33" i="6"/>
  <c r="CM33" i="6"/>
  <c r="CL33" i="6"/>
  <c r="BA33" i="6"/>
  <c r="AH33" i="6"/>
  <c r="AD33" i="6"/>
  <c r="AE33" i="6" s="1"/>
  <c r="I33" i="6"/>
  <c r="H33" i="6"/>
  <c r="J33" i="6" s="1"/>
  <c r="K33" i="6" s="1"/>
  <c r="F33" i="6"/>
  <c r="CO32" i="6"/>
  <c r="CN32" i="6"/>
  <c r="CM32" i="6"/>
  <c r="CL32" i="6"/>
  <c r="BA32" i="6"/>
  <c r="AH32" i="6"/>
  <c r="AD32" i="6"/>
  <c r="AE32" i="6" s="1"/>
  <c r="I32" i="6"/>
  <c r="H32" i="6"/>
  <c r="J32" i="6" s="1"/>
  <c r="K32" i="6" s="1"/>
  <c r="F32" i="6"/>
  <c r="CO31" i="6"/>
  <c r="CN31" i="6"/>
  <c r="CM31" i="6"/>
  <c r="CL31" i="6"/>
  <c r="BA31" i="6"/>
  <c r="AH31" i="6"/>
  <c r="AD31" i="6"/>
  <c r="AE31" i="6" s="1"/>
  <c r="I31" i="6"/>
  <c r="H31" i="6"/>
  <c r="J31" i="6" s="1"/>
  <c r="K31" i="6" s="1"/>
  <c r="F31" i="6"/>
  <c r="CO30" i="6"/>
  <c r="CN30" i="6"/>
  <c r="CM30" i="6"/>
  <c r="CL30" i="6"/>
  <c r="BA30" i="6"/>
  <c r="AH30" i="6"/>
  <c r="AD30" i="6"/>
  <c r="AE30" i="6" s="1"/>
  <c r="I30" i="6"/>
  <c r="H30" i="6"/>
  <c r="J30" i="6" s="1"/>
  <c r="K30" i="6" s="1"/>
  <c r="F30" i="6"/>
  <c r="CO29" i="6"/>
  <c r="CN29" i="6"/>
  <c r="CM29" i="6"/>
  <c r="CL29" i="6"/>
  <c r="BA29" i="6"/>
  <c r="AH29" i="6"/>
  <c r="AD29" i="6"/>
  <c r="AE29" i="6" s="1"/>
  <c r="I29" i="6"/>
  <c r="H29" i="6"/>
  <c r="J29" i="6" s="1"/>
  <c r="K29" i="6" s="1"/>
  <c r="F29" i="6"/>
  <c r="CO28" i="6"/>
  <c r="CN28" i="6"/>
  <c r="CM28" i="6"/>
  <c r="CL28" i="6"/>
  <c r="BA28" i="6"/>
  <c r="AH28" i="6"/>
  <c r="AD28" i="6"/>
  <c r="AE28" i="6" s="1"/>
  <c r="I28" i="6"/>
  <c r="H28" i="6"/>
  <c r="J28" i="6" s="1"/>
  <c r="K28" i="6" s="1"/>
  <c r="F28" i="6"/>
  <c r="CO27" i="6"/>
  <c r="CN27" i="6"/>
  <c r="CM27" i="6"/>
  <c r="CL27" i="6"/>
  <c r="BA27" i="6"/>
  <c r="AQ27" i="6"/>
  <c r="AH27" i="6"/>
  <c r="AD27" i="6"/>
  <c r="AE27" i="6" s="1"/>
  <c r="I27" i="6"/>
  <c r="H27" i="6"/>
  <c r="J27" i="6" s="1"/>
  <c r="K27" i="6" s="1"/>
  <c r="F27" i="6"/>
  <c r="CO26" i="6"/>
  <c r="CN26" i="6"/>
  <c r="CM26" i="6"/>
  <c r="CL26" i="6"/>
  <c r="BA26" i="6"/>
  <c r="AQ26" i="6"/>
  <c r="AH26" i="6"/>
  <c r="AD26" i="6"/>
  <c r="AE26" i="6" s="1"/>
  <c r="I26" i="6"/>
  <c r="H26" i="6"/>
  <c r="J26" i="6" s="1"/>
  <c r="K26" i="6" s="1"/>
  <c r="F26" i="6"/>
  <c r="CO25" i="6"/>
  <c r="CN25" i="6"/>
  <c r="CM25" i="6"/>
  <c r="CL25" i="6"/>
  <c r="BA25" i="6"/>
  <c r="AQ25" i="6"/>
  <c r="AH25" i="6"/>
  <c r="AE25" i="6"/>
  <c r="AD25" i="6"/>
  <c r="I25" i="6"/>
  <c r="H25" i="6"/>
  <c r="J25" i="6" s="1"/>
  <c r="K25" i="6" s="1"/>
  <c r="F25" i="6"/>
  <c r="CO24" i="6"/>
  <c r="CN24" i="6"/>
  <c r="CM24" i="6"/>
  <c r="CL24" i="6"/>
  <c r="BA24" i="6"/>
  <c r="AQ24" i="6"/>
  <c r="AH24" i="6"/>
  <c r="AD24" i="6"/>
  <c r="AE24" i="6" s="1"/>
  <c r="I24" i="6"/>
  <c r="H24" i="6"/>
  <c r="J24" i="6" s="1"/>
  <c r="K24" i="6" s="1"/>
  <c r="F24" i="6"/>
  <c r="CO23" i="6"/>
  <c r="CN23" i="6"/>
  <c r="CM23" i="6"/>
  <c r="CL23" i="6"/>
  <c r="BA23" i="6"/>
  <c r="AH23" i="6"/>
  <c r="AD23" i="6"/>
  <c r="AE23" i="6" s="1"/>
  <c r="I23" i="6"/>
  <c r="H23" i="6"/>
  <c r="J23" i="6" s="1"/>
  <c r="K23" i="6" s="1"/>
  <c r="F23" i="6"/>
  <c r="CO22" i="6"/>
  <c r="CN22" i="6"/>
  <c r="CM22" i="6"/>
  <c r="CL22" i="6"/>
  <c r="BA22" i="6"/>
  <c r="AH22" i="6"/>
  <c r="AD22" i="6"/>
  <c r="J22" i="6"/>
  <c r="K22" i="6" s="1"/>
  <c r="H22" i="6"/>
  <c r="F22" i="6"/>
  <c r="CO21" i="6"/>
  <c r="CN21" i="6"/>
  <c r="CM21" i="6"/>
  <c r="CL21" i="6"/>
  <c r="BA21" i="6"/>
  <c r="AH21" i="6"/>
  <c r="AD21" i="6"/>
  <c r="AE21" i="6" s="1"/>
  <c r="I21" i="6"/>
  <c r="H21" i="6"/>
  <c r="J21" i="6" s="1"/>
  <c r="K21" i="6" s="1"/>
  <c r="F21" i="6"/>
  <c r="CN20" i="6"/>
  <c r="CM20" i="6"/>
  <c r="CL20" i="6"/>
  <c r="BA20" i="6"/>
  <c r="AD20" i="6"/>
  <c r="H20" i="6"/>
  <c r="J20" i="6" s="1"/>
  <c r="K20" i="6" s="1"/>
  <c r="F20" i="6"/>
  <c r="CN19" i="6"/>
  <c r="CM19" i="6"/>
  <c r="CL19" i="6"/>
  <c r="BA19" i="6"/>
  <c r="AD19" i="6"/>
  <c r="H19" i="6"/>
  <c r="J19" i="6" s="1"/>
  <c r="K19" i="6" s="1"/>
  <c r="F19" i="6"/>
  <c r="CN18" i="6"/>
  <c r="CM18" i="6"/>
  <c r="CL18" i="6"/>
  <c r="BA18" i="6"/>
  <c r="AD18" i="6"/>
  <c r="H18" i="6"/>
  <c r="J18" i="6" s="1"/>
  <c r="K18" i="6" s="1"/>
  <c r="F18" i="6"/>
  <c r="CN17" i="6"/>
  <c r="CM17" i="6"/>
  <c r="CL17" i="6"/>
  <c r="BA17" i="6"/>
  <c r="AD17" i="6"/>
  <c r="H17" i="6"/>
  <c r="J17" i="6" s="1"/>
  <c r="K17" i="6" s="1"/>
  <c r="F17" i="6"/>
  <c r="CN16" i="6"/>
  <c r="CM16" i="6"/>
  <c r="CL16" i="6"/>
  <c r="BA16" i="6"/>
  <c r="AD16" i="6"/>
  <c r="H16" i="6"/>
  <c r="J16" i="6" s="1"/>
  <c r="K16" i="6" s="1"/>
  <c r="F16" i="6"/>
  <c r="CN15" i="6"/>
  <c r="CM15" i="6"/>
  <c r="CL15" i="6"/>
  <c r="BA15" i="6"/>
  <c r="AD15" i="6"/>
  <c r="H15" i="6"/>
  <c r="J15" i="6" s="1"/>
  <c r="K15" i="6" s="1"/>
  <c r="F15" i="6"/>
  <c r="CN14" i="6"/>
  <c r="CM14" i="6"/>
  <c r="CL14" i="6"/>
  <c r="AD14" i="6"/>
  <c r="H14" i="6"/>
  <c r="J14" i="6" s="1"/>
  <c r="K14" i="6" s="1"/>
  <c r="F14" i="6"/>
  <c r="CN13" i="6"/>
  <c r="CM13" i="6"/>
  <c r="H64" i="6" s="1"/>
  <c r="CL13" i="6"/>
  <c r="H60" i="6" s="1"/>
  <c r="BH13" i="6"/>
  <c r="BA13" i="6"/>
  <c r="AD13" i="6"/>
  <c r="X13" i="6"/>
  <c r="R13" i="6"/>
  <c r="H13" i="6"/>
  <c r="J13" i="6" s="1"/>
  <c r="K13" i="6" s="1"/>
  <c r="F13" i="6"/>
  <c r="BA12" i="6"/>
  <c r="BA11" i="6"/>
  <c r="BA10" i="6"/>
  <c r="BA9" i="6"/>
  <c r="E9" i="6"/>
  <c r="BA8" i="6"/>
  <c r="N8" i="6"/>
  <c r="BA14" i="6" s="1"/>
  <c r="BA7" i="6"/>
  <c r="BA6" i="6"/>
  <c r="AR6" i="6"/>
  <c r="AR5" i="6"/>
  <c r="AT3" i="6"/>
  <c r="AS3" i="6"/>
  <c r="B3" i="6"/>
  <c r="BA125" i="5"/>
  <c r="BA124" i="5"/>
  <c r="BA123" i="5"/>
  <c r="BA122" i="5"/>
  <c r="BA121" i="5"/>
  <c r="BA120" i="5"/>
  <c r="BA119" i="5"/>
  <c r="BA118" i="5"/>
  <c r="BA117" i="5"/>
  <c r="BA116" i="5"/>
  <c r="BA115" i="5"/>
  <c r="BA114" i="5"/>
  <c r="BA113" i="5"/>
  <c r="BA111" i="5"/>
  <c r="BA110" i="5"/>
  <c r="BA109" i="5"/>
  <c r="BA108" i="5"/>
  <c r="BA107" i="5"/>
  <c r="BA106" i="5"/>
  <c r="BA105" i="5"/>
  <c r="BA104" i="5"/>
  <c r="BA103" i="5"/>
  <c r="BA102" i="5"/>
  <c r="BA101" i="5"/>
  <c r="BA100" i="5"/>
  <c r="BA99" i="5"/>
  <c r="BA98" i="5"/>
  <c r="BA97" i="5"/>
  <c r="BA96" i="5"/>
  <c r="BA95" i="5"/>
  <c r="BA94" i="5"/>
  <c r="BA93" i="5"/>
  <c r="BA92" i="5"/>
  <c r="BA91" i="5"/>
  <c r="BA90" i="5"/>
  <c r="BA89" i="5"/>
  <c r="BA88" i="5"/>
  <c r="BA87" i="5"/>
  <c r="BA86" i="5"/>
  <c r="BA85" i="5"/>
  <c r="BA84" i="5"/>
  <c r="BA83" i="5"/>
  <c r="BA82" i="5"/>
  <c r="BA81" i="5"/>
  <c r="BA80" i="5"/>
  <c r="BA79" i="5"/>
  <c r="BA78" i="5"/>
  <c r="BA77" i="5"/>
  <c r="BA76" i="5"/>
  <c r="BA75" i="5"/>
  <c r="BA74" i="5"/>
  <c r="BA73" i="5"/>
  <c r="BA72" i="5"/>
  <c r="BA71" i="5"/>
  <c r="BA70" i="5"/>
  <c r="BA69" i="5"/>
  <c r="BA68" i="5"/>
  <c r="BA67" i="5"/>
  <c r="BA66" i="5"/>
  <c r="BA65" i="5"/>
  <c r="BA64" i="5"/>
  <c r="BA63" i="5"/>
  <c r="BA62" i="5"/>
  <c r="BA61" i="5"/>
  <c r="BA60" i="5"/>
  <c r="BA59" i="5"/>
  <c r="BA58" i="5"/>
  <c r="I58" i="5"/>
  <c r="BA57" i="5"/>
  <c r="I57" i="5"/>
  <c r="BA56" i="5"/>
  <c r="I56" i="5"/>
  <c r="BA55" i="5"/>
  <c r="I55" i="5"/>
  <c r="BA54" i="5"/>
  <c r="I54" i="5"/>
  <c r="BA53" i="5"/>
  <c r="I53" i="5"/>
  <c r="BA52" i="5"/>
  <c r="I52" i="5"/>
  <c r="BA51" i="5"/>
  <c r="I51" i="5"/>
  <c r="BA50" i="5"/>
  <c r="I50" i="5"/>
  <c r="BA49" i="5"/>
  <c r="I49" i="5"/>
  <c r="BA48" i="5"/>
  <c r="BA47" i="5"/>
  <c r="BA46" i="5"/>
  <c r="BA45" i="5"/>
  <c r="BA44" i="5"/>
  <c r="BA43" i="5"/>
  <c r="CO42" i="5"/>
  <c r="CN42" i="5"/>
  <c r="CM42" i="5"/>
  <c r="CL42" i="5"/>
  <c r="BA42" i="5"/>
  <c r="AH42" i="5"/>
  <c r="AD42" i="5"/>
  <c r="AE42" i="5" s="1"/>
  <c r="I42" i="5"/>
  <c r="H42" i="5"/>
  <c r="J42" i="5" s="1"/>
  <c r="K42" i="5" s="1"/>
  <c r="F42" i="5"/>
  <c r="CO41" i="5"/>
  <c r="CN41" i="5"/>
  <c r="CM41" i="5"/>
  <c r="CL41" i="5"/>
  <c r="BA41" i="5"/>
  <c r="AH41" i="5"/>
  <c r="AD41" i="5"/>
  <c r="AE41" i="5" s="1"/>
  <c r="I41" i="5"/>
  <c r="H41" i="5"/>
  <c r="J41" i="5" s="1"/>
  <c r="K41" i="5" s="1"/>
  <c r="F41" i="5"/>
  <c r="CO40" i="5"/>
  <c r="CN40" i="5"/>
  <c r="CM40" i="5"/>
  <c r="CL40" i="5"/>
  <c r="BA40" i="5"/>
  <c r="AH40" i="5"/>
  <c r="AD40" i="5"/>
  <c r="AE40" i="5" s="1"/>
  <c r="I40" i="5"/>
  <c r="H40" i="5"/>
  <c r="J40" i="5" s="1"/>
  <c r="K40" i="5" s="1"/>
  <c r="F40" i="5"/>
  <c r="CO39" i="5"/>
  <c r="CN39" i="5"/>
  <c r="CM39" i="5"/>
  <c r="CL39" i="5"/>
  <c r="BA39" i="5"/>
  <c r="AH39" i="5"/>
  <c r="AD39" i="5"/>
  <c r="AE39" i="5" s="1"/>
  <c r="I39" i="5"/>
  <c r="H39" i="5"/>
  <c r="J39" i="5" s="1"/>
  <c r="K39" i="5" s="1"/>
  <c r="F39" i="5"/>
  <c r="CO38" i="5"/>
  <c r="CN38" i="5"/>
  <c r="CM38" i="5"/>
  <c r="CL38" i="5"/>
  <c r="BA38" i="5"/>
  <c r="AH38" i="5"/>
  <c r="AD38" i="5"/>
  <c r="AE38" i="5" s="1"/>
  <c r="I38" i="5"/>
  <c r="H38" i="5"/>
  <c r="J38" i="5" s="1"/>
  <c r="K38" i="5" s="1"/>
  <c r="F38" i="5"/>
  <c r="CO37" i="5"/>
  <c r="CN37" i="5"/>
  <c r="CM37" i="5"/>
  <c r="CL37" i="5"/>
  <c r="BA37" i="5"/>
  <c r="AH37" i="5"/>
  <c r="AD37" i="5"/>
  <c r="AE37" i="5" s="1"/>
  <c r="I37" i="5"/>
  <c r="H37" i="5"/>
  <c r="J37" i="5" s="1"/>
  <c r="K37" i="5" s="1"/>
  <c r="F37" i="5"/>
  <c r="CO36" i="5"/>
  <c r="CN36" i="5"/>
  <c r="CM36" i="5"/>
  <c r="CL36" i="5"/>
  <c r="BA36" i="5"/>
  <c r="AH36" i="5"/>
  <c r="AD36" i="5"/>
  <c r="AE36" i="5" s="1"/>
  <c r="I36" i="5"/>
  <c r="H36" i="5"/>
  <c r="J36" i="5" s="1"/>
  <c r="K36" i="5" s="1"/>
  <c r="F36" i="5"/>
  <c r="CO35" i="5"/>
  <c r="CN35" i="5"/>
  <c r="CM35" i="5"/>
  <c r="CL35" i="5"/>
  <c r="BA35" i="5"/>
  <c r="AH35" i="5"/>
  <c r="AD35" i="5"/>
  <c r="AE35" i="5" s="1"/>
  <c r="I35" i="5"/>
  <c r="H35" i="5"/>
  <c r="J35" i="5" s="1"/>
  <c r="K35" i="5" s="1"/>
  <c r="F35" i="5"/>
  <c r="CO34" i="5"/>
  <c r="CN34" i="5"/>
  <c r="CM34" i="5"/>
  <c r="CL34" i="5"/>
  <c r="BA34" i="5"/>
  <c r="AH34" i="5"/>
  <c r="AD34" i="5"/>
  <c r="AE34" i="5" s="1"/>
  <c r="I34" i="5"/>
  <c r="H34" i="5"/>
  <c r="J34" i="5" s="1"/>
  <c r="K34" i="5" s="1"/>
  <c r="F34" i="5"/>
  <c r="CO33" i="5"/>
  <c r="CN33" i="5"/>
  <c r="CM33" i="5"/>
  <c r="CL33" i="5"/>
  <c r="BA33" i="5"/>
  <c r="AH33" i="5"/>
  <c r="AD33" i="5"/>
  <c r="AE33" i="5" s="1"/>
  <c r="I33" i="5"/>
  <c r="H33" i="5"/>
  <c r="J33" i="5" s="1"/>
  <c r="K33" i="5" s="1"/>
  <c r="F33" i="5"/>
  <c r="CO32" i="5"/>
  <c r="CN32" i="5"/>
  <c r="CM32" i="5"/>
  <c r="CL32" i="5"/>
  <c r="BA32" i="5"/>
  <c r="AH32" i="5"/>
  <c r="AD32" i="5"/>
  <c r="AE32" i="5" s="1"/>
  <c r="I32" i="5"/>
  <c r="H32" i="5"/>
  <c r="J32" i="5" s="1"/>
  <c r="K32" i="5" s="1"/>
  <c r="F32" i="5"/>
  <c r="CN31" i="5"/>
  <c r="CM31" i="5"/>
  <c r="CL31" i="5"/>
  <c r="BA31" i="5"/>
  <c r="AD31" i="5"/>
  <c r="H31" i="5"/>
  <c r="J31" i="5" s="1"/>
  <c r="K31" i="5" s="1"/>
  <c r="F31" i="5"/>
  <c r="CN30" i="5"/>
  <c r="CM30" i="5"/>
  <c r="CL30" i="5"/>
  <c r="BA30" i="5"/>
  <c r="AD30" i="5"/>
  <c r="H30" i="5"/>
  <c r="J30" i="5" s="1"/>
  <c r="K30" i="5" s="1"/>
  <c r="F30" i="5"/>
  <c r="CN29" i="5"/>
  <c r="CM29" i="5"/>
  <c r="CL29" i="5"/>
  <c r="BA29" i="5"/>
  <c r="AD29" i="5"/>
  <c r="H29" i="5"/>
  <c r="J29" i="5" s="1"/>
  <c r="K29" i="5" s="1"/>
  <c r="F29" i="5"/>
  <c r="CN28" i="5"/>
  <c r="CM28" i="5"/>
  <c r="CL28" i="5"/>
  <c r="BA28" i="5"/>
  <c r="AD28" i="5"/>
  <c r="H28" i="5"/>
  <c r="J28" i="5" s="1"/>
  <c r="K28" i="5" s="1"/>
  <c r="F28" i="5"/>
  <c r="CN27" i="5"/>
  <c r="CM27" i="5"/>
  <c r="CL27" i="5"/>
  <c r="BA27" i="5"/>
  <c r="AQ27" i="5"/>
  <c r="AD27" i="5"/>
  <c r="H27" i="5"/>
  <c r="J27" i="5" s="1"/>
  <c r="K27" i="5" s="1"/>
  <c r="F27" i="5"/>
  <c r="CN26" i="5"/>
  <c r="CM26" i="5"/>
  <c r="CL26" i="5"/>
  <c r="BA26" i="5"/>
  <c r="AQ26" i="5"/>
  <c r="AD26" i="5"/>
  <c r="H26" i="5"/>
  <c r="J26" i="5" s="1"/>
  <c r="K26" i="5" s="1"/>
  <c r="F26" i="5"/>
  <c r="CN25" i="5"/>
  <c r="CM25" i="5"/>
  <c r="CL25" i="5"/>
  <c r="BA25" i="5"/>
  <c r="AQ25" i="5"/>
  <c r="AD25" i="5"/>
  <c r="H25" i="5"/>
  <c r="J25" i="5" s="1"/>
  <c r="K25" i="5" s="1"/>
  <c r="F25" i="5"/>
  <c r="CN24" i="5"/>
  <c r="CM24" i="5"/>
  <c r="CL24" i="5"/>
  <c r="BA24" i="5"/>
  <c r="AQ24" i="5"/>
  <c r="AD24" i="5"/>
  <c r="H24" i="5"/>
  <c r="J24" i="5" s="1"/>
  <c r="K24" i="5" s="1"/>
  <c r="F24" i="5"/>
  <c r="CN23" i="5"/>
  <c r="CM23" i="5"/>
  <c r="CL23" i="5"/>
  <c r="BA23" i="5"/>
  <c r="AD23" i="5"/>
  <c r="I23" i="5"/>
  <c r="H23" i="5"/>
  <c r="J23" i="5" s="1"/>
  <c r="K23" i="5" s="1"/>
  <c r="F23" i="5"/>
  <c r="CN22" i="5"/>
  <c r="CM22" i="5"/>
  <c r="CL22" i="5"/>
  <c r="BA22" i="5"/>
  <c r="AD22" i="5"/>
  <c r="H22" i="5"/>
  <c r="J22" i="5" s="1"/>
  <c r="K22" i="5" s="1"/>
  <c r="F22" i="5"/>
  <c r="CN21" i="5"/>
  <c r="CM21" i="5"/>
  <c r="CL21" i="5"/>
  <c r="BA21" i="5"/>
  <c r="AD21" i="5"/>
  <c r="H21" i="5"/>
  <c r="J21" i="5" s="1"/>
  <c r="K21" i="5" s="1"/>
  <c r="F21" i="5"/>
  <c r="CN20" i="5"/>
  <c r="CM20" i="5"/>
  <c r="CL20" i="5"/>
  <c r="BA20" i="5"/>
  <c r="AD20" i="5"/>
  <c r="H20" i="5"/>
  <c r="J20" i="5" s="1"/>
  <c r="K20" i="5" s="1"/>
  <c r="F20" i="5"/>
  <c r="CN19" i="5"/>
  <c r="CM19" i="5"/>
  <c r="CL19" i="5"/>
  <c r="BA19" i="5"/>
  <c r="AD19" i="5"/>
  <c r="H19" i="5"/>
  <c r="J19" i="5" s="1"/>
  <c r="K19" i="5" s="1"/>
  <c r="F19" i="5"/>
  <c r="CN18" i="5"/>
  <c r="CM18" i="5"/>
  <c r="CL18" i="5"/>
  <c r="BA18" i="5"/>
  <c r="AD18" i="5"/>
  <c r="H18" i="5"/>
  <c r="J18" i="5" s="1"/>
  <c r="K18" i="5" s="1"/>
  <c r="F18" i="5"/>
  <c r="CN17" i="5"/>
  <c r="CM17" i="5"/>
  <c r="CL17" i="5"/>
  <c r="BA17" i="5"/>
  <c r="AD17" i="5"/>
  <c r="H17" i="5"/>
  <c r="J17" i="5" s="1"/>
  <c r="K17" i="5" s="1"/>
  <c r="F17" i="5"/>
  <c r="CN16" i="5"/>
  <c r="CM16" i="5"/>
  <c r="CL16" i="5"/>
  <c r="BA16" i="5"/>
  <c r="AD16" i="5"/>
  <c r="H16" i="5"/>
  <c r="J16" i="5" s="1"/>
  <c r="K16" i="5" s="1"/>
  <c r="F16" i="5"/>
  <c r="CN15" i="5"/>
  <c r="CM15" i="5"/>
  <c r="CL15" i="5"/>
  <c r="BA15" i="5"/>
  <c r="AD15" i="5"/>
  <c r="H15" i="5"/>
  <c r="J15" i="5" s="1"/>
  <c r="K15" i="5" s="1"/>
  <c r="F15" i="5"/>
  <c r="CN14" i="5"/>
  <c r="CM14" i="5"/>
  <c r="CL14" i="5"/>
  <c r="AD14" i="5"/>
  <c r="H14" i="5"/>
  <c r="J14" i="5" s="1"/>
  <c r="K14" i="5" s="1"/>
  <c r="F14" i="5"/>
  <c r="CN13" i="5"/>
  <c r="CM13" i="5"/>
  <c r="H64" i="5" s="1"/>
  <c r="CL13" i="5"/>
  <c r="H60" i="5" s="1"/>
  <c r="BH13" i="5"/>
  <c r="BA13" i="5"/>
  <c r="AD13" i="5"/>
  <c r="X13" i="5"/>
  <c r="R13" i="5"/>
  <c r="H13" i="5"/>
  <c r="J13" i="5" s="1"/>
  <c r="K13" i="5" s="1"/>
  <c r="F13" i="5"/>
  <c r="BA12" i="5"/>
  <c r="BA11" i="5"/>
  <c r="BA10" i="5"/>
  <c r="BA9" i="5"/>
  <c r="E9" i="5"/>
  <c r="BA8" i="5"/>
  <c r="N8" i="5"/>
  <c r="BA14" i="5" s="1"/>
  <c r="BA7" i="5"/>
  <c r="BA6" i="5"/>
  <c r="AR6" i="5"/>
  <c r="AR5" i="5"/>
  <c r="AT3" i="5"/>
  <c r="AS3" i="5"/>
  <c r="B3" i="5"/>
  <c r="O125" i="3"/>
  <c r="M125" i="3"/>
  <c r="L125" i="3"/>
  <c r="K125" i="3"/>
  <c r="J125" i="3"/>
  <c r="I125" i="3"/>
  <c r="O124" i="3"/>
  <c r="M124" i="3"/>
  <c r="L124" i="3"/>
  <c r="K124" i="3"/>
  <c r="J124" i="3"/>
  <c r="I124" i="3"/>
  <c r="O123" i="3"/>
  <c r="M123" i="3"/>
  <c r="L123" i="3"/>
  <c r="K123" i="3"/>
  <c r="J123" i="3"/>
  <c r="I123" i="3"/>
  <c r="O122" i="3"/>
  <c r="M122" i="3"/>
  <c r="L122" i="3"/>
  <c r="K122" i="3"/>
  <c r="J122" i="3"/>
  <c r="I122" i="3"/>
  <c r="O121" i="3"/>
  <c r="M121" i="3"/>
  <c r="L121" i="3"/>
  <c r="K121" i="3"/>
  <c r="J121" i="3"/>
  <c r="I121" i="3"/>
  <c r="O120" i="3"/>
  <c r="M120" i="3"/>
  <c r="L120" i="3"/>
  <c r="K120" i="3"/>
  <c r="J120" i="3"/>
  <c r="I120" i="3"/>
  <c r="O119" i="3"/>
  <c r="M119" i="3"/>
  <c r="L119" i="3"/>
  <c r="K119" i="3"/>
  <c r="J119" i="3"/>
  <c r="I119" i="3"/>
  <c r="O118" i="3"/>
  <c r="M118" i="3"/>
  <c r="L118" i="3"/>
  <c r="K118" i="3"/>
  <c r="J118" i="3"/>
  <c r="I118" i="3"/>
  <c r="O117" i="3"/>
  <c r="M117" i="3"/>
  <c r="L117" i="3"/>
  <c r="K117" i="3"/>
  <c r="J117" i="3"/>
  <c r="I117" i="3"/>
  <c r="O116" i="3"/>
  <c r="M116" i="3"/>
  <c r="L116" i="3"/>
  <c r="K116" i="3"/>
  <c r="J116" i="3"/>
  <c r="I116" i="3"/>
  <c r="O115" i="3"/>
  <c r="M115" i="3"/>
  <c r="L115" i="3"/>
  <c r="K115" i="3"/>
  <c r="J115" i="3"/>
  <c r="I115" i="3"/>
  <c r="O114" i="3"/>
  <c r="M114" i="3"/>
  <c r="L114" i="3"/>
  <c r="K114" i="3"/>
  <c r="J114" i="3"/>
  <c r="I114" i="3"/>
  <c r="O113" i="3"/>
  <c r="M113" i="3"/>
  <c r="L113" i="3"/>
  <c r="K113" i="3"/>
  <c r="J113" i="3"/>
  <c r="I113" i="3"/>
  <c r="O112" i="3"/>
  <c r="M112" i="3"/>
  <c r="L112" i="3"/>
  <c r="K112" i="3"/>
  <c r="J112" i="3"/>
  <c r="I112" i="3"/>
  <c r="O111" i="3"/>
  <c r="M111" i="3"/>
  <c r="L111" i="3"/>
  <c r="K111" i="3"/>
  <c r="J111" i="3"/>
  <c r="O110" i="3"/>
  <c r="M110" i="3"/>
  <c r="L110" i="3"/>
  <c r="K110" i="3"/>
  <c r="J110" i="3"/>
  <c r="O109" i="3"/>
  <c r="M109" i="3"/>
  <c r="L109" i="3"/>
  <c r="K109" i="3"/>
  <c r="J109" i="3"/>
  <c r="O108" i="3"/>
  <c r="M108" i="3"/>
  <c r="L108" i="3"/>
  <c r="K108" i="3"/>
  <c r="J108" i="3"/>
  <c r="O107" i="3"/>
  <c r="M107" i="3"/>
  <c r="L107" i="3"/>
  <c r="K107" i="3"/>
  <c r="J107" i="3"/>
  <c r="O106" i="3"/>
  <c r="M106" i="3"/>
  <c r="L106" i="3"/>
  <c r="K106" i="3"/>
  <c r="J106" i="3"/>
  <c r="O105" i="3"/>
  <c r="M105" i="3"/>
  <c r="L105" i="3"/>
  <c r="K105" i="3"/>
  <c r="J105" i="3"/>
  <c r="O104" i="3"/>
  <c r="M104" i="3"/>
  <c r="L104" i="3"/>
  <c r="K104" i="3"/>
  <c r="J104" i="3"/>
  <c r="O103" i="3"/>
  <c r="M103" i="3"/>
  <c r="L103" i="3"/>
  <c r="K103" i="3"/>
  <c r="J103" i="3"/>
  <c r="O102" i="3"/>
  <c r="M102" i="3"/>
  <c r="L102" i="3"/>
  <c r="K102" i="3"/>
  <c r="J102" i="3"/>
  <c r="O101" i="3"/>
  <c r="M101" i="3"/>
  <c r="L101" i="3"/>
  <c r="K101" i="3"/>
  <c r="J101" i="3"/>
  <c r="O100" i="3"/>
  <c r="M100" i="3"/>
  <c r="L100" i="3"/>
  <c r="K100" i="3"/>
  <c r="J100" i="3"/>
  <c r="O99" i="3"/>
  <c r="M99" i="3"/>
  <c r="L99" i="3"/>
  <c r="K99" i="3"/>
  <c r="J99" i="3"/>
  <c r="O98" i="3"/>
  <c r="M98" i="3"/>
  <c r="L98" i="3"/>
  <c r="K98" i="3"/>
  <c r="J98" i="3"/>
  <c r="O97" i="3"/>
  <c r="M97" i="3"/>
  <c r="L97" i="3"/>
  <c r="K97" i="3"/>
  <c r="J97" i="3"/>
  <c r="O96" i="3"/>
  <c r="M96" i="3"/>
  <c r="L96" i="3"/>
  <c r="K96" i="3"/>
  <c r="J96" i="3"/>
  <c r="O95" i="3"/>
  <c r="M95" i="3"/>
  <c r="L95" i="3"/>
  <c r="K95" i="3"/>
  <c r="J95" i="3"/>
  <c r="O94" i="3"/>
  <c r="M94" i="3"/>
  <c r="L94" i="3"/>
  <c r="K94" i="3"/>
  <c r="J94" i="3"/>
  <c r="O93" i="3"/>
  <c r="M93" i="3"/>
  <c r="L93" i="3"/>
  <c r="K93" i="3"/>
  <c r="I93" i="3"/>
  <c r="O92" i="3"/>
  <c r="M92" i="3"/>
  <c r="L92" i="3"/>
  <c r="K92" i="3"/>
  <c r="I92" i="3"/>
  <c r="O91" i="3"/>
  <c r="M91" i="3"/>
  <c r="L91" i="3"/>
  <c r="K91" i="3"/>
  <c r="I91" i="3"/>
  <c r="O90" i="3"/>
  <c r="M90" i="3"/>
  <c r="L90" i="3"/>
  <c r="K90" i="3"/>
  <c r="I90" i="3"/>
  <c r="O89" i="3"/>
  <c r="M89" i="3"/>
  <c r="L89" i="3"/>
  <c r="K89" i="3"/>
  <c r="I89" i="3"/>
  <c r="O88" i="3"/>
  <c r="M88" i="3"/>
  <c r="L88" i="3"/>
  <c r="K88" i="3"/>
  <c r="I88" i="3"/>
  <c r="O87" i="3"/>
  <c r="L87" i="3"/>
  <c r="K87" i="3"/>
  <c r="J87" i="3"/>
  <c r="I87" i="3"/>
  <c r="O86" i="3"/>
  <c r="L86" i="3"/>
  <c r="K86" i="3"/>
  <c r="J86" i="3"/>
  <c r="I86" i="3"/>
  <c r="O85" i="3"/>
  <c r="L85" i="3"/>
  <c r="K85" i="3"/>
  <c r="J85" i="3"/>
  <c r="I85" i="3"/>
  <c r="O84" i="3"/>
  <c r="L84" i="3"/>
  <c r="K84" i="3"/>
  <c r="J84" i="3"/>
  <c r="I84" i="3"/>
  <c r="O83" i="3"/>
  <c r="L83" i="3"/>
  <c r="K83" i="3"/>
  <c r="J83" i="3"/>
  <c r="I83" i="3"/>
  <c r="O82" i="3"/>
  <c r="L82" i="3"/>
  <c r="K82" i="3"/>
  <c r="J82" i="3"/>
  <c r="I82" i="3"/>
  <c r="O81" i="3"/>
  <c r="M81" i="3"/>
  <c r="L81" i="3"/>
  <c r="K81" i="3"/>
  <c r="J81" i="3"/>
  <c r="O80" i="3"/>
  <c r="M80" i="3"/>
  <c r="L80" i="3"/>
  <c r="K80" i="3"/>
  <c r="J80" i="3"/>
  <c r="O79" i="3"/>
  <c r="M79" i="3"/>
  <c r="L79" i="3"/>
  <c r="K79" i="3"/>
  <c r="J79" i="3"/>
  <c r="O78" i="3"/>
  <c r="M78" i="3"/>
  <c r="L78" i="3"/>
  <c r="K78" i="3"/>
  <c r="J78" i="3"/>
  <c r="O77" i="3"/>
  <c r="M77" i="3"/>
  <c r="L77" i="3"/>
  <c r="K77" i="3"/>
  <c r="J77" i="3"/>
  <c r="O76" i="3"/>
  <c r="M76" i="3"/>
  <c r="L76" i="3"/>
  <c r="K76" i="3"/>
  <c r="J76" i="3"/>
  <c r="O75" i="3"/>
  <c r="M75" i="3"/>
  <c r="L75" i="3"/>
  <c r="K75" i="3"/>
  <c r="J75" i="3"/>
  <c r="O74" i="3"/>
  <c r="M74" i="3"/>
  <c r="L74" i="3"/>
  <c r="K74" i="3"/>
  <c r="J74" i="3"/>
  <c r="O73" i="3"/>
  <c r="M73" i="3"/>
  <c r="L73" i="3"/>
  <c r="K73" i="3"/>
  <c r="J73" i="3"/>
  <c r="O72" i="3"/>
  <c r="M72" i="3"/>
  <c r="L72" i="3"/>
  <c r="K72" i="3"/>
  <c r="J72" i="3"/>
  <c r="O71" i="3"/>
  <c r="M71" i="3"/>
  <c r="L71" i="3"/>
  <c r="K71" i="3"/>
  <c r="J71" i="3"/>
  <c r="O70" i="3"/>
  <c r="M70" i="3"/>
  <c r="L70" i="3"/>
  <c r="K70" i="3"/>
  <c r="J70" i="3"/>
  <c r="O69" i="3"/>
  <c r="M69" i="3"/>
  <c r="L69" i="3"/>
  <c r="K69" i="3"/>
  <c r="J69" i="3"/>
  <c r="O68" i="3"/>
  <c r="M68" i="3"/>
  <c r="L68" i="3"/>
  <c r="K68" i="3"/>
  <c r="J68" i="3"/>
  <c r="O67" i="3"/>
  <c r="M67" i="3"/>
  <c r="L67" i="3"/>
  <c r="K67" i="3"/>
  <c r="J67" i="3"/>
  <c r="O66" i="3"/>
  <c r="M66" i="3"/>
  <c r="L66" i="3"/>
  <c r="K66" i="3"/>
  <c r="I66" i="3"/>
  <c r="O65" i="3"/>
  <c r="M65" i="3"/>
  <c r="L65" i="3"/>
  <c r="K65" i="3"/>
  <c r="I65" i="3"/>
  <c r="O64" i="3"/>
  <c r="M64" i="3"/>
  <c r="L64" i="3"/>
  <c r="K64" i="3"/>
  <c r="I64" i="3"/>
  <c r="O63" i="3"/>
  <c r="M63" i="3"/>
  <c r="L63" i="3"/>
  <c r="K63" i="3"/>
  <c r="I63" i="3"/>
  <c r="O62" i="3"/>
  <c r="M62" i="3"/>
  <c r="L62" i="3"/>
  <c r="K62" i="3"/>
  <c r="I62" i="3"/>
  <c r="O61" i="3"/>
  <c r="M61" i="3"/>
  <c r="L61" i="3"/>
  <c r="K61" i="3"/>
  <c r="I61" i="3"/>
  <c r="O60" i="3"/>
  <c r="M60" i="3"/>
  <c r="L60" i="3"/>
  <c r="K60" i="3"/>
  <c r="I60" i="3"/>
  <c r="O59" i="3"/>
  <c r="M59" i="3"/>
  <c r="L59" i="3"/>
  <c r="K59" i="3"/>
  <c r="I59" i="3"/>
  <c r="O58" i="3"/>
  <c r="M58" i="3"/>
  <c r="L58" i="3"/>
  <c r="K58" i="3"/>
  <c r="I58" i="3"/>
  <c r="O57" i="3"/>
  <c r="M57" i="3"/>
  <c r="L57" i="3"/>
  <c r="K57" i="3"/>
  <c r="I57" i="3"/>
  <c r="O56" i="3"/>
  <c r="M56" i="3"/>
  <c r="L56" i="3"/>
  <c r="K56" i="3"/>
  <c r="I56" i="3"/>
  <c r="O55" i="3"/>
  <c r="M55" i="3"/>
  <c r="L55" i="3"/>
  <c r="K55" i="3"/>
  <c r="I55" i="3"/>
  <c r="O54" i="3"/>
  <c r="M54" i="3"/>
  <c r="L54" i="3"/>
  <c r="K54" i="3"/>
  <c r="I54" i="3"/>
  <c r="O53" i="3"/>
  <c r="M53" i="3"/>
  <c r="L53" i="3"/>
  <c r="K53" i="3"/>
  <c r="I53" i="3"/>
  <c r="O52" i="3"/>
  <c r="L52" i="3"/>
  <c r="K52" i="3"/>
  <c r="J52" i="3"/>
  <c r="I52" i="3"/>
  <c r="O51" i="3"/>
  <c r="L51" i="3"/>
  <c r="K51" i="3"/>
  <c r="J51" i="3"/>
  <c r="I51" i="3"/>
  <c r="O50" i="3"/>
  <c r="L50" i="3"/>
  <c r="K50" i="3"/>
  <c r="J50" i="3"/>
  <c r="I50" i="3"/>
  <c r="O49" i="3"/>
  <c r="M49" i="3"/>
  <c r="L49" i="3"/>
  <c r="K49" i="3"/>
  <c r="J49" i="3"/>
  <c r="O48" i="3"/>
  <c r="M48" i="3"/>
  <c r="L48" i="3"/>
  <c r="K48" i="3"/>
  <c r="J48" i="3"/>
  <c r="O47" i="3"/>
  <c r="M47" i="3"/>
  <c r="L47" i="3"/>
  <c r="K47" i="3"/>
  <c r="J47" i="3"/>
  <c r="O46" i="3"/>
  <c r="M46" i="3"/>
  <c r="L46" i="3"/>
  <c r="K46" i="3"/>
  <c r="J46" i="3"/>
  <c r="O45" i="3"/>
  <c r="M45" i="3"/>
  <c r="L45" i="3"/>
  <c r="K45" i="3"/>
  <c r="J45" i="3"/>
  <c r="O44" i="3"/>
  <c r="M44" i="3"/>
  <c r="L44" i="3"/>
  <c r="K44" i="3"/>
  <c r="J44" i="3"/>
  <c r="O43" i="3"/>
  <c r="M43" i="3"/>
  <c r="L43" i="3"/>
  <c r="K43" i="3"/>
  <c r="J43" i="3"/>
  <c r="O42" i="3"/>
  <c r="M42" i="3"/>
  <c r="L42" i="3"/>
  <c r="K42" i="3"/>
  <c r="J42" i="3"/>
  <c r="O41" i="3"/>
  <c r="M41" i="3"/>
  <c r="L41" i="3"/>
  <c r="K41" i="3"/>
  <c r="J41" i="3"/>
  <c r="O40" i="3"/>
  <c r="M40" i="3"/>
  <c r="L40" i="3"/>
  <c r="K40" i="3"/>
  <c r="J40" i="3"/>
  <c r="O39" i="3"/>
  <c r="M39" i="3"/>
  <c r="L39" i="3"/>
  <c r="K39" i="3"/>
  <c r="J39" i="3"/>
  <c r="O38" i="3"/>
  <c r="M38" i="3"/>
  <c r="L38" i="3"/>
  <c r="K38" i="3"/>
  <c r="J38" i="3"/>
  <c r="O37" i="3"/>
  <c r="M37" i="3"/>
  <c r="L37" i="3"/>
  <c r="K37" i="3"/>
  <c r="J37" i="3"/>
  <c r="O36" i="3"/>
  <c r="M36" i="3"/>
  <c r="L36" i="3"/>
  <c r="K36" i="3"/>
  <c r="J36" i="3"/>
  <c r="O35" i="3"/>
  <c r="M35" i="3"/>
  <c r="L35" i="3"/>
  <c r="K35" i="3"/>
  <c r="J35" i="3"/>
  <c r="O34" i="3"/>
  <c r="M34" i="3"/>
  <c r="L34" i="3"/>
  <c r="K34" i="3"/>
  <c r="J34" i="3"/>
  <c r="O33" i="3"/>
  <c r="M33" i="3"/>
  <c r="L33" i="3"/>
  <c r="K33" i="3"/>
  <c r="J33" i="3"/>
  <c r="O32" i="3"/>
  <c r="M32" i="3"/>
  <c r="L32" i="3"/>
  <c r="K32" i="3"/>
  <c r="J32" i="3"/>
  <c r="O31" i="3"/>
  <c r="M31" i="3"/>
  <c r="L31" i="3"/>
  <c r="K31" i="3"/>
  <c r="J31" i="3"/>
  <c r="O30" i="3"/>
  <c r="M30" i="3"/>
  <c r="L30" i="3"/>
  <c r="K30" i="3"/>
  <c r="J30" i="3"/>
  <c r="O29" i="3"/>
  <c r="M29" i="3"/>
  <c r="L29" i="3"/>
  <c r="K29" i="3"/>
  <c r="J29" i="3"/>
  <c r="O28" i="3"/>
  <c r="M28" i="3"/>
  <c r="L28" i="3"/>
  <c r="K28" i="3"/>
  <c r="J28" i="3"/>
  <c r="O27" i="3"/>
  <c r="M27" i="3"/>
  <c r="L27" i="3"/>
  <c r="K27" i="3"/>
  <c r="J27" i="3"/>
  <c r="O26" i="3"/>
  <c r="M26" i="3"/>
  <c r="L26" i="3"/>
  <c r="K26" i="3"/>
  <c r="J26" i="3"/>
  <c r="O25" i="3"/>
  <c r="M25" i="3"/>
  <c r="L25" i="3"/>
  <c r="K25" i="3"/>
  <c r="J25" i="3"/>
  <c r="O24" i="3"/>
  <c r="M24" i="3"/>
  <c r="L24" i="3"/>
  <c r="K24" i="3"/>
  <c r="J24" i="3"/>
  <c r="O23" i="3"/>
  <c r="M23" i="3"/>
  <c r="L23" i="3"/>
  <c r="K23" i="3"/>
  <c r="J23" i="3"/>
  <c r="O22" i="3"/>
  <c r="M22" i="3"/>
  <c r="L22" i="3"/>
  <c r="K22" i="3"/>
  <c r="J22" i="3"/>
  <c r="O21" i="3"/>
  <c r="M21" i="3"/>
  <c r="L21" i="3"/>
  <c r="K21" i="3"/>
  <c r="J21" i="3"/>
  <c r="O20" i="3"/>
  <c r="M20" i="3"/>
  <c r="L20" i="3"/>
  <c r="K20" i="3"/>
  <c r="J20" i="3"/>
  <c r="O19" i="3"/>
  <c r="M19" i="3"/>
  <c r="L19" i="3"/>
  <c r="K19" i="3"/>
  <c r="J19" i="3"/>
  <c r="I19" i="3"/>
  <c r="O18" i="3"/>
  <c r="M18" i="3"/>
  <c r="L18" i="3"/>
  <c r="K18" i="3"/>
  <c r="J18" i="3"/>
  <c r="I18" i="3"/>
  <c r="O17" i="3"/>
  <c r="M17" i="3"/>
  <c r="L17" i="3"/>
  <c r="K17" i="3"/>
  <c r="J17" i="3"/>
  <c r="I17" i="3"/>
  <c r="O16" i="3"/>
  <c r="M16" i="3"/>
  <c r="L16" i="3"/>
  <c r="K16" i="3"/>
  <c r="J16" i="3"/>
  <c r="I16" i="3"/>
  <c r="O15" i="3"/>
  <c r="M15" i="3"/>
  <c r="L15" i="3"/>
  <c r="K15" i="3"/>
  <c r="J15" i="3"/>
  <c r="I15" i="3"/>
  <c r="O14" i="3"/>
  <c r="M14" i="3"/>
  <c r="L14" i="3"/>
  <c r="K14" i="3"/>
  <c r="J14" i="3"/>
  <c r="I14" i="3"/>
  <c r="O13" i="3"/>
  <c r="M13" i="3"/>
  <c r="L13" i="3"/>
  <c r="K13" i="3"/>
  <c r="J13" i="3"/>
  <c r="I13" i="3"/>
  <c r="O12" i="3"/>
  <c r="M12" i="3"/>
  <c r="L12" i="3"/>
  <c r="K12" i="3"/>
  <c r="J12" i="3"/>
  <c r="I12" i="3"/>
  <c r="O11" i="3"/>
  <c r="M11" i="3"/>
  <c r="L11" i="3"/>
  <c r="K11" i="3"/>
  <c r="J11" i="3"/>
  <c r="I11" i="3"/>
  <c r="O10" i="3"/>
  <c r="M10" i="3"/>
  <c r="L10" i="3"/>
  <c r="K10" i="3"/>
  <c r="J10" i="3"/>
  <c r="I10" i="3"/>
  <c r="O9" i="3"/>
  <c r="M9" i="3"/>
  <c r="L9" i="3"/>
  <c r="K9" i="3"/>
  <c r="I9" i="3"/>
  <c r="O8" i="3"/>
  <c r="M8" i="3"/>
  <c r="L8" i="3"/>
  <c r="K8" i="3"/>
  <c r="I8" i="3"/>
  <c r="O7" i="3"/>
  <c r="M7" i="3"/>
  <c r="L7" i="3"/>
  <c r="K7" i="3"/>
  <c r="I7" i="3"/>
  <c r="O6" i="3"/>
  <c r="M6" i="3"/>
  <c r="L6" i="3"/>
  <c r="K6" i="3"/>
  <c r="J6" i="3"/>
  <c r="I6" i="3"/>
  <c r="AH125" i="2"/>
  <c r="AG125" i="2"/>
  <c r="AF125" i="2"/>
  <c r="AE125" i="2"/>
  <c r="AH124" i="2"/>
  <c r="AG124" i="2"/>
  <c r="AF124" i="2"/>
  <c r="AE124" i="2"/>
  <c r="AH123" i="2"/>
  <c r="AG123" i="2"/>
  <c r="AF123" i="2"/>
  <c r="AE123" i="2"/>
  <c r="AH122" i="2"/>
  <c r="AG122" i="2"/>
  <c r="AF122" i="2"/>
  <c r="AE122" i="2"/>
  <c r="AH121" i="2"/>
  <c r="AG121" i="2"/>
  <c r="AF121" i="2"/>
  <c r="AE121" i="2"/>
  <c r="AH120" i="2"/>
  <c r="AG120" i="2"/>
  <c r="AF120" i="2"/>
  <c r="AE120" i="2"/>
  <c r="AH119" i="2"/>
  <c r="AG119" i="2"/>
  <c r="AF119" i="2"/>
  <c r="AE119" i="2"/>
  <c r="AH118" i="2"/>
  <c r="AG118" i="2"/>
  <c r="AF118" i="2"/>
  <c r="AE118" i="2"/>
  <c r="AH117" i="2"/>
  <c r="AG117" i="2"/>
  <c r="AF117" i="2"/>
  <c r="AE117" i="2"/>
  <c r="AH116" i="2"/>
  <c r="AG116" i="2"/>
  <c r="AF116" i="2"/>
  <c r="AE116" i="2"/>
  <c r="AH115" i="2"/>
  <c r="AG115" i="2"/>
  <c r="AF115" i="2"/>
  <c r="AE115" i="2"/>
  <c r="AH114" i="2"/>
  <c r="AG114" i="2"/>
  <c r="AF114" i="2"/>
  <c r="AE114" i="2"/>
  <c r="AH113" i="2"/>
  <c r="AG113" i="2"/>
  <c r="AF113" i="2"/>
  <c r="AE113" i="2"/>
  <c r="AH112" i="2"/>
  <c r="AG112" i="2"/>
  <c r="AF112" i="2"/>
  <c r="AE112" i="2"/>
  <c r="AH111" i="2"/>
  <c r="AG111" i="2"/>
  <c r="AF111" i="2"/>
  <c r="AE111" i="2"/>
  <c r="AH110" i="2"/>
  <c r="AG110" i="2"/>
  <c r="AF110" i="2"/>
  <c r="AE110" i="2"/>
  <c r="AH109" i="2"/>
  <c r="AG109" i="2"/>
  <c r="AF109" i="2"/>
  <c r="AE109" i="2"/>
  <c r="AH108" i="2"/>
  <c r="AG108" i="2"/>
  <c r="AF108" i="2"/>
  <c r="AE108" i="2"/>
  <c r="AH107" i="2"/>
  <c r="AG107" i="2"/>
  <c r="AF107" i="2"/>
  <c r="AE107" i="2"/>
  <c r="AH106" i="2"/>
  <c r="AG106" i="2"/>
  <c r="AF106" i="2"/>
  <c r="AE106" i="2"/>
  <c r="AH105" i="2"/>
  <c r="AG105" i="2"/>
  <c r="AF105" i="2"/>
  <c r="AE105" i="2"/>
  <c r="AH104" i="2"/>
  <c r="AG104" i="2"/>
  <c r="AF104" i="2"/>
  <c r="AE104" i="2"/>
  <c r="AH103" i="2"/>
  <c r="AG103" i="2"/>
  <c r="AF103" i="2"/>
  <c r="AE103" i="2"/>
  <c r="AH102" i="2"/>
  <c r="AG102" i="2"/>
  <c r="AF102" i="2"/>
  <c r="AE102" i="2"/>
  <c r="AH101" i="2"/>
  <c r="AG101" i="2"/>
  <c r="AF101" i="2"/>
  <c r="AE101" i="2"/>
  <c r="AH100" i="2"/>
  <c r="AG100" i="2"/>
  <c r="AF100" i="2"/>
  <c r="AE100" i="2"/>
  <c r="AH99" i="2"/>
  <c r="AG99" i="2"/>
  <c r="AF99" i="2"/>
  <c r="AE99" i="2"/>
  <c r="AH98" i="2"/>
  <c r="AG98" i="2"/>
  <c r="AF98" i="2"/>
  <c r="AE98" i="2"/>
  <c r="AH97" i="2"/>
  <c r="AG97" i="2"/>
  <c r="AF97" i="2"/>
  <c r="AE97" i="2"/>
  <c r="AH96" i="2"/>
  <c r="AG96" i="2"/>
  <c r="AF96" i="2"/>
  <c r="AE96" i="2"/>
  <c r="AH95" i="2"/>
  <c r="AG95" i="2"/>
  <c r="AF95" i="2"/>
  <c r="AE95" i="2"/>
  <c r="AH94" i="2"/>
  <c r="AG94" i="2"/>
  <c r="AF94" i="2"/>
  <c r="AE94" i="2"/>
  <c r="AH93" i="2"/>
  <c r="AG93" i="2"/>
  <c r="AF93" i="2"/>
  <c r="AE93" i="2"/>
  <c r="AH92" i="2"/>
  <c r="AG92" i="2"/>
  <c r="AF92" i="2"/>
  <c r="AE92" i="2"/>
  <c r="AH91" i="2"/>
  <c r="AG91" i="2"/>
  <c r="AF91" i="2"/>
  <c r="AE91" i="2"/>
  <c r="AH90" i="2"/>
  <c r="AG90" i="2"/>
  <c r="AF90" i="2"/>
  <c r="AE90" i="2"/>
  <c r="AH89" i="2"/>
  <c r="AG89" i="2"/>
  <c r="AF89" i="2"/>
  <c r="AE89" i="2"/>
  <c r="AH88" i="2"/>
  <c r="AG88" i="2"/>
  <c r="AF88" i="2"/>
  <c r="AE88" i="2"/>
  <c r="AH87" i="2"/>
  <c r="AG87" i="2"/>
  <c r="AF87" i="2"/>
  <c r="AE87" i="2"/>
  <c r="AH86" i="2"/>
  <c r="AG86" i="2"/>
  <c r="AF86" i="2"/>
  <c r="AE86" i="2"/>
  <c r="AH85" i="2"/>
  <c r="AG85" i="2"/>
  <c r="AF85" i="2"/>
  <c r="AE85" i="2"/>
  <c r="AH84" i="2"/>
  <c r="AG84" i="2"/>
  <c r="AF84" i="2"/>
  <c r="AE84" i="2"/>
  <c r="AH83" i="2"/>
  <c r="AG83" i="2"/>
  <c r="AF83" i="2"/>
  <c r="AE83" i="2"/>
  <c r="AH82" i="2"/>
  <c r="AG82" i="2"/>
  <c r="AF82" i="2"/>
  <c r="AE82" i="2"/>
  <c r="AH81" i="2"/>
  <c r="AG81" i="2"/>
  <c r="AF81" i="2"/>
  <c r="AE81" i="2"/>
  <c r="AH80" i="2"/>
  <c r="AG80" i="2"/>
  <c r="AF80" i="2"/>
  <c r="AE80" i="2"/>
  <c r="AH79" i="2"/>
  <c r="AG79" i="2"/>
  <c r="AF79" i="2"/>
  <c r="AE79" i="2"/>
  <c r="AH78" i="2"/>
  <c r="AG78" i="2"/>
  <c r="AF78" i="2"/>
  <c r="AE78" i="2"/>
  <c r="AH77" i="2"/>
  <c r="AG77" i="2"/>
  <c r="AF77" i="2"/>
  <c r="AE77" i="2"/>
  <c r="AH76" i="2"/>
  <c r="AG76" i="2"/>
  <c r="AF76" i="2"/>
  <c r="AE76" i="2"/>
  <c r="AH75" i="2"/>
  <c r="AG75" i="2"/>
  <c r="AF75" i="2"/>
  <c r="AE75" i="2"/>
  <c r="AH74" i="2"/>
  <c r="AG74" i="2"/>
  <c r="AF74" i="2"/>
  <c r="AE74" i="2"/>
  <c r="AH73" i="2"/>
  <c r="AG73" i="2"/>
  <c r="AF73" i="2"/>
  <c r="AE73" i="2"/>
  <c r="AH72" i="2"/>
  <c r="AG72" i="2"/>
  <c r="AF72" i="2"/>
  <c r="AE72" i="2"/>
  <c r="AH71" i="2"/>
  <c r="AG71" i="2"/>
  <c r="AF71" i="2"/>
  <c r="AE71" i="2"/>
  <c r="AH70" i="2"/>
  <c r="AG70" i="2"/>
  <c r="AF70" i="2"/>
  <c r="AE70" i="2"/>
  <c r="AH69" i="2"/>
  <c r="AG69" i="2"/>
  <c r="AF69" i="2"/>
  <c r="AE69" i="2"/>
  <c r="AH68" i="2"/>
  <c r="AG68" i="2"/>
  <c r="AF68" i="2"/>
  <c r="AE68" i="2"/>
  <c r="AH67" i="2"/>
  <c r="AG67" i="2"/>
  <c r="AF67" i="2"/>
  <c r="AE67" i="2"/>
  <c r="AH66" i="2"/>
  <c r="AG66" i="2"/>
  <c r="AF66" i="2"/>
  <c r="AE66" i="2"/>
  <c r="AH65" i="2"/>
  <c r="AG65" i="2"/>
  <c r="AF65" i="2"/>
  <c r="AE65" i="2"/>
  <c r="AH64" i="2"/>
  <c r="AG64" i="2"/>
  <c r="AF64" i="2"/>
  <c r="AE64" i="2"/>
  <c r="AH63" i="2"/>
  <c r="AG63" i="2"/>
  <c r="AF63" i="2"/>
  <c r="AE63" i="2"/>
  <c r="AH62" i="2"/>
  <c r="AG62" i="2"/>
  <c r="AF62" i="2"/>
  <c r="AE62" i="2"/>
  <c r="AH61" i="2"/>
  <c r="AG61" i="2"/>
  <c r="AF61" i="2"/>
  <c r="AE61" i="2"/>
  <c r="AH60" i="2"/>
  <c r="AG60" i="2"/>
  <c r="AF60" i="2"/>
  <c r="AE60" i="2"/>
  <c r="AH59" i="2"/>
  <c r="AG59" i="2"/>
  <c r="AF59" i="2"/>
  <c r="AE59" i="2"/>
  <c r="AH58" i="2"/>
  <c r="AG58" i="2"/>
  <c r="AF58" i="2"/>
  <c r="AE58" i="2"/>
  <c r="AH57" i="2"/>
  <c r="AG57" i="2"/>
  <c r="AF57" i="2"/>
  <c r="AE57" i="2"/>
  <c r="AH56" i="2"/>
  <c r="AG56" i="2"/>
  <c r="AF56" i="2"/>
  <c r="AE56" i="2"/>
  <c r="AH55" i="2"/>
  <c r="AG55" i="2"/>
  <c r="AF55" i="2"/>
  <c r="AE55" i="2"/>
  <c r="AH54" i="2"/>
  <c r="AG54" i="2"/>
  <c r="AF54" i="2"/>
  <c r="AE54" i="2"/>
  <c r="AH53" i="2"/>
  <c r="AG53" i="2"/>
  <c r="AF53" i="2"/>
  <c r="AE53" i="2"/>
  <c r="AH52" i="2"/>
  <c r="AG52" i="2"/>
  <c r="AF52" i="2"/>
  <c r="AE52" i="2"/>
  <c r="AH51" i="2"/>
  <c r="AG51" i="2"/>
  <c r="AF51" i="2"/>
  <c r="AE51" i="2"/>
  <c r="AH50" i="2"/>
  <c r="AG50" i="2"/>
  <c r="AF50" i="2"/>
  <c r="AE50" i="2"/>
  <c r="AH49" i="2"/>
  <c r="AG49" i="2"/>
  <c r="AF49" i="2"/>
  <c r="AE49" i="2"/>
  <c r="AH48" i="2"/>
  <c r="AG48" i="2"/>
  <c r="AF48" i="2"/>
  <c r="AE48" i="2"/>
  <c r="AH47" i="2"/>
  <c r="AG47" i="2"/>
  <c r="AF47" i="2"/>
  <c r="AE47" i="2"/>
  <c r="AH46" i="2"/>
  <c r="AG46" i="2"/>
  <c r="AF46" i="2"/>
  <c r="AE46" i="2"/>
  <c r="AH45" i="2"/>
  <c r="AG45" i="2"/>
  <c r="AF45" i="2"/>
  <c r="AE45" i="2"/>
  <c r="AH44" i="2"/>
  <c r="AG44" i="2"/>
  <c r="AF44" i="2"/>
  <c r="AE44" i="2"/>
  <c r="AH43" i="2"/>
  <c r="AG43" i="2"/>
  <c r="AF43" i="2"/>
  <c r="AE43" i="2"/>
  <c r="AH42" i="2"/>
  <c r="AG42" i="2"/>
  <c r="AF42" i="2"/>
  <c r="AE42" i="2"/>
  <c r="AH41" i="2"/>
  <c r="AG41" i="2"/>
  <c r="AF41" i="2"/>
  <c r="AE41" i="2"/>
  <c r="AH40" i="2"/>
  <c r="AG40" i="2"/>
  <c r="AF40" i="2"/>
  <c r="AE40" i="2"/>
  <c r="AH39" i="2"/>
  <c r="AG39" i="2"/>
  <c r="AF39" i="2"/>
  <c r="AE39" i="2"/>
  <c r="AH38" i="2"/>
  <c r="AG38" i="2"/>
  <c r="AF38" i="2"/>
  <c r="AE38" i="2"/>
  <c r="AH37" i="2"/>
  <c r="AG37" i="2"/>
  <c r="AF37" i="2"/>
  <c r="AE37" i="2"/>
  <c r="AH36" i="2"/>
  <c r="AG36" i="2"/>
  <c r="AF36" i="2"/>
  <c r="AE36" i="2"/>
  <c r="AH35" i="2"/>
  <c r="AG35" i="2"/>
  <c r="AF35" i="2"/>
  <c r="AE35" i="2"/>
  <c r="AH34" i="2"/>
  <c r="AG34" i="2"/>
  <c r="AF34" i="2"/>
  <c r="AE34" i="2"/>
  <c r="AH33" i="2"/>
  <c r="AG33" i="2"/>
  <c r="AF33" i="2"/>
  <c r="AE33" i="2"/>
  <c r="AH32" i="2"/>
  <c r="AG32" i="2"/>
  <c r="AF32" i="2"/>
  <c r="AE32" i="2"/>
  <c r="AH31" i="2"/>
  <c r="AG31" i="2"/>
  <c r="AF31" i="2"/>
  <c r="AE31" i="2"/>
  <c r="AH30" i="2"/>
  <c r="AG30" i="2"/>
  <c r="AF30" i="2"/>
  <c r="AE30" i="2"/>
  <c r="AH29" i="2"/>
  <c r="AG29" i="2"/>
  <c r="AF29" i="2"/>
  <c r="AE29" i="2"/>
  <c r="AH28" i="2"/>
  <c r="AG28" i="2"/>
  <c r="AF28" i="2"/>
  <c r="AE28" i="2"/>
  <c r="AH27" i="2"/>
  <c r="AG27" i="2"/>
  <c r="AF27" i="2"/>
  <c r="AE27" i="2"/>
  <c r="AB27" i="2"/>
  <c r="AA27" i="2"/>
  <c r="AH26" i="2"/>
  <c r="AG26" i="2"/>
  <c r="AF26" i="2"/>
  <c r="AE26" i="2"/>
  <c r="AB26" i="2"/>
  <c r="AA26" i="2"/>
  <c r="AH25" i="2"/>
  <c r="AG25" i="2"/>
  <c r="AF25" i="2"/>
  <c r="AE25" i="2"/>
  <c r="AB25" i="2"/>
  <c r="AA25" i="2"/>
  <c r="AH24" i="2"/>
  <c r="AG24" i="2"/>
  <c r="AF24" i="2"/>
  <c r="AE24" i="2"/>
  <c r="AB24" i="2"/>
  <c r="AA24" i="2"/>
  <c r="AH23" i="2"/>
  <c r="AG23" i="2"/>
  <c r="AF23" i="2"/>
  <c r="AE23" i="2"/>
  <c r="AB23" i="2"/>
  <c r="AA23" i="2"/>
  <c r="AH22" i="2"/>
  <c r="AG22" i="2"/>
  <c r="AF22" i="2"/>
  <c r="AE22" i="2"/>
  <c r="AB22" i="2"/>
  <c r="AA22" i="2"/>
  <c r="AH21" i="2"/>
  <c r="AG21" i="2"/>
  <c r="AF21" i="2"/>
  <c r="AE21" i="2"/>
  <c r="AB21" i="2"/>
  <c r="AA21" i="2"/>
  <c r="AH20" i="2"/>
  <c r="AG20" i="2"/>
  <c r="AF20" i="2"/>
  <c r="AE20" i="2"/>
  <c r="AB20" i="2"/>
  <c r="AA20" i="2"/>
  <c r="AH19" i="2"/>
  <c r="AG19" i="2"/>
  <c r="AF19" i="2"/>
  <c r="AE19" i="2"/>
  <c r="AB19" i="2"/>
  <c r="AA19" i="2"/>
  <c r="AH18" i="2"/>
  <c r="AG18" i="2"/>
  <c r="AF18" i="2"/>
  <c r="AE18" i="2"/>
  <c r="AB18" i="2"/>
  <c r="AA18" i="2"/>
  <c r="AH17" i="2"/>
  <c r="AG17" i="2"/>
  <c r="AF17" i="2"/>
  <c r="AE17" i="2"/>
  <c r="AB17" i="2"/>
  <c r="AA17" i="2"/>
  <c r="AH16" i="2"/>
  <c r="AG16" i="2"/>
  <c r="AF16" i="2"/>
  <c r="AE16" i="2"/>
  <c r="AB16" i="2"/>
  <c r="AA16" i="2"/>
  <c r="AH15" i="2"/>
  <c r="AG15" i="2"/>
  <c r="AF15" i="2"/>
  <c r="AE15" i="2"/>
  <c r="AH14" i="2"/>
  <c r="AG14" i="2"/>
  <c r="AF14" i="2"/>
  <c r="AE14" i="2"/>
  <c r="AH13" i="2"/>
  <c r="AG13" i="2"/>
  <c r="AF13" i="2"/>
  <c r="AE13" i="2"/>
  <c r="AH12" i="2"/>
  <c r="AG12" i="2"/>
  <c r="AF12" i="2"/>
  <c r="AE12" i="2"/>
  <c r="AH11" i="2"/>
  <c r="AG11" i="2"/>
  <c r="AF11" i="2"/>
  <c r="AE11" i="2"/>
  <c r="D11" i="2"/>
  <c r="AH10" i="2"/>
  <c r="AG10" i="2"/>
  <c r="AF10" i="2"/>
  <c r="AE10" i="2"/>
  <c r="AH9" i="2"/>
  <c r="AG9" i="2"/>
  <c r="AF9" i="2"/>
  <c r="AE9" i="2"/>
  <c r="D9" i="2"/>
  <c r="AH8" i="2"/>
  <c r="AG8" i="2"/>
  <c r="AF8" i="2"/>
  <c r="AE8" i="2"/>
  <c r="D8" i="2"/>
  <c r="AH7" i="2"/>
  <c r="AG7" i="2"/>
  <c r="AF7" i="2"/>
  <c r="AE7" i="2"/>
  <c r="D7" i="2"/>
  <c r="AH6" i="2"/>
  <c r="AG6" i="2"/>
  <c r="AF6" i="2"/>
  <c r="AE6" i="2"/>
  <c r="D6" i="2"/>
  <c r="D5" i="2"/>
  <c r="BA125" i="4"/>
  <c r="BA124" i="4"/>
  <c r="BA123" i="4"/>
  <c r="BA122" i="4"/>
  <c r="BA121" i="4"/>
  <c r="BA120" i="4"/>
  <c r="BA119" i="4"/>
  <c r="BA118" i="4"/>
  <c r="BA117" i="4"/>
  <c r="BA116" i="4"/>
  <c r="BA115" i="4"/>
  <c r="BA114" i="4"/>
  <c r="BA113" i="4"/>
  <c r="BA111" i="4"/>
  <c r="BA110" i="4"/>
  <c r="BA109" i="4"/>
  <c r="BA108" i="4"/>
  <c r="BA107" i="4"/>
  <c r="BA106" i="4"/>
  <c r="BA105" i="4"/>
  <c r="BA104" i="4"/>
  <c r="BA103" i="4"/>
  <c r="BA102" i="4"/>
  <c r="BA101" i="4"/>
  <c r="BA100" i="4"/>
  <c r="BA99" i="4"/>
  <c r="BA98" i="4"/>
  <c r="BA97" i="4"/>
  <c r="BA96" i="4"/>
  <c r="BA95" i="4"/>
  <c r="BA94" i="4"/>
  <c r="BA93" i="4"/>
  <c r="BA92" i="4"/>
  <c r="BA91" i="4"/>
  <c r="BA90" i="4"/>
  <c r="BA89" i="4"/>
  <c r="BA88" i="4"/>
  <c r="BA87" i="4"/>
  <c r="BA86" i="4"/>
  <c r="BA85" i="4"/>
  <c r="BA84" i="4"/>
  <c r="BA83" i="4"/>
  <c r="BA82" i="4"/>
  <c r="BA81" i="4"/>
  <c r="BA80" i="4"/>
  <c r="BA79" i="4"/>
  <c r="BA78" i="4"/>
  <c r="BA77" i="4"/>
  <c r="BA76" i="4"/>
  <c r="BA75" i="4"/>
  <c r="BA74" i="4"/>
  <c r="BA73" i="4"/>
  <c r="BA72" i="4"/>
  <c r="BA71" i="4"/>
  <c r="BA70" i="4"/>
  <c r="BA69" i="4"/>
  <c r="BA68" i="4"/>
  <c r="BA67" i="4"/>
  <c r="BA66" i="4"/>
  <c r="BA65" i="4"/>
  <c r="BA64" i="4"/>
  <c r="BA63" i="4"/>
  <c r="BA62" i="4"/>
  <c r="BA61" i="4"/>
  <c r="BA60" i="4"/>
  <c r="BA59" i="4"/>
  <c r="BA58" i="4"/>
  <c r="I58" i="4"/>
  <c r="BA57" i="4"/>
  <c r="I57" i="4"/>
  <c r="BA56" i="4"/>
  <c r="I56" i="4"/>
  <c r="BA55" i="4"/>
  <c r="I55" i="4"/>
  <c r="BA54" i="4"/>
  <c r="I54" i="4"/>
  <c r="BA53" i="4"/>
  <c r="I53" i="4"/>
  <c r="BA52" i="4"/>
  <c r="I52" i="4"/>
  <c r="BA51" i="4"/>
  <c r="I51" i="4"/>
  <c r="BA50" i="4"/>
  <c r="I50" i="4"/>
  <c r="BA49" i="4"/>
  <c r="I49" i="4"/>
  <c r="BA48" i="4"/>
  <c r="BA47" i="4"/>
  <c r="BA46" i="4"/>
  <c r="BA45" i="4"/>
  <c r="BA44" i="4"/>
  <c r="BA43" i="4"/>
  <c r="CN42" i="4"/>
  <c r="CM42" i="4"/>
  <c r="CL42" i="4"/>
  <c r="BA42" i="4"/>
  <c r="AD42" i="4"/>
  <c r="I42" i="4"/>
  <c r="H42" i="4"/>
  <c r="J42" i="4" s="1"/>
  <c r="K42" i="4" s="1"/>
  <c r="F42" i="4"/>
  <c r="CN41" i="4"/>
  <c r="CM41" i="4"/>
  <c r="CL41" i="4"/>
  <c r="BA41" i="4"/>
  <c r="AD41" i="4"/>
  <c r="H41" i="4"/>
  <c r="J41" i="4" s="1"/>
  <c r="K41" i="4" s="1"/>
  <c r="F41" i="4"/>
  <c r="CN40" i="4"/>
  <c r="CM40" i="4"/>
  <c r="CL40" i="4"/>
  <c r="BA40" i="4"/>
  <c r="AD40" i="4"/>
  <c r="H40" i="4"/>
  <c r="J40" i="4" s="1"/>
  <c r="K40" i="4" s="1"/>
  <c r="F40" i="4"/>
  <c r="CN39" i="4"/>
  <c r="CM39" i="4"/>
  <c r="CL39" i="4"/>
  <c r="BA39" i="4"/>
  <c r="AD39" i="4"/>
  <c r="H39" i="4"/>
  <c r="J39" i="4" s="1"/>
  <c r="K39" i="4" s="1"/>
  <c r="F39" i="4"/>
  <c r="CN38" i="4"/>
  <c r="CM38" i="4"/>
  <c r="CL38" i="4"/>
  <c r="BA38" i="4"/>
  <c r="AD38" i="4"/>
  <c r="H38" i="4"/>
  <c r="J38" i="4" s="1"/>
  <c r="K38" i="4" s="1"/>
  <c r="F38" i="4"/>
  <c r="CN37" i="4"/>
  <c r="CM37" i="4"/>
  <c r="CL37" i="4"/>
  <c r="BA37" i="4"/>
  <c r="AD37" i="4"/>
  <c r="H37" i="4"/>
  <c r="J37" i="4" s="1"/>
  <c r="K37" i="4" s="1"/>
  <c r="F37" i="4"/>
  <c r="CN36" i="4"/>
  <c r="CM36" i="4"/>
  <c r="CL36" i="4"/>
  <c r="BA36" i="4"/>
  <c r="AD36" i="4"/>
  <c r="H36" i="4"/>
  <c r="J36" i="4" s="1"/>
  <c r="K36" i="4" s="1"/>
  <c r="F36" i="4"/>
  <c r="CN35" i="4"/>
  <c r="CM35" i="4"/>
  <c r="CL35" i="4"/>
  <c r="BA35" i="4"/>
  <c r="AD35" i="4"/>
  <c r="H35" i="4"/>
  <c r="J35" i="4" s="1"/>
  <c r="K35" i="4" s="1"/>
  <c r="F35" i="4"/>
  <c r="CN34" i="4"/>
  <c r="CM34" i="4"/>
  <c r="CL34" i="4"/>
  <c r="BA34" i="4"/>
  <c r="AD34" i="4"/>
  <c r="H34" i="4"/>
  <c r="J34" i="4" s="1"/>
  <c r="K34" i="4" s="1"/>
  <c r="F34" i="4"/>
  <c r="CN33" i="4"/>
  <c r="CM33" i="4"/>
  <c r="CL33" i="4"/>
  <c r="BA33" i="4"/>
  <c r="AD33" i="4"/>
  <c r="H33" i="4"/>
  <c r="J33" i="4" s="1"/>
  <c r="K33" i="4" s="1"/>
  <c r="F33" i="4"/>
  <c r="CN32" i="4"/>
  <c r="CM32" i="4"/>
  <c r="CL32" i="4"/>
  <c r="BA32" i="4"/>
  <c r="AD32" i="4"/>
  <c r="H32" i="4"/>
  <c r="J32" i="4" s="1"/>
  <c r="K32" i="4" s="1"/>
  <c r="F32" i="4"/>
  <c r="CN31" i="4"/>
  <c r="CM31" i="4"/>
  <c r="CL31" i="4"/>
  <c r="BA31" i="4"/>
  <c r="AD31" i="4"/>
  <c r="H31" i="4"/>
  <c r="J31" i="4" s="1"/>
  <c r="K31" i="4" s="1"/>
  <c r="F31" i="4"/>
  <c r="CN30" i="4"/>
  <c r="CM30" i="4"/>
  <c r="CL30" i="4"/>
  <c r="BA30" i="4"/>
  <c r="AD30" i="4"/>
  <c r="H30" i="4"/>
  <c r="J30" i="4" s="1"/>
  <c r="K30" i="4" s="1"/>
  <c r="F30" i="4"/>
  <c r="CN29" i="4"/>
  <c r="CM29" i="4"/>
  <c r="CL29" i="4"/>
  <c r="BA29" i="4"/>
  <c r="AD29" i="4"/>
  <c r="H29" i="4"/>
  <c r="J29" i="4" s="1"/>
  <c r="K29" i="4" s="1"/>
  <c r="F29" i="4"/>
  <c r="CN28" i="4"/>
  <c r="CM28" i="4"/>
  <c r="CL28" i="4"/>
  <c r="BA28" i="4"/>
  <c r="AD28" i="4"/>
  <c r="H28" i="4"/>
  <c r="J28" i="4" s="1"/>
  <c r="K28" i="4" s="1"/>
  <c r="F28" i="4"/>
  <c r="CN27" i="4"/>
  <c r="CM27" i="4"/>
  <c r="CL27" i="4"/>
  <c r="BA27" i="4"/>
  <c r="AQ27" i="4"/>
  <c r="AD27" i="4"/>
  <c r="H27" i="4"/>
  <c r="J27" i="4" s="1"/>
  <c r="K27" i="4" s="1"/>
  <c r="F27" i="4"/>
  <c r="CO26" i="4"/>
  <c r="CN26" i="4"/>
  <c r="CM26" i="4"/>
  <c r="CL26" i="4"/>
  <c r="BA26" i="4"/>
  <c r="AQ26" i="4"/>
  <c r="AE26" i="4"/>
  <c r="AD26" i="4"/>
  <c r="I26" i="4"/>
  <c r="H26" i="4"/>
  <c r="J26" i="4" s="1"/>
  <c r="K26" i="4" s="1"/>
  <c r="F26" i="4"/>
  <c r="CN25" i="4"/>
  <c r="CM25" i="4"/>
  <c r="CL25" i="4"/>
  <c r="BA25" i="4"/>
  <c r="AQ25" i="4"/>
  <c r="AD25" i="4"/>
  <c r="H25" i="4"/>
  <c r="J25" i="4" s="1"/>
  <c r="K25" i="4" s="1"/>
  <c r="F25" i="4"/>
  <c r="CN24" i="4"/>
  <c r="CM24" i="4"/>
  <c r="CL24" i="4"/>
  <c r="BA24" i="4"/>
  <c r="AQ24" i="4"/>
  <c r="AD24" i="4"/>
  <c r="H24" i="4"/>
  <c r="J24" i="4" s="1"/>
  <c r="K24" i="4" s="1"/>
  <c r="F24" i="4"/>
  <c r="CN23" i="4"/>
  <c r="CM23" i="4"/>
  <c r="CL23" i="4"/>
  <c r="BA23" i="4"/>
  <c r="AD23" i="4"/>
  <c r="H23" i="4"/>
  <c r="J23" i="4" s="1"/>
  <c r="K23" i="4" s="1"/>
  <c r="F23" i="4"/>
  <c r="CN22" i="4"/>
  <c r="CM22" i="4"/>
  <c r="CL22" i="4"/>
  <c r="BA22" i="4"/>
  <c r="AD22" i="4"/>
  <c r="H22" i="4"/>
  <c r="J22" i="4" s="1"/>
  <c r="K22" i="4" s="1"/>
  <c r="F22" i="4"/>
  <c r="CN21" i="4"/>
  <c r="CM21" i="4"/>
  <c r="CL21" i="4"/>
  <c r="BA21" i="4"/>
  <c r="AD21" i="4"/>
  <c r="H21" i="4"/>
  <c r="J21" i="4" s="1"/>
  <c r="K21" i="4" s="1"/>
  <c r="F21" i="4"/>
  <c r="CN20" i="4"/>
  <c r="CM20" i="4"/>
  <c r="CL20" i="4"/>
  <c r="BA20" i="4"/>
  <c r="AD20" i="4"/>
  <c r="H20" i="4"/>
  <c r="J20" i="4" s="1"/>
  <c r="K20" i="4" s="1"/>
  <c r="F20" i="4"/>
  <c r="CN19" i="4"/>
  <c r="CM19" i="4"/>
  <c r="CL19" i="4"/>
  <c r="BA19" i="4"/>
  <c r="AD19" i="4"/>
  <c r="H19" i="4"/>
  <c r="J19" i="4" s="1"/>
  <c r="K19" i="4" s="1"/>
  <c r="F19" i="4"/>
  <c r="CN18" i="4"/>
  <c r="CM18" i="4"/>
  <c r="CL18" i="4"/>
  <c r="BA18" i="4"/>
  <c r="AD18" i="4"/>
  <c r="H18" i="4"/>
  <c r="J18" i="4" s="1"/>
  <c r="K18" i="4" s="1"/>
  <c r="F18" i="4"/>
  <c r="CN17" i="4"/>
  <c r="CM17" i="4"/>
  <c r="CL17" i="4"/>
  <c r="BA17" i="4"/>
  <c r="AD17" i="4"/>
  <c r="H17" i="4"/>
  <c r="J17" i="4" s="1"/>
  <c r="K17" i="4" s="1"/>
  <c r="F17" i="4"/>
  <c r="CN16" i="4"/>
  <c r="CM16" i="4"/>
  <c r="CL16" i="4"/>
  <c r="BA16" i="4"/>
  <c r="AD16" i="4"/>
  <c r="H16" i="4"/>
  <c r="J16" i="4" s="1"/>
  <c r="K16" i="4" s="1"/>
  <c r="F16" i="4"/>
  <c r="CN15" i="4"/>
  <c r="CM15" i="4"/>
  <c r="CL15" i="4"/>
  <c r="BA15" i="4"/>
  <c r="AD15" i="4"/>
  <c r="H15" i="4"/>
  <c r="J15" i="4" s="1"/>
  <c r="K15" i="4" s="1"/>
  <c r="F15" i="4"/>
  <c r="CN14" i="4"/>
  <c r="CM14" i="4"/>
  <c r="CL14" i="4"/>
  <c r="AD14" i="4"/>
  <c r="H14" i="4"/>
  <c r="J14" i="4" s="1"/>
  <c r="K14" i="4" s="1"/>
  <c r="F14" i="4"/>
  <c r="CN13" i="4"/>
  <c r="CM13" i="4"/>
  <c r="H64" i="4" s="1"/>
  <c r="CL13" i="4"/>
  <c r="H60" i="4" s="1"/>
  <c r="BH13" i="4"/>
  <c r="BA13" i="4"/>
  <c r="AD13" i="4"/>
  <c r="X13" i="4"/>
  <c r="R13" i="4"/>
  <c r="H13" i="4"/>
  <c r="J13" i="4" s="1"/>
  <c r="K13" i="4" s="1"/>
  <c r="F13" i="4"/>
  <c r="BA12" i="4"/>
  <c r="BA11" i="4"/>
  <c r="BA10" i="4"/>
  <c r="BA9" i="4"/>
  <c r="E9" i="4"/>
  <c r="BA8" i="4"/>
  <c r="N8" i="4"/>
  <c r="BA14" i="4" s="1"/>
  <c r="BA7" i="4"/>
  <c r="BA6" i="4"/>
  <c r="AR6" i="4"/>
  <c r="AR5" i="4"/>
  <c r="AT3" i="4"/>
  <c r="AS3" i="4"/>
  <c r="B3" i="4"/>
  <c r="F65" i="12" l="1"/>
  <c r="G65" i="12"/>
  <c r="F64" i="12"/>
  <c r="G64" i="12"/>
  <c r="F63" i="12"/>
  <c r="G63" i="12"/>
  <c r="F62" i="12"/>
  <c r="G62" i="12"/>
  <c r="F61" i="12"/>
  <c r="G61" i="12"/>
  <c r="F60" i="12"/>
  <c r="G60" i="12"/>
  <c r="F59" i="12"/>
  <c r="G59" i="12"/>
  <c r="F57" i="12"/>
  <c r="G57" i="12"/>
  <c r="G77" i="12"/>
  <c r="F77" i="12"/>
  <c r="E77" i="12"/>
  <c r="D77" i="12"/>
  <c r="C77" i="12"/>
  <c r="G76" i="12"/>
  <c r="F76" i="12"/>
  <c r="E76" i="12"/>
  <c r="D76" i="12"/>
  <c r="C76" i="12"/>
  <c r="G75" i="12"/>
  <c r="F75" i="12"/>
  <c r="E75" i="12"/>
  <c r="D75" i="12"/>
  <c r="C75" i="12"/>
  <c r="G74" i="12"/>
  <c r="F74" i="12"/>
  <c r="E74" i="12"/>
  <c r="D74" i="12"/>
  <c r="C74" i="12"/>
  <c r="G73" i="12"/>
  <c r="E73" i="12"/>
  <c r="D73" i="12"/>
  <c r="C73" i="12"/>
  <c r="F73" i="12"/>
  <c r="F58" i="12"/>
  <c r="G58" i="12"/>
  <c r="L51" i="12"/>
  <c r="M41" i="12"/>
  <c r="D72" i="12"/>
  <c r="E72" i="12" s="1"/>
  <c r="F72" i="12" s="1"/>
  <c r="C72" i="12"/>
  <c r="G72" i="12" s="1"/>
  <c r="D71" i="12"/>
  <c r="E71" i="12" s="1"/>
  <c r="F71" i="12" s="1"/>
  <c r="C71" i="12"/>
  <c r="G71" i="12" s="1"/>
  <c r="G70" i="12"/>
  <c r="F70" i="12"/>
  <c r="E70" i="12"/>
  <c r="D70" i="12"/>
  <c r="C70" i="12"/>
  <c r="AE13" i="8"/>
  <c r="BD19" i="8" s="1"/>
  <c r="BJ19" i="8" s="1" a="1"/>
  <c r="CO13" i="8"/>
  <c r="J60" i="8" s="1"/>
  <c r="I13" i="8"/>
  <c r="L42" i="8"/>
  <c r="O42" i="8"/>
  <c r="L41" i="8"/>
  <c r="O41" i="8"/>
  <c r="L40" i="8"/>
  <c r="O40" i="8"/>
  <c r="L39" i="8"/>
  <c r="O39" i="8"/>
  <c r="L38" i="8"/>
  <c r="O38" i="8"/>
  <c r="L37" i="8"/>
  <c r="O37" i="8"/>
  <c r="L36" i="8"/>
  <c r="O36" i="8"/>
  <c r="L35" i="8"/>
  <c r="O35" i="8"/>
  <c r="L34" i="8"/>
  <c r="O34" i="8"/>
  <c r="L33" i="8"/>
  <c r="O33" i="8"/>
  <c r="L32" i="8"/>
  <c r="O32" i="8"/>
  <c r="L31" i="8"/>
  <c r="O31" i="8"/>
  <c r="L30" i="8"/>
  <c r="O30" i="8"/>
  <c r="L29" i="8"/>
  <c r="O29" i="8"/>
  <c r="L28" i="8"/>
  <c r="O28" i="8"/>
  <c r="L27" i="8"/>
  <c r="O27" i="8"/>
  <c r="L26" i="8"/>
  <c r="O26" i="8"/>
  <c r="L25" i="8"/>
  <c r="O25" i="8"/>
  <c r="L24" i="8"/>
  <c r="O24" i="8"/>
  <c r="L23" i="8"/>
  <c r="O23" i="8"/>
  <c r="AE22" i="8"/>
  <c r="I22" i="8"/>
  <c r="J22" i="8"/>
  <c r="K22" i="8" s="1"/>
  <c r="AR6" i="8"/>
  <c r="L21" i="8"/>
  <c r="O21" i="8"/>
  <c r="L20" i="8"/>
  <c r="O20" i="8"/>
  <c r="L19" i="8"/>
  <c r="O19" i="8"/>
  <c r="L18" i="8"/>
  <c r="O18" i="8"/>
  <c r="L17" i="8"/>
  <c r="O17" i="8"/>
  <c r="L16" i="8"/>
  <c r="O16" i="8"/>
  <c r="L15" i="8"/>
  <c r="O15" i="8"/>
  <c r="L14" i="8"/>
  <c r="O14" i="8"/>
  <c r="H67" i="8"/>
  <c r="J67" i="8" s="1"/>
  <c r="H65" i="8"/>
  <c r="H62" i="8"/>
  <c r="H63" i="8"/>
  <c r="J63" i="8" s="1"/>
  <c r="BD13" i="8"/>
  <c r="BD14" i="8"/>
  <c r="BJ14" i="8" s="1" a="1"/>
  <c r="BD15" i="8"/>
  <c r="BJ15" i="8" s="1" a="1"/>
  <c r="BD16" i="8"/>
  <c r="BJ16" i="8" s="1" a="1"/>
  <c r="BD17" i="8"/>
  <c r="BJ17" i="8" s="1" a="1"/>
  <c r="BD18" i="8"/>
  <c r="BJ18" i="8" s="1" a="1"/>
  <c r="BD28" i="8"/>
  <c r="BJ28" i="8" s="1" a="1"/>
  <c r="AX3" i="8"/>
  <c r="L13" i="8"/>
  <c r="AH13" i="8" s="1"/>
  <c r="AM13" i="8"/>
  <c r="AM14" i="8"/>
  <c r="N7" i="8"/>
  <c r="O42" i="6"/>
  <c r="L42" i="6"/>
  <c r="O41" i="6"/>
  <c r="L41" i="6"/>
  <c r="L40" i="6"/>
  <c r="O40" i="6"/>
  <c r="L39" i="6"/>
  <c r="O39" i="6"/>
  <c r="L38" i="6"/>
  <c r="O38" i="6"/>
  <c r="L37" i="6"/>
  <c r="O37" i="6"/>
  <c r="L36" i="6"/>
  <c r="O36" i="6"/>
  <c r="L35" i="6"/>
  <c r="O35" i="6"/>
  <c r="L34" i="6"/>
  <c r="O34" i="6"/>
  <c r="L33" i="6"/>
  <c r="O33" i="6"/>
  <c r="O32" i="6"/>
  <c r="L32" i="6"/>
  <c r="L31" i="6"/>
  <c r="O31" i="6"/>
  <c r="L30" i="6"/>
  <c r="O30" i="6"/>
  <c r="L29" i="6"/>
  <c r="O29" i="6"/>
  <c r="L28" i="6"/>
  <c r="O28" i="6"/>
  <c r="L27" i="6"/>
  <c r="O27" i="6"/>
  <c r="O26" i="6"/>
  <c r="L26" i="6"/>
  <c r="L25" i="6"/>
  <c r="O25" i="6"/>
  <c r="O24" i="6"/>
  <c r="L24" i="6"/>
  <c r="L23" i="6"/>
  <c r="O23" i="6"/>
  <c r="I22" i="6"/>
  <c r="AE22" i="6"/>
  <c r="O21" i="6"/>
  <c r="L21" i="6"/>
  <c r="CO20" i="6"/>
  <c r="AE20" i="6"/>
  <c r="I20" i="6"/>
  <c r="CO19" i="6"/>
  <c r="AE19" i="6"/>
  <c r="I19" i="6"/>
  <c r="AE18" i="6"/>
  <c r="CO18" i="6"/>
  <c r="I18" i="6"/>
  <c r="I17" i="6"/>
  <c r="AE17" i="6"/>
  <c r="CO17" i="6"/>
  <c r="CO16" i="6"/>
  <c r="I16" i="6"/>
  <c r="AE16" i="6"/>
  <c r="CO15" i="6"/>
  <c r="I15" i="6"/>
  <c r="AE15" i="6"/>
  <c r="I14" i="6"/>
  <c r="CO14" i="6"/>
  <c r="AE14" i="6"/>
  <c r="H65" i="6"/>
  <c r="H62" i="6"/>
  <c r="H67" i="6" s="1"/>
  <c r="J67" i="6" s="1"/>
  <c r="H63" i="6"/>
  <c r="J63" i="6" s="1"/>
  <c r="CO13" i="6"/>
  <c r="J60" i="6" s="1"/>
  <c r="AE13" i="6"/>
  <c r="I13" i="6"/>
  <c r="AM22" i="6"/>
  <c r="T22" i="6" s="1"/>
  <c r="AM28" i="6"/>
  <c r="T28" i="6" s="1"/>
  <c r="AM34" i="6"/>
  <c r="T34" i="6" s="1"/>
  <c r="AM39" i="6"/>
  <c r="T39" i="6" s="1"/>
  <c r="AM40" i="6"/>
  <c r="T40" i="6" s="1"/>
  <c r="AM41" i="6"/>
  <c r="T41" i="6" s="1"/>
  <c r="AM46" i="6"/>
  <c r="AN46" i="6" s="1"/>
  <c r="AM47" i="6"/>
  <c r="AN47" i="6" s="1"/>
  <c r="AM55" i="6"/>
  <c r="AM15" i="6"/>
  <c r="T15" i="6" s="1"/>
  <c r="AM29" i="6"/>
  <c r="T29" i="6" s="1"/>
  <c r="AM43" i="6"/>
  <c r="T43" i="6" s="1"/>
  <c r="AM44" i="6"/>
  <c r="T44" i="6" s="1"/>
  <c r="AM14" i="6"/>
  <c r="T14" i="6" s="1"/>
  <c r="AM21" i="6"/>
  <c r="T21" i="6" s="1"/>
  <c r="AM23" i="6"/>
  <c r="T23" i="6" s="1"/>
  <c r="AM13" i="6"/>
  <c r="T13" i="6" s="1"/>
  <c r="AM19" i="6"/>
  <c r="T19" i="6" s="1"/>
  <c r="AM27" i="6"/>
  <c r="T27" i="6" s="1"/>
  <c r="AM31" i="6"/>
  <c r="T31" i="6" s="1"/>
  <c r="AM32" i="6"/>
  <c r="T32" i="6" s="1"/>
  <c r="AM33" i="6"/>
  <c r="T33" i="6" s="1"/>
  <c r="AM37" i="6"/>
  <c r="T37" i="6" s="1"/>
  <c r="AM38" i="6"/>
  <c r="T38" i="6" s="1"/>
  <c r="AM42" i="6"/>
  <c r="T42" i="6" s="1"/>
  <c r="AM48" i="6"/>
  <c r="AN48" i="6" s="1"/>
  <c r="AM50" i="6"/>
  <c r="AM56" i="6"/>
  <c r="T56" i="6" s="1"/>
  <c r="AM57" i="6"/>
  <c r="T57" i="6" s="1"/>
  <c r="AM30" i="6"/>
  <c r="T30" i="6" s="1"/>
  <c r="AM35" i="6"/>
  <c r="T35" i="6" s="1"/>
  <c r="AM36" i="6"/>
  <c r="T36" i="6" s="1"/>
  <c r="AM45" i="6"/>
  <c r="T45" i="6" s="1"/>
  <c r="AM49" i="6"/>
  <c r="AM51" i="6"/>
  <c r="AM52" i="6"/>
  <c r="AN52" i="6" s="1"/>
  <c r="AM54" i="6"/>
  <c r="AN54" i="6" s="1"/>
  <c r="AM16" i="6"/>
  <c r="T16" i="6" s="1"/>
  <c r="AM17" i="6"/>
  <c r="T17" i="6" s="1"/>
  <c r="AM18" i="6"/>
  <c r="T18" i="6" s="1"/>
  <c r="AM20" i="6"/>
  <c r="T20" i="6" s="1"/>
  <c r="AM24" i="6"/>
  <c r="T24" i="6" s="1"/>
  <c r="AM25" i="6"/>
  <c r="T25" i="6" s="1"/>
  <c r="AM26" i="6"/>
  <c r="T26" i="6" s="1"/>
  <c r="AM53" i="6"/>
  <c r="H43" i="6"/>
  <c r="I43" i="6" s="1"/>
  <c r="AV3" i="6" s="1"/>
  <c r="K43" i="6"/>
  <c r="AN51" i="6"/>
  <c r="AN45" i="6"/>
  <c r="AN40" i="6"/>
  <c r="AN36" i="6"/>
  <c r="AN35" i="6"/>
  <c r="AN30" i="6"/>
  <c r="AN57" i="6"/>
  <c r="AN56" i="6"/>
  <c r="AN50" i="6"/>
  <c r="AN49" i="6"/>
  <c r="AN37" i="6"/>
  <c r="AN33" i="6"/>
  <c r="AN31" i="6"/>
  <c r="AN27" i="6"/>
  <c r="AN19" i="6"/>
  <c r="AN16" i="6"/>
  <c r="AN14" i="6"/>
  <c r="AN29" i="6"/>
  <c r="AN41" i="6"/>
  <c r="N7" i="6"/>
  <c r="AN15" i="6"/>
  <c r="AN42" i="6"/>
  <c r="AN39" i="6"/>
  <c r="AN13" i="6"/>
  <c r="AN38" i="6"/>
  <c r="AN34" i="6"/>
  <c r="AN28" i="6"/>
  <c r="AN22" i="6"/>
  <c r="AN17" i="6"/>
  <c r="AN32" i="6"/>
  <c r="AN26" i="6"/>
  <c r="AN25" i="6"/>
  <c r="AN21" i="6"/>
  <c r="AN44" i="6"/>
  <c r="AN43" i="6"/>
  <c r="AN24" i="6"/>
  <c r="AN18" i="6"/>
  <c r="AN20" i="6"/>
  <c r="AN23" i="6"/>
  <c r="L42" i="5"/>
  <c r="O42" i="5"/>
  <c r="L41" i="5"/>
  <c r="O41" i="5"/>
  <c r="L40" i="5"/>
  <c r="O40" i="5"/>
  <c r="L39" i="5"/>
  <c r="O39" i="5"/>
  <c r="L38" i="5"/>
  <c r="O38" i="5"/>
  <c r="L37" i="5"/>
  <c r="O37" i="5"/>
  <c r="O36" i="5"/>
  <c r="L36" i="5"/>
  <c r="L35" i="5"/>
  <c r="O35" i="5"/>
  <c r="L34" i="5"/>
  <c r="O34" i="5"/>
  <c r="L33" i="5"/>
  <c r="O33" i="5"/>
  <c r="L32" i="5"/>
  <c r="O32" i="5"/>
  <c r="CO31" i="5"/>
  <c r="I31" i="5"/>
  <c r="AE31" i="5"/>
  <c r="I30" i="5"/>
  <c r="CO30" i="5"/>
  <c r="AE30" i="5"/>
  <c r="CO29" i="5"/>
  <c r="AE29" i="5"/>
  <c r="I29" i="5"/>
  <c r="CO28" i="5"/>
  <c r="I28" i="5"/>
  <c r="AE28" i="5"/>
  <c r="AE27" i="5"/>
  <c r="CO27" i="5"/>
  <c r="I27" i="5"/>
  <c r="AE26" i="5"/>
  <c r="CO26" i="5"/>
  <c r="I26" i="5"/>
  <c r="AE25" i="5"/>
  <c r="CO25" i="5"/>
  <c r="I25" i="5"/>
  <c r="CO24" i="5"/>
  <c r="AE24" i="5"/>
  <c r="I24" i="5"/>
  <c r="CO23" i="5"/>
  <c r="AE23" i="5"/>
  <c r="I22" i="5"/>
  <c r="AE22" i="5"/>
  <c r="CO22" i="5"/>
  <c r="AE21" i="5"/>
  <c r="CO21" i="5"/>
  <c r="I21" i="5"/>
  <c r="CO20" i="5"/>
  <c r="I20" i="5"/>
  <c r="AE20" i="5"/>
  <c r="AE19" i="5"/>
  <c r="I19" i="5"/>
  <c r="CO19" i="5"/>
  <c r="CO18" i="5"/>
  <c r="I18" i="5"/>
  <c r="AE18" i="5"/>
  <c r="I17" i="5"/>
  <c r="CO17" i="5"/>
  <c r="AE17" i="5"/>
  <c r="I16" i="5"/>
  <c r="CO16" i="5"/>
  <c r="AE16" i="5"/>
  <c r="CO15" i="5"/>
  <c r="AE15" i="5"/>
  <c r="I15" i="5"/>
  <c r="I14" i="5"/>
  <c r="CO14" i="5"/>
  <c r="AE14" i="5"/>
  <c r="H65" i="5"/>
  <c r="H62" i="5"/>
  <c r="H67" i="5" s="1"/>
  <c r="J67" i="5" s="1"/>
  <c r="H63" i="5"/>
  <c r="J63" i="5" s="1"/>
  <c r="CO13" i="5"/>
  <c r="J60" i="5" s="1"/>
  <c r="I13" i="5"/>
  <c r="AE13" i="5"/>
  <c r="AM16" i="5"/>
  <c r="AM21" i="5"/>
  <c r="AM22" i="5"/>
  <c r="T22" i="5" s="1"/>
  <c r="AM24" i="5"/>
  <c r="AM25" i="5"/>
  <c r="AM27" i="5"/>
  <c r="AM29" i="5"/>
  <c r="AM30" i="5"/>
  <c r="AM32" i="5"/>
  <c r="AM33" i="5"/>
  <c r="AM36" i="5"/>
  <c r="AM39" i="5"/>
  <c r="T39" i="5" s="1"/>
  <c r="AM41" i="5"/>
  <c r="T41" i="5" s="1"/>
  <c r="AM43" i="5"/>
  <c r="T43" i="5" s="1"/>
  <c r="AM46" i="5"/>
  <c r="T46" i="5" s="1"/>
  <c r="AM47" i="5"/>
  <c r="T47" i="5" s="1"/>
  <c r="AM48" i="5"/>
  <c r="T48" i="5" s="1"/>
  <c r="AM49" i="5"/>
  <c r="T49" i="5" s="1"/>
  <c r="AM50" i="5"/>
  <c r="T50" i="5" s="1"/>
  <c r="AM51" i="5"/>
  <c r="T51" i="5" s="1"/>
  <c r="AM52" i="5"/>
  <c r="T52" i="5" s="1"/>
  <c r="AM53" i="5"/>
  <c r="T53" i="5" s="1"/>
  <c r="AM54" i="5"/>
  <c r="T54" i="5" s="1"/>
  <c r="AM55" i="5"/>
  <c r="T55" i="5" s="1"/>
  <c r="AM56" i="5"/>
  <c r="T56" i="5" s="1"/>
  <c r="AM57" i="5"/>
  <c r="T57" i="5" s="1"/>
  <c r="AM23" i="5"/>
  <c r="AM26" i="5"/>
  <c r="AM31" i="5"/>
  <c r="AM34" i="5"/>
  <c r="AN34" i="5" s="1"/>
  <c r="AM35" i="5"/>
  <c r="AM40" i="5"/>
  <c r="T40" i="5" s="1"/>
  <c r="AM42" i="5"/>
  <c r="T42" i="5" s="1"/>
  <c r="AM44" i="5"/>
  <c r="T44" i="5" s="1"/>
  <c r="AM45" i="5"/>
  <c r="T45" i="5" s="1"/>
  <c r="AM13" i="5"/>
  <c r="T13" i="5" s="1"/>
  <c r="AM14" i="5"/>
  <c r="T14" i="5" s="1"/>
  <c r="AM17" i="5"/>
  <c r="AM28" i="5"/>
  <c r="T28" i="5" s="1"/>
  <c r="AM37" i="5"/>
  <c r="T37" i="5" s="1"/>
  <c r="AM38" i="5"/>
  <c r="AM15" i="5"/>
  <c r="T15" i="5" s="1"/>
  <c r="AM18" i="5"/>
  <c r="AM19" i="5"/>
  <c r="T19" i="5" s="1"/>
  <c r="AM20" i="5"/>
  <c r="H43" i="5"/>
  <c r="I43" i="5" s="1"/>
  <c r="AV3" i="5" s="1"/>
  <c r="K43" i="5"/>
  <c r="AN25" i="5"/>
  <c r="AN36" i="5"/>
  <c r="AN14" i="5"/>
  <c r="AN18" i="5"/>
  <c r="AN33" i="5"/>
  <c r="AN31" i="5"/>
  <c r="AN32" i="5"/>
  <c r="AN40" i="5"/>
  <c r="AN37" i="5"/>
  <c r="AN13" i="5"/>
  <c r="AN30" i="5"/>
  <c r="AN28" i="5"/>
  <c r="AN38" i="5"/>
  <c r="AN29" i="5"/>
  <c r="AN45" i="5"/>
  <c r="AN27" i="5"/>
  <c r="AN44" i="5"/>
  <c r="AN35" i="5"/>
  <c r="AN57" i="5"/>
  <c r="AN56" i="5"/>
  <c r="AN54" i="5"/>
  <c r="AN24" i="5"/>
  <c r="AN53" i="5"/>
  <c r="AN52" i="5"/>
  <c r="AN22" i="5"/>
  <c r="AN51" i="5"/>
  <c r="AN21" i="5"/>
  <c r="AN50" i="5"/>
  <c r="AN49" i="5"/>
  <c r="AN20" i="5"/>
  <c r="AN48" i="5"/>
  <c r="AN47" i="5"/>
  <c r="AN17" i="5"/>
  <c r="AN46" i="5"/>
  <c r="AN43" i="5"/>
  <c r="AN16" i="5"/>
  <c r="AN26" i="5"/>
  <c r="AN19" i="5"/>
  <c r="AN15" i="5"/>
  <c r="AN41" i="5"/>
  <c r="AN23" i="5"/>
  <c r="AN42" i="5"/>
  <c r="AN39" i="5"/>
  <c r="N7" i="5"/>
  <c r="AN55" i="5"/>
  <c r="M50" i="3"/>
  <c r="F2" i="11"/>
  <c r="E2" i="11"/>
  <c r="E21" i="11"/>
  <c r="E10" i="11"/>
  <c r="E20" i="11"/>
  <c r="E19" i="11"/>
  <c r="E11" i="11"/>
  <c r="E6" i="11"/>
  <c r="E12" i="11"/>
  <c r="E4" i="11"/>
  <c r="E14" i="11"/>
  <c r="E7" i="11"/>
  <c r="E3" i="11"/>
  <c r="E18" i="11"/>
  <c r="E8" i="11"/>
  <c r="E5" i="11"/>
  <c r="E17" i="11"/>
  <c r="E16" i="11"/>
  <c r="E9" i="11"/>
  <c r="E13" i="11"/>
  <c r="E15" i="11"/>
  <c r="D34" i="11"/>
  <c r="D35" i="11"/>
  <c r="D36" i="11"/>
  <c r="D37" i="11"/>
  <c r="D38" i="11"/>
  <c r="D39" i="11"/>
  <c r="D40" i="11"/>
  <c r="D41" i="11"/>
  <c r="D3" i="11"/>
  <c r="D4" i="11"/>
  <c r="D5" i="11"/>
  <c r="D6" i="11"/>
  <c r="D7" i="11"/>
  <c r="D8" i="11"/>
  <c r="D10" i="11"/>
  <c r="D11" i="11"/>
  <c r="D12" i="11"/>
  <c r="D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27" i="11"/>
  <c r="D28" i="11"/>
  <c r="D9" i="11"/>
  <c r="D29" i="11"/>
  <c r="D30" i="11"/>
  <c r="D31" i="11"/>
  <c r="D33" i="11"/>
  <c r="D32" i="11"/>
  <c r="J7" i="3"/>
  <c r="C2" i="11"/>
  <c r="J8" i="3"/>
  <c r="I20" i="3"/>
  <c r="AE42" i="4"/>
  <c r="CO42" i="4"/>
  <c r="I41" i="4"/>
  <c r="AE41" i="4"/>
  <c r="CO41" i="4"/>
  <c r="AE40" i="4"/>
  <c r="I40" i="4"/>
  <c r="CO40" i="4"/>
  <c r="AE39" i="4"/>
  <c r="CO39" i="4"/>
  <c r="I39" i="4"/>
  <c r="CO38" i="4"/>
  <c r="I38" i="4"/>
  <c r="AE38" i="4"/>
  <c r="I37" i="4"/>
  <c r="CO37" i="4"/>
  <c r="AE37" i="4"/>
  <c r="AE36" i="4"/>
  <c r="CO36" i="4"/>
  <c r="I36" i="4"/>
  <c r="AE35" i="4"/>
  <c r="I35" i="4"/>
  <c r="CO35" i="4"/>
  <c r="CO34" i="4"/>
  <c r="AE34" i="4"/>
  <c r="I34" i="4"/>
  <c r="CO33" i="4"/>
  <c r="I33" i="4"/>
  <c r="AE33" i="4"/>
  <c r="I32" i="4"/>
  <c r="AE32" i="4"/>
  <c r="CO32" i="4"/>
  <c r="I31" i="4"/>
  <c r="CO31" i="4"/>
  <c r="AE31" i="4"/>
  <c r="I30" i="4"/>
  <c r="CO30" i="4"/>
  <c r="AE30" i="4"/>
  <c r="CO29" i="4"/>
  <c r="I29" i="4"/>
  <c r="AE29" i="4"/>
  <c r="I28" i="4"/>
  <c r="CO28" i="4"/>
  <c r="AE28" i="4"/>
  <c r="AE27" i="4"/>
  <c r="CO27" i="4"/>
  <c r="I27" i="4"/>
  <c r="O26" i="4"/>
  <c r="L26" i="4"/>
  <c r="AH26" i="4" s="1"/>
  <c r="AE25" i="4"/>
  <c r="I25" i="4"/>
  <c r="CO25" i="4"/>
  <c r="CO24" i="4"/>
  <c r="I24" i="4"/>
  <c r="AE24" i="4"/>
  <c r="CO23" i="4"/>
  <c r="I23" i="4"/>
  <c r="AE23" i="4"/>
  <c r="I22" i="4"/>
  <c r="AE22" i="4"/>
  <c r="CO22" i="4"/>
  <c r="CO21" i="4"/>
  <c r="I21" i="4"/>
  <c r="AE21" i="4"/>
  <c r="AE20" i="4"/>
  <c r="I20" i="4"/>
  <c r="CO20" i="4"/>
  <c r="I19" i="4"/>
  <c r="AE19" i="4"/>
  <c r="CO19" i="4"/>
  <c r="CO18" i="4"/>
  <c r="AE18" i="4"/>
  <c r="I18" i="4"/>
  <c r="CO17" i="4"/>
  <c r="AE17" i="4"/>
  <c r="I17" i="4"/>
  <c r="CO16" i="4"/>
  <c r="I16" i="4"/>
  <c r="AE16" i="4"/>
  <c r="AE15" i="4"/>
  <c r="CO15" i="4"/>
  <c r="I15" i="4"/>
  <c r="CO14" i="4"/>
  <c r="AE14" i="4"/>
  <c r="I14" i="4"/>
  <c r="H65" i="4"/>
  <c r="H67" i="4"/>
  <c r="J67" i="4" s="1"/>
  <c r="H62" i="4"/>
  <c r="H63" i="4"/>
  <c r="J63" i="4" s="1"/>
  <c r="I13" i="4"/>
  <c r="AE13" i="4"/>
  <c r="CO13" i="4"/>
  <c r="J60" i="4" s="1"/>
  <c r="AM16" i="4"/>
  <c r="AN16" i="4" s="1"/>
  <c r="AM26" i="4"/>
  <c r="AN26" i="4" s="1"/>
  <c r="AM34" i="4"/>
  <c r="AN34" i="4" s="1"/>
  <c r="AM35" i="4"/>
  <c r="AN35" i="4" s="1"/>
  <c r="AM36" i="4"/>
  <c r="AN36" i="4" s="1"/>
  <c r="AM13" i="4"/>
  <c r="AN13" i="4" s="1"/>
  <c r="AM18" i="4"/>
  <c r="AN18" i="4" s="1"/>
  <c r="AM28" i="4"/>
  <c r="AM31" i="4"/>
  <c r="AN31" i="4" s="1"/>
  <c r="AM33" i="4"/>
  <c r="AM41" i="4"/>
  <c r="AN41" i="4" s="1"/>
  <c r="AM14" i="4"/>
  <c r="AN14" i="4" s="1"/>
  <c r="AM24" i="4"/>
  <c r="AN24" i="4" s="1"/>
  <c r="AM15" i="4"/>
  <c r="AN15" i="4" s="1"/>
  <c r="AM20" i="4"/>
  <c r="AN20" i="4" s="1"/>
  <c r="AM27" i="4"/>
  <c r="AN27" i="4" s="1"/>
  <c r="AM21" i="4"/>
  <c r="AN21" i="4" s="1"/>
  <c r="AM32" i="4"/>
  <c r="AN32" i="4" s="1"/>
  <c r="AM38" i="4"/>
  <c r="AN38" i="4" s="1"/>
  <c r="AM23" i="4"/>
  <c r="AM25" i="4"/>
  <c r="AN25" i="4" s="1"/>
  <c r="AM29" i="4"/>
  <c r="AN29" i="4" s="1"/>
  <c r="AM37" i="4"/>
  <c r="AM42" i="4"/>
  <c r="AM43" i="4"/>
  <c r="AN43" i="4" s="1"/>
  <c r="AM44" i="4"/>
  <c r="T44" i="4" s="1"/>
  <c r="AM45" i="4"/>
  <c r="AM46" i="4"/>
  <c r="T46" i="4" s="1"/>
  <c r="AM47" i="4"/>
  <c r="T47" i="4" s="1"/>
  <c r="AM48" i="4"/>
  <c r="T48" i="4" s="1"/>
  <c r="AM49" i="4"/>
  <c r="T49" i="4" s="1"/>
  <c r="AM50" i="4"/>
  <c r="T50" i="4" s="1"/>
  <c r="AM51" i="4"/>
  <c r="T51" i="4" s="1"/>
  <c r="AM52" i="4"/>
  <c r="T52" i="4" s="1"/>
  <c r="AM53" i="4"/>
  <c r="AM54" i="4"/>
  <c r="T54" i="4" s="1"/>
  <c r="AM55" i="4"/>
  <c r="AM56" i="4"/>
  <c r="T56" i="4" s="1"/>
  <c r="AM57" i="4"/>
  <c r="AM17" i="4"/>
  <c r="AM19" i="4"/>
  <c r="T19" i="4" s="1"/>
  <c r="AM30" i="4"/>
  <c r="AM39" i="4"/>
  <c r="AM40" i="4"/>
  <c r="AM22" i="4"/>
  <c r="H43" i="4"/>
  <c r="K43" i="4"/>
  <c r="I43" i="4"/>
  <c r="AV3" i="4" s="1"/>
  <c r="AN40" i="4"/>
  <c r="AN22" i="4"/>
  <c r="AN19" i="4"/>
  <c r="AN39" i="4"/>
  <c r="AN57" i="4"/>
  <c r="AN56" i="4"/>
  <c r="AN55" i="4"/>
  <c r="AN54" i="4"/>
  <c r="AN53" i="4"/>
  <c r="AN52" i="4"/>
  <c r="AN51" i="4"/>
  <c r="AN50" i="4"/>
  <c r="AN49" i="4"/>
  <c r="AN48" i="4"/>
  <c r="AN47" i="4"/>
  <c r="AN46" i="4"/>
  <c r="AN45" i="4"/>
  <c r="AN44" i="4"/>
  <c r="N7" i="4"/>
  <c r="AN17" i="4"/>
  <c r="AN30" i="4"/>
  <c r="M51" i="12" l="1"/>
  <c r="D56" i="12"/>
  <c r="F79" i="12"/>
  <c r="BD20" i="8"/>
  <c r="BJ20" i="8" s="1" a="1"/>
  <c r="BD21" i="8"/>
  <c r="BJ21" i="8" s="1" a="1"/>
  <c r="BD22" i="8"/>
  <c r="BJ22" i="8" s="1" a="1"/>
  <c r="BD23" i="8"/>
  <c r="BJ23" i="8" s="1" a="1"/>
  <c r="BD24" i="8"/>
  <c r="BJ24" i="8" s="1" a="1"/>
  <c r="BD25" i="8"/>
  <c r="BJ25" i="8" s="1" a="1"/>
  <c r="BD26" i="8"/>
  <c r="BJ26" i="8" s="1" a="1"/>
  <c r="BD27" i="8"/>
  <c r="BJ27" i="8" s="1" a="1"/>
  <c r="L22" i="8"/>
  <c r="O22" i="8"/>
  <c r="H43" i="8"/>
  <c r="I43" i="8" s="1"/>
  <c r="AV3" i="8" s="1"/>
  <c r="K43" i="8"/>
  <c r="J65" i="8"/>
  <c r="H66" i="8"/>
  <c r="J66" i="8" s="1"/>
  <c r="BE13" i="8"/>
  <c r="BF13" i="8"/>
  <c r="BI13" i="8"/>
  <c r="BJ13" i="8" s="1" a="1"/>
  <c r="BE14" i="8"/>
  <c r="BF14" i="8"/>
  <c r="BG14" i="8" s="1"/>
  <c r="BI14" i="8"/>
  <c r="BE15" i="8"/>
  <c r="BF15" i="8"/>
  <c r="BG15" i="8" s="1"/>
  <c r="BI15" i="8"/>
  <c r="BE16" i="8"/>
  <c r="BF16" i="8"/>
  <c r="BG16" i="8" s="1"/>
  <c r="BI16" i="8"/>
  <c r="BE17" i="8"/>
  <c r="BF17" i="8"/>
  <c r="BG17" i="8" s="1"/>
  <c r="BI17" i="8"/>
  <c r="BE18" i="8"/>
  <c r="BF18" i="8"/>
  <c r="BG18" i="8" s="1"/>
  <c r="BI18" i="8"/>
  <c r="BE19" i="8"/>
  <c r="BF19" i="8"/>
  <c r="BG19" i="8" s="1"/>
  <c r="BI19" i="8"/>
  <c r="BE20" i="8"/>
  <c r="BF20" i="8"/>
  <c r="BG20" i="8" s="1"/>
  <c r="BI20" i="8"/>
  <c r="BE21" i="8"/>
  <c r="BF21" i="8"/>
  <c r="BG21" i="8" s="1"/>
  <c r="BI21" i="8"/>
  <c r="BE22" i="8"/>
  <c r="BF22" i="8"/>
  <c r="BG22" i="8" s="1"/>
  <c r="BI22" i="8"/>
  <c r="BF23" i="8"/>
  <c r="BG23" i="8" s="1"/>
  <c r="BI23" i="8"/>
  <c r="BE23" i="8"/>
  <c r="BE24" i="8"/>
  <c r="BF24" i="8"/>
  <c r="BG24" i="8" s="1"/>
  <c r="BI24" i="8"/>
  <c r="BE25" i="8"/>
  <c r="BF25" i="8"/>
  <c r="BG25" i="8" s="1"/>
  <c r="BI25" i="8"/>
  <c r="BE26" i="8"/>
  <c r="BF26" i="8"/>
  <c r="BG26" i="8" s="1"/>
  <c r="BI26" i="8"/>
  <c r="BE27" i="8"/>
  <c r="BF27" i="8"/>
  <c r="BG27" i="8" s="1"/>
  <c r="BI27" i="8"/>
  <c r="BE28" i="8"/>
  <c r="BF28" i="8"/>
  <c r="BG28" i="8" s="1"/>
  <c r="BI28" i="8"/>
  <c r="O22" i="6"/>
  <c r="L22" i="6"/>
  <c r="O20" i="6"/>
  <c r="L20" i="6"/>
  <c r="AH20" i="6" s="1"/>
  <c r="T54" i="6" s="1"/>
  <c r="L19" i="6"/>
  <c r="AH19" i="6" s="1"/>
  <c r="T52" i="6" s="1"/>
  <c r="O19" i="6"/>
  <c r="L18" i="6"/>
  <c r="AH18" i="6" s="1"/>
  <c r="T51" i="6" s="1"/>
  <c r="O18" i="6"/>
  <c r="O17" i="6"/>
  <c r="L17" i="6"/>
  <c r="AH17" i="6" s="1"/>
  <c r="T50" i="6" s="1"/>
  <c r="L16" i="6"/>
  <c r="AH16" i="6" s="1"/>
  <c r="T49" i="6" s="1"/>
  <c r="O16" i="6"/>
  <c r="O15" i="6"/>
  <c r="L15" i="6"/>
  <c r="AH15" i="6" s="1"/>
  <c r="T48" i="6" s="1"/>
  <c r="L14" i="6"/>
  <c r="AH14" i="6" s="1"/>
  <c r="T47" i="6" s="1"/>
  <c r="J65" i="6"/>
  <c r="H66" i="6"/>
  <c r="J66" i="6" s="1"/>
  <c r="BD16" i="6"/>
  <c r="BD18" i="6"/>
  <c r="AX3" i="6"/>
  <c r="BD13" i="6"/>
  <c r="BD19" i="6"/>
  <c r="BD26" i="6"/>
  <c r="BD27" i="6"/>
  <c r="BD14" i="6"/>
  <c r="BD15" i="6"/>
  <c r="BD17" i="6"/>
  <c r="BD20" i="6"/>
  <c r="BD22" i="6"/>
  <c r="BD23" i="6"/>
  <c r="BD24" i="6"/>
  <c r="BD25" i="6"/>
  <c r="L13" i="6"/>
  <c r="AH13" i="6" s="1"/>
  <c r="T46" i="6" s="1"/>
  <c r="O13" i="6"/>
  <c r="BD21" i="6"/>
  <c r="BD28" i="6"/>
  <c r="AU3" i="6"/>
  <c r="J43" i="6"/>
  <c r="AW3" i="6" s="1"/>
  <c r="L31" i="5"/>
  <c r="AH31" i="5" s="1"/>
  <c r="T38" i="5" s="1"/>
  <c r="O31" i="5"/>
  <c r="L30" i="5"/>
  <c r="AH30" i="5" s="1"/>
  <c r="T36" i="5" s="1"/>
  <c r="O30" i="5"/>
  <c r="L29" i="5"/>
  <c r="AH29" i="5" s="1"/>
  <c r="T35" i="5" s="1"/>
  <c r="O29" i="5"/>
  <c r="L28" i="5"/>
  <c r="AH28" i="5" s="1"/>
  <c r="T34" i="5" s="1"/>
  <c r="O28" i="5"/>
  <c r="L27" i="5"/>
  <c r="AH27" i="5" s="1"/>
  <c r="T33" i="5" s="1"/>
  <c r="O27" i="5"/>
  <c r="L26" i="5"/>
  <c r="AH26" i="5" s="1"/>
  <c r="T32" i="5" s="1"/>
  <c r="O26" i="5"/>
  <c r="O25" i="5"/>
  <c r="L25" i="5"/>
  <c r="AH25" i="5" s="1"/>
  <c r="T31" i="5" s="1"/>
  <c r="L24" i="5"/>
  <c r="AH24" i="5" s="1"/>
  <c r="T30" i="5" s="1"/>
  <c r="O24" i="5"/>
  <c r="O23" i="5"/>
  <c r="L23" i="5"/>
  <c r="AH23" i="5" s="1"/>
  <c r="T29" i="5" s="1"/>
  <c r="L22" i="5"/>
  <c r="AH22" i="5" s="1"/>
  <c r="T27" i="5" s="1"/>
  <c r="O22" i="5"/>
  <c r="L21" i="5"/>
  <c r="AH21" i="5" s="1"/>
  <c r="T26" i="5" s="1"/>
  <c r="O21" i="5"/>
  <c r="L20" i="5"/>
  <c r="AH20" i="5" s="1"/>
  <c r="T25" i="5" s="1"/>
  <c r="L19" i="5"/>
  <c r="AH19" i="5" s="1"/>
  <c r="T24" i="5" s="1"/>
  <c r="O19" i="5"/>
  <c r="L18" i="5"/>
  <c r="AH18" i="5" s="1"/>
  <c r="T23" i="5" s="1"/>
  <c r="O17" i="5"/>
  <c r="L17" i="5"/>
  <c r="AH17" i="5" s="1"/>
  <c r="T21" i="5" s="1"/>
  <c r="L16" i="5"/>
  <c r="AH16" i="5" s="1"/>
  <c r="T20" i="5" s="1"/>
  <c r="O16" i="5"/>
  <c r="L15" i="5"/>
  <c r="AH15" i="5" s="1"/>
  <c r="T18" i="5" s="1"/>
  <c r="O14" i="5"/>
  <c r="L14" i="5"/>
  <c r="AH14" i="5" s="1"/>
  <c r="T17" i="5" s="1"/>
  <c r="J65" i="5"/>
  <c r="H66" i="5"/>
  <c r="J66" i="5" s="1"/>
  <c r="BD16" i="5"/>
  <c r="BD21" i="5"/>
  <c r="BD22" i="5"/>
  <c r="BD27" i="5"/>
  <c r="AX3" i="5"/>
  <c r="BD14" i="5"/>
  <c r="BD23" i="5"/>
  <c r="BD24" i="5"/>
  <c r="L13" i="5"/>
  <c r="AH13" i="5" s="1"/>
  <c r="T16" i="5" s="1"/>
  <c r="O13" i="5"/>
  <c r="BD13" i="5"/>
  <c r="BD15" i="5"/>
  <c r="BD17" i="5"/>
  <c r="BD28" i="5"/>
  <c r="BD18" i="5"/>
  <c r="BD19" i="5"/>
  <c r="BD20" i="5"/>
  <c r="BD25" i="5"/>
  <c r="BD26" i="5"/>
  <c r="J43" i="5"/>
  <c r="AW3" i="5" s="1"/>
  <c r="AU3" i="5"/>
  <c r="L42" i="4"/>
  <c r="AH42" i="4" s="1"/>
  <c r="T57" i="4" s="1"/>
  <c r="O42" i="4"/>
  <c r="O41" i="4"/>
  <c r="L41" i="4"/>
  <c r="AH41" i="4" s="1"/>
  <c r="T55" i="4" s="1"/>
  <c r="L40" i="4"/>
  <c r="AH40" i="4" s="1"/>
  <c r="T53" i="4" s="1"/>
  <c r="O40" i="4"/>
  <c r="L39" i="4"/>
  <c r="AH39" i="4" s="1"/>
  <c r="T45" i="4" s="1"/>
  <c r="O39" i="4"/>
  <c r="L38" i="4"/>
  <c r="AH38" i="4" s="1"/>
  <c r="T43" i="4" s="1"/>
  <c r="O38" i="4"/>
  <c r="L37" i="4"/>
  <c r="AH37" i="4" s="1"/>
  <c r="T41" i="4" s="1"/>
  <c r="O37" i="4"/>
  <c r="L36" i="4"/>
  <c r="AH36" i="4" s="1"/>
  <c r="T40" i="4" s="1"/>
  <c r="O36" i="4"/>
  <c r="L35" i="4"/>
  <c r="AH35" i="4" s="1"/>
  <c r="T39" i="4" s="1"/>
  <c r="O35" i="4"/>
  <c r="L34" i="4"/>
  <c r="AH34" i="4" s="1"/>
  <c r="T38" i="4" s="1"/>
  <c r="O34" i="4"/>
  <c r="L33" i="4"/>
  <c r="AH33" i="4" s="1"/>
  <c r="T36" i="4" s="1"/>
  <c r="O33" i="4"/>
  <c r="L32" i="4"/>
  <c r="AH32" i="4" s="1"/>
  <c r="T35" i="4" s="1"/>
  <c r="O32" i="4"/>
  <c r="L31" i="4"/>
  <c r="AH31" i="4" s="1"/>
  <c r="T34" i="4" s="1"/>
  <c r="O30" i="4"/>
  <c r="L30" i="4"/>
  <c r="AH30" i="4" s="1"/>
  <c r="T32" i="4" s="1"/>
  <c r="L29" i="4"/>
  <c r="AH29" i="4" s="1"/>
  <c r="T31" i="4" s="1"/>
  <c r="O29" i="4"/>
  <c r="L28" i="4"/>
  <c r="AH28" i="4" s="1"/>
  <c r="T30" i="4" s="1"/>
  <c r="L27" i="4"/>
  <c r="AH27" i="4" s="1"/>
  <c r="T29" i="4" s="1"/>
  <c r="O27" i="4"/>
  <c r="L25" i="4"/>
  <c r="AH25" i="4" s="1"/>
  <c r="T27" i="4" s="1"/>
  <c r="O25" i="4"/>
  <c r="L24" i="4"/>
  <c r="AH24" i="4" s="1"/>
  <c r="T26" i="4" s="1"/>
  <c r="O23" i="4"/>
  <c r="L23" i="4"/>
  <c r="AH23" i="4" s="1"/>
  <c r="T25" i="4" s="1"/>
  <c r="L22" i="4"/>
  <c r="AH22" i="4" s="1"/>
  <c r="T24" i="4" s="1"/>
  <c r="O22" i="4"/>
  <c r="L21" i="4"/>
  <c r="AH21" i="4" s="1"/>
  <c r="T22" i="4" s="1"/>
  <c r="O21" i="4"/>
  <c r="O20" i="4"/>
  <c r="L20" i="4"/>
  <c r="AH20" i="4" s="1"/>
  <c r="T21" i="4" s="1"/>
  <c r="L19" i="4"/>
  <c r="AH19" i="4" s="1"/>
  <c r="T20" i="4" s="1"/>
  <c r="O19" i="4"/>
  <c r="O18" i="4"/>
  <c r="L18" i="4"/>
  <c r="AH18" i="4" s="1"/>
  <c r="T18" i="4" s="1"/>
  <c r="L17" i="4"/>
  <c r="AH17" i="4" s="1"/>
  <c r="T17" i="4" s="1"/>
  <c r="O17" i="4"/>
  <c r="L16" i="4"/>
  <c r="AH16" i="4" s="1"/>
  <c r="T16" i="4" s="1"/>
  <c r="O15" i="4"/>
  <c r="L15" i="4"/>
  <c r="AH15" i="4" s="1"/>
  <c r="T15" i="4" s="1"/>
  <c r="O14" i="4"/>
  <c r="L14" i="4"/>
  <c r="AH14" i="4" s="1"/>
  <c r="T14" i="4" s="1"/>
  <c r="J65" i="4"/>
  <c r="H66" i="4"/>
  <c r="J66" i="4" s="1"/>
  <c r="BD16" i="4"/>
  <c r="BD26" i="4"/>
  <c r="BD28" i="4"/>
  <c r="AX3" i="4"/>
  <c r="BD18" i="4"/>
  <c r="BD25" i="4"/>
  <c r="BD13" i="4"/>
  <c r="BD14" i="4"/>
  <c r="BD24" i="4"/>
  <c r="BD22" i="4"/>
  <c r="BD20" i="4"/>
  <c r="BD21" i="4"/>
  <c r="BD17" i="4"/>
  <c r="BD15" i="4"/>
  <c r="BD19" i="4"/>
  <c r="BD23" i="4"/>
  <c r="BD27" i="4"/>
  <c r="L13" i="4"/>
  <c r="AH13" i="4" s="1"/>
  <c r="T13" i="4" s="1"/>
  <c r="O13" i="4"/>
  <c r="J43" i="4"/>
  <c r="AW3" i="4" s="1"/>
  <c r="AU3" i="4"/>
  <c r="AM25" i="8"/>
  <c r="AM38" i="8"/>
  <c r="AM39" i="8"/>
  <c r="AM40" i="8"/>
  <c r="AM41" i="8"/>
  <c r="AM42" i="8"/>
  <c r="AM43" i="8"/>
  <c r="AM44" i="8"/>
  <c r="AM45" i="8"/>
  <c r="AM46" i="8"/>
  <c r="AM47" i="8"/>
  <c r="AM48" i="8"/>
  <c r="AM49" i="8"/>
  <c r="AM50" i="8"/>
  <c r="AM51" i="8"/>
  <c r="AM52" i="8"/>
  <c r="AM37" i="8"/>
  <c r="AM54" i="8"/>
  <c r="AM29" i="8"/>
  <c r="AM55" i="8"/>
  <c r="AM56" i="8"/>
  <c r="AM57" i="8"/>
  <c r="AM15" i="8"/>
  <c r="AM16" i="8"/>
  <c r="AM17" i="8"/>
  <c r="AM18" i="8"/>
  <c r="AM19" i="8"/>
  <c r="AM20" i="8"/>
  <c r="AM21" i="8"/>
  <c r="AM22" i="8"/>
  <c r="AM24" i="8"/>
  <c r="AM26" i="8"/>
  <c r="AM23" i="8"/>
  <c r="AM53" i="8"/>
  <c r="AM27" i="8"/>
  <c r="AM28" i="8"/>
  <c r="AM30" i="8"/>
  <c r="AM31" i="8"/>
  <c r="AM32" i="8"/>
  <c r="AM33" i="8"/>
  <c r="AM34" i="8"/>
  <c r="AM35" i="8"/>
  <c r="AM36" i="8"/>
  <c r="T13" i="8"/>
  <c r="AN13" i="8"/>
  <c r="T14" i="8"/>
  <c r="AN14" i="8"/>
  <c r="T55" i="6"/>
  <c r="AN55" i="6"/>
  <c r="T53" i="6"/>
  <c r="AN53" i="6"/>
  <c r="M51" i="3"/>
  <c r="J9" i="3"/>
  <c r="C4" i="11"/>
  <c r="C5" i="11"/>
  <c r="C3" i="11"/>
  <c r="I21" i="3"/>
  <c r="B2" i="11"/>
  <c r="T28" i="4"/>
  <c r="AN28" i="4"/>
  <c r="T33" i="4"/>
  <c r="AN33" i="4"/>
  <c r="T23" i="4"/>
  <c r="AN23" i="4"/>
  <c r="T37" i="4"/>
  <c r="AN37" i="4"/>
  <c r="T42" i="4"/>
  <c r="AN42" i="4"/>
  <c r="F56" i="12" l="1"/>
  <c r="G56" i="12"/>
  <c r="J43" i="8"/>
  <c r="AW3" i="8" s="1"/>
  <c r="AU3" i="8"/>
  <c r="BG13" i="8"/>
  <c r="AY3" i="8"/>
  <c r="BE16" i="6"/>
  <c r="BF16" i="6"/>
  <c r="BG16" i="6" s="1"/>
  <c r="BI16" i="6"/>
  <c r="BE18" i="6"/>
  <c r="BF18" i="6"/>
  <c r="BG18" i="6" s="1"/>
  <c r="BI18" i="6"/>
  <c r="BE13" i="6"/>
  <c r="BF13" i="6"/>
  <c r="BI13" i="6"/>
  <c r="BF19" i="6"/>
  <c r="BG19" i="6" s="1"/>
  <c r="BI19" i="6"/>
  <c r="BE19" i="6"/>
  <c r="BE26" i="6"/>
  <c r="BF26" i="6"/>
  <c r="BG26" i="6" s="1"/>
  <c r="BI26" i="6"/>
  <c r="BE27" i="6"/>
  <c r="BF27" i="6"/>
  <c r="BG27" i="6" s="1"/>
  <c r="BI27" i="6"/>
  <c r="BE14" i="6"/>
  <c r="BF14" i="6"/>
  <c r="BG14" i="6" s="1"/>
  <c r="BI14" i="6"/>
  <c r="BE15" i="6"/>
  <c r="BF15" i="6"/>
  <c r="BG15" i="6" s="1"/>
  <c r="BI15" i="6"/>
  <c r="BE17" i="6"/>
  <c r="BF17" i="6"/>
  <c r="BG17" i="6" s="1"/>
  <c r="BI17" i="6"/>
  <c r="BF20" i="6"/>
  <c r="BG20" i="6" s="1"/>
  <c r="BI20" i="6"/>
  <c r="BE20" i="6"/>
  <c r="BE22" i="6"/>
  <c r="BF22" i="6"/>
  <c r="BG22" i="6" s="1"/>
  <c r="BI22" i="6"/>
  <c r="BE23" i="6"/>
  <c r="BF23" i="6"/>
  <c r="BG23" i="6" s="1"/>
  <c r="BI23" i="6"/>
  <c r="BE24" i="6"/>
  <c r="BI24" i="6"/>
  <c r="BF24" i="6"/>
  <c r="BG24" i="6" s="1"/>
  <c r="BE25" i="6"/>
  <c r="BF25" i="6"/>
  <c r="BG25" i="6" s="1"/>
  <c r="BI25" i="6"/>
  <c r="BE21" i="6"/>
  <c r="BI21" i="6"/>
  <c r="BF21" i="6"/>
  <c r="BG21" i="6" s="1"/>
  <c r="BI28" i="6"/>
  <c r="BE28" i="6"/>
  <c r="BF28" i="6"/>
  <c r="BG28" i="6" s="1"/>
  <c r="BE16" i="5"/>
  <c r="BF16" i="5"/>
  <c r="BG16" i="5" s="1"/>
  <c r="BI16" i="5"/>
  <c r="BF21" i="5"/>
  <c r="BG21" i="5" s="1"/>
  <c r="BI21" i="5"/>
  <c r="BE21" i="5"/>
  <c r="BE22" i="5"/>
  <c r="BI22" i="5"/>
  <c r="BF22" i="5"/>
  <c r="BG22" i="5" s="1"/>
  <c r="BE27" i="5"/>
  <c r="BF27" i="5"/>
  <c r="BG27" i="5" s="1"/>
  <c r="BI27" i="5"/>
  <c r="BE14" i="5"/>
  <c r="BF14" i="5"/>
  <c r="BG14" i="5" s="1"/>
  <c r="BI14" i="5"/>
  <c r="BJ14" i="5" s="1" a="1"/>
  <c r="BE23" i="5"/>
  <c r="BF23" i="5"/>
  <c r="BG23" i="5" s="1"/>
  <c r="BI23" i="5"/>
  <c r="BE24" i="5"/>
  <c r="BF24" i="5"/>
  <c r="BG24" i="5" s="1"/>
  <c r="BI24" i="5"/>
  <c r="BF13" i="5"/>
  <c r="BE13" i="5"/>
  <c r="BI13" i="5"/>
  <c r="BJ13" i="5" s="1" a="1"/>
  <c r="BI15" i="5"/>
  <c r="BJ15" i="5" s="1" a="1"/>
  <c r="BF15" i="5"/>
  <c r="BG15" i="5" s="1"/>
  <c r="BE15" i="5"/>
  <c r="BE17" i="5"/>
  <c r="BF17" i="5"/>
  <c r="BG17" i="5" s="1"/>
  <c r="BI17" i="5"/>
  <c r="BE28" i="5"/>
  <c r="BF28" i="5"/>
  <c r="BG28" i="5" s="1"/>
  <c r="BI28" i="5"/>
  <c r="BE18" i="5"/>
  <c r="BI18" i="5"/>
  <c r="BF18" i="5"/>
  <c r="BG18" i="5" s="1"/>
  <c r="BF19" i="5"/>
  <c r="BG19" i="5" s="1"/>
  <c r="BI19" i="5"/>
  <c r="BE19" i="5"/>
  <c r="BE20" i="5"/>
  <c r="BF20" i="5"/>
  <c r="BG20" i="5" s="1"/>
  <c r="BI20" i="5"/>
  <c r="BE25" i="5"/>
  <c r="BF25" i="5"/>
  <c r="BG25" i="5" s="1"/>
  <c r="BI25" i="5"/>
  <c r="BE26" i="5"/>
  <c r="BF26" i="5"/>
  <c r="BG26" i="5" s="1"/>
  <c r="BI26" i="5"/>
  <c r="BI16" i="4"/>
  <c r="BF16" i="4"/>
  <c r="BE16" i="4"/>
  <c r="BF26" i="4"/>
  <c r="BG26" i="4" s="1"/>
  <c r="BI26" i="4"/>
  <c r="BE26" i="4"/>
  <c r="BF28" i="4"/>
  <c r="BG28" i="4" s="1"/>
  <c r="BE28" i="4"/>
  <c r="BI28" i="4"/>
  <c r="BE18" i="4"/>
  <c r="BF18" i="4"/>
  <c r="BG18" i="4" s="1"/>
  <c r="BI18" i="4"/>
  <c r="BF25" i="4"/>
  <c r="BG25" i="4" s="1"/>
  <c r="BE25" i="4"/>
  <c r="BI25" i="4"/>
  <c r="BE13" i="4"/>
  <c r="BF13" i="4"/>
  <c r="BI13" i="4"/>
  <c r="BE14" i="4"/>
  <c r="BF14" i="4"/>
  <c r="BI14" i="4"/>
  <c r="BF24" i="4"/>
  <c r="BG24" i="4" s="1"/>
  <c r="BI24" i="4"/>
  <c r="BE24" i="4"/>
  <c r="BI22" i="4"/>
  <c r="BE22" i="4"/>
  <c r="BF22" i="4"/>
  <c r="BG22" i="4" s="1"/>
  <c r="BI20" i="4"/>
  <c r="BE20" i="4"/>
  <c r="BF20" i="4"/>
  <c r="BG20" i="4" s="1"/>
  <c r="BF21" i="4"/>
  <c r="BG21" i="4" s="1"/>
  <c r="BI21" i="4"/>
  <c r="BE21" i="4"/>
  <c r="BI17" i="4"/>
  <c r="BF17" i="4"/>
  <c r="BG17" i="4" s="1"/>
  <c r="BE17" i="4"/>
  <c r="BE15" i="4"/>
  <c r="BI15" i="4"/>
  <c r="BF15" i="4"/>
  <c r="BI19" i="4"/>
  <c r="BF19" i="4"/>
  <c r="BG19" i="4" s="1"/>
  <c r="BE19" i="4"/>
  <c r="BF23" i="4"/>
  <c r="BG23" i="4" s="1"/>
  <c r="BE23" i="4"/>
  <c r="BI23" i="4"/>
  <c r="BE27" i="4"/>
  <c r="BF27" i="4"/>
  <c r="BG27" i="4" s="1"/>
  <c r="BI27" i="4"/>
  <c r="AN25" i="8"/>
  <c r="T25" i="8"/>
  <c r="AN38" i="8"/>
  <c r="T38" i="8"/>
  <c r="AN39" i="8"/>
  <c r="T39" i="8"/>
  <c r="AN40" i="8"/>
  <c r="T40" i="8"/>
  <c r="AN41" i="8"/>
  <c r="T41" i="8"/>
  <c r="AN42" i="8"/>
  <c r="T42" i="8"/>
  <c r="AN43" i="8"/>
  <c r="T43" i="8"/>
  <c r="AN44" i="8"/>
  <c r="T44" i="8"/>
  <c r="AN45" i="8"/>
  <c r="T45" i="8"/>
  <c r="AN46" i="8"/>
  <c r="T46" i="8"/>
  <c r="AN47" i="8"/>
  <c r="T47" i="8"/>
  <c r="AN48" i="8"/>
  <c r="T48" i="8"/>
  <c r="AN49" i="8"/>
  <c r="T49" i="8"/>
  <c r="AN50" i="8"/>
  <c r="T50" i="8"/>
  <c r="AN51" i="8"/>
  <c r="T51" i="8"/>
  <c r="AN52" i="8"/>
  <c r="T52" i="8"/>
  <c r="AN37" i="8"/>
  <c r="T37" i="8"/>
  <c r="AN54" i="8"/>
  <c r="T54" i="8"/>
  <c r="AN29" i="8"/>
  <c r="T29" i="8"/>
  <c r="AN55" i="8"/>
  <c r="T55" i="8"/>
  <c r="AN56" i="8"/>
  <c r="T56" i="8"/>
  <c r="AN57" i="8"/>
  <c r="T57" i="8"/>
  <c r="AN15" i="8"/>
  <c r="T15" i="8"/>
  <c r="AN16" i="8"/>
  <c r="T16" i="8"/>
  <c r="AN17" i="8"/>
  <c r="T17" i="8"/>
  <c r="AN18" i="8"/>
  <c r="T18" i="8"/>
  <c r="AN19" i="8"/>
  <c r="T19" i="8"/>
  <c r="AN20" i="8"/>
  <c r="T20" i="8"/>
  <c r="AN21" i="8"/>
  <c r="T21" i="8"/>
  <c r="T22" i="8"/>
  <c r="AN22" i="8"/>
  <c r="AN24" i="8"/>
  <c r="T24" i="8"/>
  <c r="AN26" i="8"/>
  <c r="T26" i="8"/>
  <c r="AN23" i="8"/>
  <c r="T23" i="8"/>
  <c r="AN53" i="8"/>
  <c r="T53" i="8"/>
  <c r="AN27" i="8"/>
  <c r="T27" i="8"/>
  <c r="AN28" i="8"/>
  <c r="T28" i="8"/>
  <c r="AN30" i="8"/>
  <c r="T30" i="8"/>
  <c r="AN31" i="8"/>
  <c r="T31" i="8"/>
  <c r="AN32" i="8"/>
  <c r="T32" i="8"/>
  <c r="AN33" i="8"/>
  <c r="T33" i="8"/>
  <c r="AN34" i="8"/>
  <c r="T34" i="8"/>
  <c r="AN35" i="8"/>
  <c r="T35" i="8"/>
  <c r="AN36" i="8"/>
  <c r="T36" i="8"/>
  <c r="F3" i="11"/>
  <c r="M52" i="3"/>
  <c r="J53" i="3"/>
  <c r="I22" i="3"/>
  <c r="B4" i="11"/>
  <c r="B3" i="11"/>
  <c r="BH14" i="8" l="1"/>
  <c r="BH15" i="8"/>
  <c r="BH16" i="8"/>
  <c r="BH17" i="8"/>
  <c r="BH18" i="8"/>
  <c r="BH19" i="8"/>
  <c r="BH20" i="8"/>
  <c r="BH21" i="8"/>
  <c r="BH22" i="8"/>
  <c r="BH23" i="8"/>
  <c r="BH24" i="8"/>
  <c r="BH25" i="8"/>
  <c r="BH26" i="8"/>
  <c r="BH27" i="8"/>
  <c r="BH28" i="8"/>
  <c r="BK12" i="8"/>
  <c r="AY3" i="6"/>
  <c r="BG13" i="6"/>
  <c r="AY3" i="5"/>
  <c r="BG13" i="5"/>
  <c r="BG13" i="4"/>
  <c r="AY3" i="4"/>
  <c r="C7" i="11"/>
  <c r="C6" i="11"/>
  <c r="J54" i="3"/>
  <c r="BG16" i="4"/>
  <c r="BG14" i="4"/>
  <c r="BG15" i="4"/>
  <c r="F4" i="11"/>
  <c r="M82" i="3"/>
  <c r="J55" i="3"/>
  <c r="I23" i="3"/>
  <c r="BL13" i="8" l="1"/>
  <c r="BL14" i="8"/>
  <c r="BL15" i="8"/>
  <c r="BL16" i="8"/>
  <c r="BL17" i="8"/>
  <c r="BL18" i="8"/>
  <c r="BL19" i="8"/>
  <c r="BL20" i="8"/>
  <c r="BL21" i="8"/>
  <c r="BL28" i="8"/>
  <c r="BL22" i="8"/>
  <c r="BL23" i="8"/>
  <c r="BL24" i="8"/>
  <c r="BL25" i="8"/>
  <c r="BL26" i="8"/>
  <c r="BL27" i="8"/>
  <c r="BH23" i="6"/>
  <c r="BH24" i="6"/>
  <c r="BH26" i="6"/>
  <c r="BH14" i="6"/>
  <c r="BH15" i="6"/>
  <c r="BH19" i="6"/>
  <c r="BH20" i="6"/>
  <c r="BH22" i="6"/>
  <c r="BH25" i="6"/>
  <c r="BH27" i="6"/>
  <c r="BH28" i="6"/>
  <c r="BH18" i="6"/>
  <c r="BK12" i="6"/>
  <c r="BH16" i="6"/>
  <c r="BH17" i="6"/>
  <c r="BH21" i="6"/>
  <c r="BH20" i="5"/>
  <c r="BH22" i="5"/>
  <c r="BH27" i="5"/>
  <c r="BK12" i="5"/>
  <c r="BH14" i="5"/>
  <c r="BH15" i="5"/>
  <c r="BH16" i="5"/>
  <c r="BH23" i="5"/>
  <c r="BH24" i="5"/>
  <c r="BH26" i="5"/>
  <c r="BH28" i="5"/>
  <c r="BH17" i="5"/>
  <c r="BH18" i="5"/>
  <c r="BH19" i="5"/>
  <c r="BH21" i="5"/>
  <c r="BH25" i="5"/>
  <c r="BH22" i="4"/>
  <c r="BH26" i="4"/>
  <c r="BH14" i="4"/>
  <c r="BH28" i="4"/>
  <c r="BK12" i="4"/>
  <c r="BH25" i="4"/>
  <c r="BH24" i="4"/>
  <c r="BH27" i="4"/>
  <c r="BH20" i="4"/>
  <c r="BH19" i="4"/>
  <c r="BH15" i="4"/>
  <c r="BH17" i="4"/>
  <c r="BH16" i="4"/>
  <c r="BH18" i="4"/>
  <c r="BH21" i="4"/>
  <c r="BH23" i="4"/>
  <c r="I24" i="3"/>
  <c r="B5" i="11"/>
  <c r="B6" i="11"/>
  <c r="J56" i="3"/>
  <c r="J57" i="3" s="1"/>
  <c r="J58" i="3" s="1"/>
  <c r="J59" i="3" s="1"/>
  <c r="J60" i="3" s="1"/>
  <c r="J61" i="3" s="1"/>
  <c r="J62" i="3" s="1"/>
  <c r="J63" i="3" s="1"/>
  <c r="J64" i="3" s="1"/>
  <c r="J65" i="3" s="1"/>
  <c r="J66" i="3" s="1"/>
  <c r="J88" i="3" s="1"/>
  <c r="J89" i="3" s="1"/>
  <c r="J90" i="3" s="1"/>
  <c r="J91" i="3" s="1"/>
  <c r="J92" i="3" s="1"/>
  <c r="J93" i="3" s="1"/>
  <c r="M83" i="3"/>
  <c r="F6" i="11"/>
  <c r="F5" i="11"/>
  <c r="C8" i="11"/>
  <c r="BM13" i="8" l="1"/>
  <c r="BN13" i="8"/>
  <c r="BO13" i="8"/>
  <c r="BP13" i="8"/>
  <c r="BQ13" i="8"/>
  <c r="BS14" i="8"/>
  <c r="BS15" i="8"/>
  <c r="BS16" i="8"/>
  <c r="BS17" i="8"/>
  <c r="BS18" i="8"/>
  <c r="BS19" i="8"/>
  <c r="BS20" i="8"/>
  <c r="BS21" i="8"/>
  <c r="BS28" i="8"/>
  <c r="BS22" i="8"/>
  <c r="BS23" i="8"/>
  <c r="BS24" i="8"/>
  <c r="BS25" i="8"/>
  <c r="BS26" i="8"/>
  <c r="BS27" i="8"/>
  <c r="BM14" i="8"/>
  <c r="BN14" i="8"/>
  <c r="BO14" i="8"/>
  <c r="BP14" i="8"/>
  <c r="BQ14" i="8"/>
  <c r="BM15" i="8"/>
  <c r="BN15" i="8"/>
  <c r="BO15" i="8"/>
  <c r="BP15" i="8"/>
  <c r="BQ15" i="8"/>
  <c r="BM16" i="8"/>
  <c r="BN16" i="8"/>
  <c r="BO16" i="8"/>
  <c r="BP16" i="8"/>
  <c r="BQ16" i="8"/>
  <c r="BM17" i="8"/>
  <c r="BN17" i="8"/>
  <c r="BO17" i="8"/>
  <c r="BP17" i="8"/>
  <c r="BQ17" i="8"/>
  <c r="BM18" i="8"/>
  <c r="BN18" i="8"/>
  <c r="BO18" i="8"/>
  <c r="BP18" i="8"/>
  <c r="BQ18" i="8"/>
  <c r="BM19" i="8"/>
  <c r="BN19" i="8"/>
  <c r="BO19" i="8"/>
  <c r="BP19" i="8"/>
  <c r="BQ19" i="8"/>
  <c r="BM20" i="8"/>
  <c r="BN20" i="8"/>
  <c r="BO20" i="8"/>
  <c r="BP20" i="8"/>
  <c r="BQ20" i="8"/>
  <c r="BM21" i="8"/>
  <c r="BN21" i="8"/>
  <c r="BO21" i="8"/>
  <c r="BP21" i="8"/>
  <c r="BQ21" i="8"/>
  <c r="BM28" i="8"/>
  <c r="BN28" i="8"/>
  <c r="BO28" i="8"/>
  <c r="BP28" i="8"/>
  <c r="BQ28" i="8"/>
  <c r="BM22" i="8"/>
  <c r="BN22" i="8"/>
  <c r="BO22" i="8"/>
  <c r="BP22" i="8"/>
  <c r="BQ22" i="8"/>
  <c r="BN23" i="8"/>
  <c r="BM23" i="8"/>
  <c r="BO23" i="8"/>
  <c r="BP23" i="8"/>
  <c r="BQ23" i="8"/>
  <c r="BM24" i="8"/>
  <c r="BN24" i="8"/>
  <c r="BO24" i="8"/>
  <c r="BP24" i="8"/>
  <c r="BQ24" i="8"/>
  <c r="BM25" i="8"/>
  <c r="BO25" i="8"/>
  <c r="BN25" i="8"/>
  <c r="BP25" i="8"/>
  <c r="BQ25" i="8"/>
  <c r="BM26" i="8"/>
  <c r="BN26" i="8"/>
  <c r="BO26" i="8"/>
  <c r="BP26" i="8"/>
  <c r="BQ26" i="8"/>
  <c r="BM27" i="8"/>
  <c r="BN27" i="8"/>
  <c r="BO27" i="8"/>
  <c r="BP27" i="8"/>
  <c r="BQ27" i="8"/>
  <c r="BL17" i="6"/>
  <c r="BL25" i="6"/>
  <c r="BL21" i="6"/>
  <c r="BL26" i="6"/>
  <c r="BL27" i="6"/>
  <c r="BL13" i="6"/>
  <c r="BL14" i="6"/>
  <c r="BL15" i="6"/>
  <c r="BL19" i="6"/>
  <c r="BL20" i="6"/>
  <c r="BL22" i="6"/>
  <c r="BL23" i="6"/>
  <c r="BL24" i="6"/>
  <c r="BL28" i="6"/>
  <c r="BL16" i="6"/>
  <c r="BL18" i="6"/>
  <c r="BL14" i="5"/>
  <c r="BL17" i="5"/>
  <c r="BL24" i="5"/>
  <c r="BL26" i="5"/>
  <c r="BL27" i="5"/>
  <c r="BL28" i="5"/>
  <c r="BL15" i="5"/>
  <c r="BL16" i="5"/>
  <c r="BL18" i="5"/>
  <c r="BL20" i="5"/>
  <c r="BL23" i="5"/>
  <c r="BL25" i="5"/>
  <c r="BL13" i="5"/>
  <c r="BL22" i="5"/>
  <c r="BL19" i="5"/>
  <c r="BL21" i="5"/>
  <c r="BL22" i="4"/>
  <c r="BL15" i="4"/>
  <c r="BL24" i="4"/>
  <c r="BL27" i="4"/>
  <c r="BL14" i="4"/>
  <c r="BL19" i="4"/>
  <c r="BL17" i="4"/>
  <c r="BL16" i="4"/>
  <c r="BL18" i="4"/>
  <c r="BL21" i="4"/>
  <c r="BL23" i="4"/>
  <c r="BL13" i="4"/>
  <c r="BL25" i="4"/>
  <c r="BL28" i="4"/>
  <c r="BL20" i="4"/>
  <c r="BL26" i="4"/>
  <c r="M84" i="3"/>
  <c r="M85" i="3" s="1"/>
  <c r="M86" i="3" s="1"/>
  <c r="M87" i="3" s="1"/>
  <c r="F11" i="11" s="1"/>
  <c r="C19" i="11"/>
  <c r="C34" i="11"/>
  <c r="C24" i="11"/>
  <c r="C13" i="11"/>
  <c r="C12" i="11"/>
  <c r="C39" i="11"/>
  <c r="C10" i="11"/>
  <c r="C9" i="11"/>
  <c r="C36" i="11"/>
  <c r="C38" i="11"/>
  <c r="C25" i="11"/>
  <c r="C21" i="11"/>
  <c r="C35" i="11"/>
  <c r="C23" i="11"/>
  <c r="I25" i="3"/>
  <c r="C28" i="11"/>
  <c r="C41" i="11"/>
  <c r="C32" i="11"/>
  <c r="C31" i="11"/>
  <c r="C16" i="11"/>
  <c r="C15" i="11"/>
  <c r="C33" i="11"/>
  <c r="C14" i="11"/>
  <c r="C26" i="11"/>
  <c r="C27" i="11"/>
  <c r="C22" i="11"/>
  <c r="C37" i="11"/>
  <c r="C29" i="11"/>
  <c r="C17" i="11"/>
  <c r="C40" i="11"/>
  <c r="C18" i="11"/>
  <c r="C30" i="11"/>
  <c r="C11" i="11"/>
  <c r="C20" i="11"/>
  <c r="CA74" i="8" l="1" a="1"/>
  <c r="CA90" i="8" a="1"/>
  <c r="C90" i="8" s="1"/>
  <c r="CA93" i="8" a="1"/>
  <c r="C93" i="8" s="1"/>
  <c r="CA78" i="8" a="1"/>
  <c r="CA87" i="8" a="1"/>
  <c r="C87" i="8" s="1"/>
  <c r="CA91" i="8" a="1"/>
  <c r="C91" i="8" s="1"/>
  <c r="CA85" i="8" a="1"/>
  <c r="C85" i="8" s="1"/>
  <c r="CA95" i="8" a="1"/>
  <c r="C95" i="8" s="1"/>
  <c r="CA89" i="8" a="1"/>
  <c r="C89" i="8" s="1"/>
  <c r="CA92" i="8" a="1"/>
  <c r="C92" i="8" s="1"/>
  <c r="CA88" i="8" a="1"/>
  <c r="C88" i="8" s="1"/>
  <c r="CA77" i="8" a="1"/>
  <c r="CA94" i="8" a="1"/>
  <c r="C94" i="8" s="1"/>
  <c r="CA86" i="8" a="1"/>
  <c r="C86" i="8" s="1"/>
  <c r="CA75" i="8" a="1"/>
  <c r="CA84" i="8" a="1"/>
  <c r="C84" i="8" s="1"/>
  <c r="CA82" i="8" a="1"/>
  <c r="C82" i="8" s="1"/>
  <c r="CA72" i="8" a="1"/>
  <c r="CA80" i="8" a="1"/>
  <c r="CA81" i="8" a="1"/>
  <c r="CA76" i="8" a="1"/>
  <c r="CA73" i="8" a="1"/>
  <c r="CA83" i="8" a="1"/>
  <c r="C83" i="8" s="1"/>
  <c r="CA79" i="8" a="1"/>
  <c r="CB91" i="8" a="1"/>
  <c r="CB84" i="8" a="1"/>
  <c r="CB90" i="8" a="1"/>
  <c r="CB89" i="8" a="1"/>
  <c r="CB77" i="8" a="1"/>
  <c r="CB82" i="8" a="1"/>
  <c r="CB83" i="8" a="1"/>
  <c r="CB81" i="8" a="1"/>
  <c r="CB92" i="8" a="1"/>
  <c r="CB88" i="8" a="1"/>
  <c r="CB93" i="8" a="1"/>
  <c r="CB78" i="8" a="1"/>
  <c r="CB76" i="8" a="1"/>
  <c r="CB75" i="8" a="1"/>
  <c r="CB74" i="8" a="1"/>
  <c r="CB80" i="8" a="1"/>
  <c r="CB79" i="8" a="1"/>
  <c r="CB94" i="8" a="1"/>
  <c r="CB87" i="8" a="1"/>
  <c r="I87" i="8" s="1"/>
  <c r="CB72" i="8" a="1"/>
  <c r="CB95" i="8" a="1"/>
  <c r="CB86" i="8" a="1"/>
  <c r="CB85" i="8" a="1"/>
  <c r="CB73" i="8" a="1"/>
  <c r="CC93" i="8" a="1"/>
  <c r="CC90" i="8" a="1"/>
  <c r="CC91" i="8" a="1"/>
  <c r="CC92" i="8" a="1"/>
  <c r="CC94" i="8" a="1"/>
  <c r="CC83" i="8" a="1"/>
  <c r="CC80" i="8" a="1"/>
  <c r="CC75" i="8" a="1"/>
  <c r="CC73" i="8" a="1"/>
  <c r="CC72" i="8" a="1"/>
  <c r="CC74" i="8" a="1"/>
  <c r="CC89" i="8" a="1"/>
  <c r="CC95" i="8" a="1"/>
  <c r="CC76" i="8" a="1"/>
  <c r="CC77" i="8" a="1"/>
  <c r="CC78" i="8" a="1"/>
  <c r="CC79" i="8" a="1"/>
  <c r="CC81" i="8" a="1"/>
  <c r="CC82" i="8" a="1"/>
  <c r="CC84" i="8" a="1"/>
  <c r="CC85" i="8" a="1"/>
  <c r="CC86" i="8" a="1"/>
  <c r="CC87" i="8" a="1"/>
  <c r="CC88" i="8" a="1"/>
  <c r="CD87" i="8" a="1"/>
  <c r="CD76" i="8" a="1"/>
  <c r="CD80" i="8" a="1"/>
  <c r="CD81" i="8" a="1"/>
  <c r="CD89" i="8" a="1"/>
  <c r="CD72" i="8" a="1"/>
  <c r="CD82" i="8" a="1"/>
  <c r="CD85" i="8" a="1"/>
  <c r="CD83" i="8" a="1"/>
  <c r="CD86" i="8" a="1"/>
  <c r="CD75" i="8" a="1"/>
  <c r="CD84" i="8" a="1"/>
  <c r="CD94" i="8" a="1"/>
  <c r="U94" i="8" s="1"/>
  <c r="CD93" i="8" a="1"/>
  <c r="U93" i="8" s="1"/>
  <c r="CD92" i="8" a="1"/>
  <c r="CD77" i="8" a="1"/>
  <c r="CD88" i="8" a="1"/>
  <c r="CD91" i="8" a="1"/>
  <c r="CD74" i="8" a="1"/>
  <c r="CD78" i="8" a="1"/>
  <c r="CD95" i="8" a="1"/>
  <c r="U95" i="8" s="1"/>
  <c r="CD73" i="8" a="1"/>
  <c r="CD90" i="8" a="1"/>
  <c r="CD79" i="8" a="1"/>
  <c r="CA123" i="8" a="1"/>
  <c r="C123" i="8" s="1"/>
  <c r="CA110" i="8" a="1"/>
  <c r="CA109" i="8" a="1"/>
  <c r="CA111" i="8" a="1"/>
  <c r="C111" i="8" s="1"/>
  <c r="CA108" i="8" a="1"/>
  <c r="C108" i="8" s="1"/>
  <c r="CA106" i="8" a="1"/>
  <c r="C106" i="8" s="1"/>
  <c r="CA105" i="8" a="1"/>
  <c r="C105" i="8" s="1"/>
  <c r="CA104" i="8" a="1"/>
  <c r="C104" i="8" s="1"/>
  <c r="CA112" i="8" a="1"/>
  <c r="C112" i="8" s="1"/>
  <c r="CA103" i="8" a="1"/>
  <c r="C103" i="8" s="1"/>
  <c r="CA102" i="8" a="1"/>
  <c r="C102" i="8" s="1"/>
  <c r="CA113" i="8" a="1"/>
  <c r="C113" i="8" s="1"/>
  <c r="CA101" i="8" a="1"/>
  <c r="C101" i="8" s="1"/>
  <c r="CA100" i="8" a="1"/>
  <c r="CA115" i="8" a="1"/>
  <c r="C115" i="8" s="1"/>
  <c r="CA119" i="8" a="1"/>
  <c r="CA121" i="8" a="1"/>
  <c r="C121" i="8" s="1"/>
  <c r="CA107" i="8" a="1"/>
  <c r="C107" i="8" s="1"/>
  <c r="CA116" i="8" a="1"/>
  <c r="C116" i="8" s="1"/>
  <c r="CA114" i="8" a="1"/>
  <c r="C114" i="8" s="1"/>
  <c r="CA122" i="8" a="1"/>
  <c r="C122" i="8" s="1"/>
  <c r="CA120" i="8" a="1"/>
  <c r="C120" i="8" s="1"/>
  <c r="CA118" i="8" a="1"/>
  <c r="C118" i="8" s="1"/>
  <c r="CA117" i="8" a="1"/>
  <c r="C117" i="8" s="1"/>
  <c r="CB117" i="8" a="1"/>
  <c r="I117" i="8" s="1"/>
  <c r="CB123" i="8" a="1"/>
  <c r="I123" i="8" s="1"/>
  <c r="CB122" i="8" a="1"/>
  <c r="I122" i="8" s="1"/>
  <c r="CB121" i="8" a="1"/>
  <c r="I121" i="8" s="1"/>
  <c r="CB120" i="8" a="1"/>
  <c r="I120" i="8" s="1"/>
  <c r="CB119" i="8" a="1"/>
  <c r="I119" i="8" s="1"/>
  <c r="CB118" i="8" a="1"/>
  <c r="I118" i="8" s="1"/>
  <c r="CB116" i="8" a="1"/>
  <c r="I116" i="8" s="1"/>
  <c r="CB115" i="8" a="1"/>
  <c r="I115" i="8" s="1"/>
  <c r="CB114" i="8" a="1"/>
  <c r="I114" i="8" s="1"/>
  <c r="CB113" i="8" a="1"/>
  <c r="I113" i="8" s="1"/>
  <c r="CB112" i="8" a="1"/>
  <c r="I112" i="8" s="1"/>
  <c r="CB111" i="8" a="1"/>
  <c r="I111" i="8" s="1"/>
  <c r="CB110" i="8" a="1"/>
  <c r="I110" i="8" s="1"/>
  <c r="CB109" i="8" a="1"/>
  <c r="I109" i="8" s="1"/>
  <c r="CB108" i="8" a="1"/>
  <c r="I108" i="8" s="1"/>
  <c r="CB107" i="8" a="1"/>
  <c r="I107" i="8" s="1"/>
  <c r="CB106" i="8" a="1"/>
  <c r="I106" i="8" s="1"/>
  <c r="CB105" i="8" a="1"/>
  <c r="I105" i="8" s="1"/>
  <c r="CB104" i="8" a="1"/>
  <c r="I104" i="8" s="1"/>
  <c r="CB103" i="8" a="1"/>
  <c r="I103" i="8" s="1"/>
  <c r="CB102" i="8" a="1"/>
  <c r="I102" i="8" s="1"/>
  <c r="CB101" i="8" a="1"/>
  <c r="I101" i="8" s="1"/>
  <c r="CB100" i="8" a="1"/>
  <c r="CC117" i="8" a="1"/>
  <c r="O117" i="8" s="1"/>
  <c r="CC111" i="8" a="1"/>
  <c r="O111" i="8" s="1"/>
  <c r="CC105" i="8" a="1"/>
  <c r="O105" i="8" s="1"/>
  <c r="CC109" i="8" a="1"/>
  <c r="O109" i="8" s="1"/>
  <c r="CC116" i="8" a="1"/>
  <c r="O116" i="8" s="1"/>
  <c r="CC107" i="8" a="1"/>
  <c r="O107" i="8" s="1"/>
  <c r="CC114" i="8" a="1"/>
  <c r="O114" i="8" s="1"/>
  <c r="CC123" i="8" a="1"/>
  <c r="O123" i="8" s="1"/>
  <c r="CC115" i="8" a="1"/>
  <c r="O115" i="8" s="1"/>
  <c r="CC108" i="8" a="1"/>
  <c r="O108" i="8" s="1"/>
  <c r="CC113" i="8" a="1"/>
  <c r="O113" i="8" s="1"/>
  <c r="CC100" i="8" a="1"/>
  <c r="CC101" i="8" a="1"/>
  <c r="O101" i="8" s="1"/>
  <c r="CC122" i="8" a="1"/>
  <c r="O122" i="8" s="1"/>
  <c r="CC102" i="8" a="1"/>
  <c r="O102" i="8" s="1"/>
  <c r="CC121" i="8" a="1"/>
  <c r="O121" i="8" s="1"/>
  <c r="CC112" i="8" a="1"/>
  <c r="O112" i="8" s="1"/>
  <c r="CC110" i="8" a="1"/>
  <c r="O110" i="8" s="1"/>
  <c r="CC120" i="8" a="1"/>
  <c r="O120" i="8" s="1"/>
  <c r="CC103" i="8" a="1"/>
  <c r="O103" i="8" s="1"/>
  <c r="CC104" i="8" a="1"/>
  <c r="O104" i="8" s="1"/>
  <c r="CC119" i="8" a="1"/>
  <c r="O119" i="8" s="1"/>
  <c r="CC118" i="8" a="1"/>
  <c r="O118" i="8" s="1"/>
  <c r="CC106" i="8" a="1"/>
  <c r="O106" i="8" s="1"/>
  <c r="CD112" i="8" a="1"/>
  <c r="U112" i="8" s="1"/>
  <c r="CD106" i="8" a="1"/>
  <c r="U106" i="8" s="1"/>
  <c r="CD122" i="8" a="1"/>
  <c r="U122" i="8" s="1"/>
  <c r="CD110" i="8" a="1"/>
  <c r="U110" i="8" s="1"/>
  <c r="CD101" i="8" a="1"/>
  <c r="U101" i="8" s="1"/>
  <c r="CD116" i="8" a="1"/>
  <c r="U116" i="8" s="1"/>
  <c r="CD103" i="8" a="1"/>
  <c r="U103" i="8" s="1"/>
  <c r="CD121" i="8" a="1"/>
  <c r="U121" i="8" s="1"/>
  <c r="CD115" i="8" a="1"/>
  <c r="U115" i="8" s="1"/>
  <c r="CD102" i="8" a="1"/>
  <c r="U102" i="8" s="1"/>
  <c r="CD108" i="8" a="1"/>
  <c r="U108" i="8" s="1"/>
  <c r="CD114" i="8" a="1"/>
  <c r="U114" i="8" s="1"/>
  <c r="CD107" i="8" a="1"/>
  <c r="U107" i="8" s="1"/>
  <c r="CD111" i="8" a="1"/>
  <c r="U111" i="8" s="1"/>
  <c r="CD113" i="8" a="1"/>
  <c r="U113" i="8" s="1"/>
  <c r="CD119" i="8" a="1"/>
  <c r="U119" i="8" s="1"/>
  <c r="CD109" i="8" a="1"/>
  <c r="U109" i="8" s="1"/>
  <c r="CD120" i="8" a="1"/>
  <c r="U120" i="8" s="1"/>
  <c r="CD104" i="8" a="1"/>
  <c r="U104" i="8" s="1"/>
  <c r="CD118" i="8" a="1"/>
  <c r="U118" i="8" s="1"/>
  <c r="CD100" i="8" a="1"/>
  <c r="CD105" i="8" a="1"/>
  <c r="U105" i="8" s="1"/>
  <c r="CD123" i="8" a="1"/>
  <c r="U123" i="8" s="1"/>
  <c r="CD117" i="8" a="1"/>
  <c r="U117" i="8" s="1"/>
  <c r="CA143" i="8" a="1"/>
  <c r="C143" i="8" s="1"/>
  <c r="CA130" i="8" a="1"/>
  <c r="C130" i="8" s="1"/>
  <c r="CA137" i="8" a="1"/>
  <c r="C137" i="8" s="1"/>
  <c r="CA129" i="8" a="1"/>
  <c r="C129" i="8" s="1"/>
  <c r="CA138" i="8" a="1"/>
  <c r="C138" i="8" s="1"/>
  <c r="CA128" i="8" a="1"/>
  <c r="CA139" i="8" a="1"/>
  <c r="C139" i="8" s="1"/>
  <c r="CA140" i="8" a="1"/>
  <c r="C140" i="8" s="1"/>
  <c r="CA141" i="8" a="1"/>
  <c r="C141" i="8" s="1"/>
  <c r="CA142" i="8" a="1"/>
  <c r="C142" i="8" s="1"/>
  <c r="CA144" i="8" a="1"/>
  <c r="C144" i="8" s="1"/>
  <c r="CA145" i="8" a="1"/>
  <c r="C145" i="8" s="1"/>
  <c r="CA146" i="8" a="1"/>
  <c r="C146" i="8" s="1"/>
  <c r="CA147" i="8" a="1"/>
  <c r="C147" i="8" s="1"/>
  <c r="CA148" i="8" a="1"/>
  <c r="C148" i="8" s="1"/>
  <c r="CA149" i="8" a="1"/>
  <c r="C149" i="8" s="1"/>
  <c r="CA150" i="8" a="1"/>
  <c r="C150" i="8" s="1"/>
  <c r="CA151" i="8" a="1"/>
  <c r="C151" i="8" s="1"/>
  <c r="CA133" i="8" a="1"/>
  <c r="C133" i="8" s="1"/>
  <c r="CA134" i="8" a="1"/>
  <c r="C134" i="8" s="1"/>
  <c r="CA132" i="8" a="1"/>
  <c r="C132" i="8" s="1"/>
  <c r="CA135" i="8" a="1"/>
  <c r="C135" i="8" s="1"/>
  <c r="CA131" i="8" a="1"/>
  <c r="C131" i="8" s="1"/>
  <c r="CA136" i="8" a="1"/>
  <c r="C136" i="8" s="1"/>
  <c r="CD179" i="8" a="1"/>
  <c r="U179" i="8" s="1"/>
  <c r="CD173" i="8" a="1"/>
  <c r="U173" i="8" s="1"/>
  <c r="CD171" i="8" a="1"/>
  <c r="U171" i="8" s="1"/>
  <c r="CD168" i="8" a="1"/>
  <c r="U168" i="8" s="1"/>
  <c r="CD178" i="8" a="1"/>
  <c r="U178" i="8" s="1"/>
  <c r="CD167" i="8" a="1"/>
  <c r="U167" i="8" s="1"/>
  <c r="CD161" i="8" a="1"/>
  <c r="U161" i="8" s="1"/>
  <c r="CD164" i="8" a="1"/>
  <c r="U164" i="8" s="1"/>
  <c r="CD177" i="8" a="1"/>
  <c r="U177" i="8" s="1"/>
  <c r="CD160" i="8" a="1"/>
  <c r="U160" i="8" s="1"/>
  <c r="CD159" i="8" a="1"/>
  <c r="U159" i="8" s="1"/>
  <c r="CD158" i="8" a="1"/>
  <c r="U158" i="8" s="1"/>
  <c r="CD176" i="8" a="1"/>
  <c r="U176" i="8" s="1"/>
  <c r="CD157" i="8" a="1"/>
  <c r="U157" i="8" s="1"/>
  <c r="CD156" i="8" a="1"/>
  <c r="CD165" i="8" a="1"/>
  <c r="U165" i="8" s="1"/>
  <c r="CD175" i="8" a="1"/>
  <c r="U175" i="8" s="1"/>
  <c r="CD172" i="8" a="1"/>
  <c r="U172" i="8" s="1"/>
  <c r="CD163" i="8" a="1"/>
  <c r="U163" i="8" s="1"/>
  <c r="CD162" i="8" a="1"/>
  <c r="U162" i="8" s="1"/>
  <c r="CD174" i="8" a="1"/>
  <c r="U174" i="8" s="1"/>
  <c r="CD169" i="8" a="1"/>
  <c r="U169" i="8" s="1"/>
  <c r="CD170" i="8" a="1"/>
  <c r="U170" i="8" s="1"/>
  <c r="CD166" i="8" a="1"/>
  <c r="U166" i="8" s="1"/>
  <c r="CB132" i="8" a="1"/>
  <c r="I132" i="8" s="1"/>
  <c r="CB138" i="8" a="1"/>
  <c r="I138" i="8" s="1"/>
  <c r="CB128" i="8" a="1"/>
  <c r="CB134" i="8" a="1"/>
  <c r="I134" i="8" s="1"/>
  <c r="CB151" i="8" a="1"/>
  <c r="I151" i="8" s="1"/>
  <c r="CB150" i="8" a="1"/>
  <c r="I150" i="8" s="1"/>
  <c r="CB129" i="8" a="1"/>
  <c r="I129" i="8" s="1"/>
  <c r="CB149" i="8" a="1"/>
  <c r="I149" i="8" s="1"/>
  <c r="CB148" i="8" a="1"/>
  <c r="I148" i="8" s="1"/>
  <c r="CB135" i="8" a="1"/>
  <c r="I135" i="8" s="1"/>
  <c r="CB147" i="8" a="1"/>
  <c r="I147" i="8" s="1"/>
  <c r="CB137" i="8" a="1"/>
  <c r="I137" i="8" s="1"/>
  <c r="CB136" i="8" a="1"/>
  <c r="I136" i="8" s="1"/>
  <c r="CB146" i="8" a="1"/>
  <c r="I146" i="8" s="1"/>
  <c r="CB145" i="8" a="1"/>
  <c r="I145" i="8" s="1"/>
  <c r="CB131" i="8" a="1"/>
  <c r="I131" i="8" s="1"/>
  <c r="CB144" i="8" a="1"/>
  <c r="I144" i="8" s="1"/>
  <c r="CB143" i="8" a="1"/>
  <c r="I143" i="8" s="1"/>
  <c r="CB142" i="8" a="1"/>
  <c r="I142" i="8" s="1"/>
  <c r="CB141" i="8" a="1"/>
  <c r="I141" i="8" s="1"/>
  <c r="CB140" i="8" a="1"/>
  <c r="I140" i="8" s="1"/>
  <c r="CB139" i="8" a="1"/>
  <c r="I139" i="8" s="1"/>
  <c r="CB133" i="8" a="1"/>
  <c r="I133" i="8" s="1"/>
  <c r="CB130" i="8" a="1"/>
  <c r="I130" i="8" s="1"/>
  <c r="CC132" i="8" a="1"/>
  <c r="O132" i="8" s="1"/>
  <c r="CC134" i="8" a="1"/>
  <c r="O134" i="8" s="1"/>
  <c r="CC149" i="8" a="1"/>
  <c r="O149" i="8" s="1"/>
  <c r="CC150" i="8" a="1"/>
  <c r="O150" i="8" s="1"/>
  <c r="CC129" i="8" a="1"/>
  <c r="O129" i="8" s="1"/>
  <c r="CC137" i="8" a="1"/>
  <c r="O137" i="8" s="1"/>
  <c r="CC151" i="8" a="1"/>
  <c r="O151" i="8" s="1"/>
  <c r="CC141" i="8" a="1"/>
  <c r="O141" i="8" s="1"/>
  <c r="CC131" i="8" a="1"/>
  <c r="O131" i="8" s="1"/>
  <c r="CC140" i="8" a="1"/>
  <c r="O140" i="8" s="1"/>
  <c r="CC138" i="8" a="1"/>
  <c r="O138" i="8" s="1"/>
  <c r="CC147" i="8" a="1"/>
  <c r="O147" i="8" s="1"/>
  <c r="CC139" i="8" a="1"/>
  <c r="O139" i="8" s="1"/>
  <c r="CC144" i="8" a="1"/>
  <c r="O144" i="8" s="1"/>
  <c r="CC146" i="8" a="1"/>
  <c r="O146" i="8" s="1"/>
  <c r="CC142" i="8" a="1"/>
  <c r="O142" i="8" s="1"/>
  <c r="CC128" i="8" a="1"/>
  <c r="CC133" i="8" a="1"/>
  <c r="O133" i="8" s="1"/>
  <c r="CC148" i="8" a="1"/>
  <c r="O148" i="8" s="1"/>
  <c r="CC135" i="8" a="1"/>
  <c r="O135" i="8" s="1"/>
  <c r="CC130" i="8" a="1"/>
  <c r="O130" i="8" s="1"/>
  <c r="CC143" i="8" a="1"/>
  <c r="O143" i="8" s="1"/>
  <c r="CC145" i="8" a="1"/>
  <c r="O145" i="8" s="1"/>
  <c r="CC136" i="8" a="1"/>
  <c r="O136" i="8" s="1"/>
  <c r="CD146" i="8" a="1"/>
  <c r="U146" i="8" s="1"/>
  <c r="CD147" i="8" a="1"/>
  <c r="U147" i="8" s="1"/>
  <c r="CD148" i="8" a="1"/>
  <c r="U148" i="8" s="1"/>
  <c r="CD149" i="8" a="1"/>
  <c r="U149" i="8" s="1"/>
  <c r="CD150" i="8" a="1"/>
  <c r="U150" i="8" s="1"/>
  <c r="CD151" i="8" a="1"/>
  <c r="U151" i="8" s="1"/>
  <c r="CD134" i="8" a="1"/>
  <c r="U134" i="8" s="1"/>
  <c r="CD137" i="8" a="1"/>
  <c r="U137" i="8" s="1"/>
  <c r="CD131" i="8" a="1"/>
  <c r="U131" i="8" s="1"/>
  <c r="CD128" i="8" a="1"/>
  <c r="CD138" i="8" a="1"/>
  <c r="U138" i="8" s="1"/>
  <c r="CD133" i="8" a="1"/>
  <c r="U133" i="8" s="1"/>
  <c r="CD136" i="8" a="1"/>
  <c r="U136" i="8" s="1"/>
  <c r="CD130" i="8" a="1"/>
  <c r="U130" i="8" s="1"/>
  <c r="CD132" i="8" a="1"/>
  <c r="U132" i="8" s="1"/>
  <c r="CD139" i="8" a="1"/>
  <c r="U139" i="8" s="1"/>
  <c r="CD135" i="8" a="1"/>
  <c r="U135" i="8" s="1"/>
  <c r="CD140" i="8" a="1"/>
  <c r="U140" i="8" s="1"/>
  <c r="CD129" i="8" a="1"/>
  <c r="U129" i="8" s="1"/>
  <c r="CD141" i="8" a="1"/>
  <c r="U141" i="8" s="1"/>
  <c r="CD142" i="8" a="1"/>
  <c r="U142" i="8" s="1"/>
  <c r="CD143" i="8" a="1"/>
  <c r="U143" i="8" s="1"/>
  <c r="CD144" i="8" a="1"/>
  <c r="U144" i="8" s="1"/>
  <c r="CD145" i="8" a="1"/>
  <c r="U145" i="8" s="1"/>
  <c r="CA163" i="8" a="1"/>
  <c r="C163" i="8" s="1"/>
  <c r="CA173" i="8" a="1"/>
  <c r="CA179" i="8" a="1"/>
  <c r="CA170" i="8" a="1"/>
  <c r="CA165" i="8" a="1"/>
  <c r="C165" i="8" s="1"/>
  <c r="CA178" i="8" a="1"/>
  <c r="CA167" i="8" a="1"/>
  <c r="C167" i="8" s="1"/>
  <c r="CA166" i="8" a="1"/>
  <c r="C166" i="8" s="1"/>
  <c r="CA171" i="8" a="1"/>
  <c r="CA168" i="8" a="1"/>
  <c r="C168" i="8" s="1"/>
  <c r="CA164" i="8" a="1"/>
  <c r="C164" i="8" s="1"/>
  <c r="CA172" i="8" a="1"/>
  <c r="CA174" i="8" a="1"/>
  <c r="CA162" i="8" a="1"/>
  <c r="C162" i="8" s="1"/>
  <c r="CA175" i="8" a="1"/>
  <c r="CA176" i="8" a="1"/>
  <c r="CA156" i="8" a="1"/>
  <c r="CA169" i="8" a="1"/>
  <c r="C169" i="8" s="1"/>
  <c r="CA159" i="8" a="1"/>
  <c r="C159" i="8" s="1"/>
  <c r="CA157" i="8" a="1"/>
  <c r="C157" i="8" s="1"/>
  <c r="CA158" i="8" a="1"/>
  <c r="C158" i="8" s="1"/>
  <c r="CA177" i="8" a="1"/>
  <c r="CA160" i="8" a="1"/>
  <c r="C160" i="8" s="1"/>
  <c r="CA161" i="8" a="1"/>
  <c r="C161" i="8" s="1"/>
  <c r="CB171" i="8" a="1"/>
  <c r="CB179" i="8" a="1"/>
  <c r="CB174" i="8" a="1"/>
  <c r="CB172" i="8" a="1"/>
  <c r="CB178" i="8" a="1"/>
  <c r="CB165" i="8" a="1"/>
  <c r="CB175" i="8" a="1"/>
  <c r="CB166" i="8" a="1"/>
  <c r="CB170" i="8" a="1"/>
  <c r="CB156" i="8" a="1"/>
  <c r="CB173" i="8" a="1"/>
  <c r="CB162" i="8" a="1"/>
  <c r="CB167" i="8" a="1"/>
  <c r="CB157" i="8" a="1"/>
  <c r="CB164" i="8" a="1"/>
  <c r="CB158" i="8" a="1"/>
  <c r="CB168" i="8" a="1"/>
  <c r="CB176" i="8" a="1"/>
  <c r="CB159" i="8" a="1"/>
  <c r="CB177" i="8" a="1"/>
  <c r="CB169" i="8" a="1"/>
  <c r="CB160" i="8" a="1"/>
  <c r="CB163" i="8" a="1"/>
  <c r="CB161" i="8" a="1"/>
  <c r="CC169" i="8" a="1"/>
  <c r="CC170" i="8" a="1"/>
  <c r="O170" i="8" s="1"/>
  <c r="CC171" i="8" a="1"/>
  <c r="O171" i="8" s="1"/>
  <c r="CC172" i="8" a="1"/>
  <c r="O172" i="8" s="1"/>
  <c r="CC164" i="8" a="1"/>
  <c r="CC173" i="8" a="1"/>
  <c r="O173" i="8" s="1"/>
  <c r="CC157" i="8" a="1"/>
  <c r="CC176" i="8" a="1"/>
  <c r="O176" i="8" s="1"/>
  <c r="CC178" i="8" a="1"/>
  <c r="O178" i="8" s="1"/>
  <c r="CC179" i="8" a="1"/>
  <c r="O179" i="8" s="1"/>
  <c r="CC158" i="8" a="1"/>
  <c r="CC162" i="8" a="1"/>
  <c r="CC166" i="8" a="1"/>
  <c r="CC167" i="8" a="1"/>
  <c r="CC159" i="8" a="1"/>
  <c r="CC163" i="8" a="1"/>
  <c r="CC168" i="8" a="1"/>
  <c r="CC175" i="8" a="1"/>
  <c r="O175" i="8" s="1"/>
  <c r="CC160" i="8" a="1"/>
  <c r="CC177" i="8" a="1"/>
  <c r="O177" i="8" s="1"/>
  <c r="CC174" i="8" a="1"/>
  <c r="O174" i="8" s="1"/>
  <c r="CC165" i="8" a="1"/>
  <c r="CC161" i="8" a="1"/>
  <c r="CC156" i="8" a="1"/>
  <c r="D88" i="8"/>
  <c r="E88" i="8"/>
  <c r="F88" i="8"/>
  <c r="D72" i="8"/>
  <c r="E72" i="8"/>
  <c r="F72" i="8"/>
  <c r="D73" i="8"/>
  <c r="E73" i="8"/>
  <c r="F73" i="8"/>
  <c r="C73" i="8"/>
  <c r="D74" i="8"/>
  <c r="E74" i="8"/>
  <c r="F74" i="8"/>
  <c r="C74" i="8"/>
  <c r="D75" i="8"/>
  <c r="E75" i="8"/>
  <c r="F75" i="8"/>
  <c r="C75" i="8"/>
  <c r="D76" i="8"/>
  <c r="E76" i="8"/>
  <c r="F76" i="8"/>
  <c r="C76" i="8"/>
  <c r="D77" i="8"/>
  <c r="E77" i="8"/>
  <c r="F77" i="8"/>
  <c r="C77" i="8"/>
  <c r="D78" i="8"/>
  <c r="E78" i="8"/>
  <c r="F78" i="8"/>
  <c r="C78" i="8"/>
  <c r="D79" i="8"/>
  <c r="E79" i="8"/>
  <c r="F79" i="8"/>
  <c r="C79" i="8"/>
  <c r="D80" i="8"/>
  <c r="E80" i="8"/>
  <c r="F80" i="8"/>
  <c r="C80" i="8"/>
  <c r="D81" i="8"/>
  <c r="E81" i="8"/>
  <c r="F81" i="8"/>
  <c r="C81" i="8"/>
  <c r="D82" i="8"/>
  <c r="E82" i="8"/>
  <c r="F82" i="8"/>
  <c r="D83" i="8"/>
  <c r="E83" i="8"/>
  <c r="F83" i="8"/>
  <c r="D84" i="8"/>
  <c r="E84" i="8"/>
  <c r="F84" i="8"/>
  <c r="D85" i="8"/>
  <c r="E85" i="8"/>
  <c r="F85" i="8"/>
  <c r="D86" i="8"/>
  <c r="E86" i="8"/>
  <c r="F86" i="8"/>
  <c r="D87" i="8"/>
  <c r="E87" i="8"/>
  <c r="F87" i="8"/>
  <c r="D89" i="8"/>
  <c r="E89" i="8"/>
  <c r="F89" i="8"/>
  <c r="D90" i="8"/>
  <c r="E90" i="8"/>
  <c r="F90" i="8"/>
  <c r="D91" i="8"/>
  <c r="E91" i="8"/>
  <c r="F91" i="8"/>
  <c r="D92" i="8"/>
  <c r="E92" i="8"/>
  <c r="F92" i="8"/>
  <c r="D93" i="8"/>
  <c r="E93" i="8"/>
  <c r="F93" i="8"/>
  <c r="D94" i="8"/>
  <c r="E94" i="8"/>
  <c r="F94" i="8"/>
  <c r="D95" i="8"/>
  <c r="E95" i="8"/>
  <c r="F95" i="8"/>
  <c r="J88" i="8"/>
  <c r="K88" i="8"/>
  <c r="L88" i="8"/>
  <c r="J72" i="8"/>
  <c r="K72" i="8"/>
  <c r="L72" i="8"/>
  <c r="J73" i="8"/>
  <c r="K73" i="8"/>
  <c r="L73" i="8"/>
  <c r="I73" i="8"/>
  <c r="J74" i="8"/>
  <c r="K74" i="8"/>
  <c r="L74" i="8"/>
  <c r="I74" i="8"/>
  <c r="J75" i="8"/>
  <c r="K75" i="8"/>
  <c r="L75" i="8"/>
  <c r="I75" i="8"/>
  <c r="J76" i="8"/>
  <c r="K76" i="8"/>
  <c r="L76" i="8"/>
  <c r="I76" i="8"/>
  <c r="J77" i="8"/>
  <c r="K77" i="8"/>
  <c r="L77" i="8"/>
  <c r="I77" i="8"/>
  <c r="J78" i="8"/>
  <c r="K78" i="8"/>
  <c r="L78" i="8"/>
  <c r="I78" i="8"/>
  <c r="J79" i="8"/>
  <c r="K79" i="8"/>
  <c r="L79" i="8"/>
  <c r="I79" i="8"/>
  <c r="J80" i="8"/>
  <c r="K80" i="8"/>
  <c r="L80" i="8"/>
  <c r="I80" i="8"/>
  <c r="J81" i="8"/>
  <c r="K81" i="8"/>
  <c r="L81" i="8"/>
  <c r="I81" i="8"/>
  <c r="J82" i="8"/>
  <c r="K82" i="8"/>
  <c r="L82" i="8"/>
  <c r="I82" i="8"/>
  <c r="J83" i="8"/>
  <c r="K83" i="8"/>
  <c r="L83" i="8"/>
  <c r="I83" i="8"/>
  <c r="J84" i="8"/>
  <c r="K84" i="8"/>
  <c r="L84" i="8"/>
  <c r="I84" i="8"/>
  <c r="J85" i="8"/>
  <c r="K85" i="8"/>
  <c r="L85" i="8"/>
  <c r="I85" i="8"/>
  <c r="J86" i="8"/>
  <c r="K86" i="8"/>
  <c r="L86" i="8"/>
  <c r="I86" i="8"/>
  <c r="J87" i="8"/>
  <c r="K87" i="8"/>
  <c r="L87" i="8"/>
  <c r="I88" i="8"/>
  <c r="J89" i="8"/>
  <c r="K89" i="8"/>
  <c r="L89" i="8"/>
  <c r="I89" i="8"/>
  <c r="J90" i="8"/>
  <c r="K90" i="8"/>
  <c r="L90" i="8"/>
  <c r="I90" i="8"/>
  <c r="J91" i="8"/>
  <c r="K91" i="8"/>
  <c r="L91" i="8"/>
  <c r="I91" i="8"/>
  <c r="J92" i="8"/>
  <c r="K92" i="8"/>
  <c r="L92" i="8"/>
  <c r="I92" i="8"/>
  <c r="J93" i="8"/>
  <c r="K93" i="8"/>
  <c r="L93" i="8"/>
  <c r="I93" i="8"/>
  <c r="J94" i="8"/>
  <c r="K94" i="8"/>
  <c r="L94" i="8"/>
  <c r="I94" i="8"/>
  <c r="J95" i="8"/>
  <c r="K95" i="8"/>
  <c r="L95" i="8"/>
  <c r="I95" i="8"/>
  <c r="O87" i="8"/>
  <c r="P88" i="8"/>
  <c r="Q88" i="8"/>
  <c r="R88" i="8"/>
  <c r="N70" i="8"/>
  <c r="P72" i="8"/>
  <c r="Q72" i="8"/>
  <c r="R72" i="8"/>
  <c r="P73" i="8"/>
  <c r="Q73" i="8"/>
  <c r="R73" i="8"/>
  <c r="O73" i="8"/>
  <c r="P74" i="8"/>
  <c r="Q74" i="8"/>
  <c r="R74" i="8"/>
  <c r="O74" i="8"/>
  <c r="P75" i="8"/>
  <c r="Q75" i="8"/>
  <c r="R75" i="8"/>
  <c r="O75" i="8"/>
  <c r="P76" i="8"/>
  <c r="Q76" i="8"/>
  <c r="R76" i="8"/>
  <c r="O76" i="8"/>
  <c r="P77" i="8"/>
  <c r="Q77" i="8"/>
  <c r="R77" i="8"/>
  <c r="O77" i="8"/>
  <c r="P78" i="8"/>
  <c r="Q78" i="8"/>
  <c r="R78" i="8"/>
  <c r="O78" i="8"/>
  <c r="P79" i="8"/>
  <c r="Q79" i="8"/>
  <c r="R79" i="8"/>
  <c r="O79" i="8"/>
  <c r="P80" i="8"/>
  <c r="Q80" i="8"/>
  <c r="R80" i="8"/>
  <c r="O80" i="8"/>
  <c r="P81" i="8"/>
  <c r="Q81" i="8"/>
  <c r="R81" i="8"/>
  <c r="O81" i="8"/>
  <c r="P82" i="8"/>
  <c r="Q82" i="8"/>
  <c r="R82" i="8"/>
  <c r="O82" i="8"/>
  <c r="P83" i="8"/>
  <c r="Q83" i="8"/>
  <c r="R83" i="8"/>
  <c r="O83" i="8"/>
  <c r="P84" i="8"/>
  <c r="Q84" i="8"/>
  <c r="R84" i="8"/>
  <c r="O84" i="8"/>
  <c r="P85" i="8"/>
  <c r="Q85" i="8"/>
  <c r="R85" i="8"/>
  <c r="O85" i="8"/>
  <c r="P86" i="8"/>
  <c r="Q86" i="8"/>
  <c r="R86" i="8"/>
  <c r="O86" i="8"/>
  <c r="P87" i="8"/>
  <c r="Q87" i="8"/>
  <c r="R87" i="8"/>
  <c r="O88" i="8"/>
  <c r="P89" i="8"/>
  <c r="Q89" i="8"/>
  <c r="R89" i="8"/>
  <c r="O89" i="8"/>
  <c r="P90" i="8"/>
  <c r="Q90" i="8"/>
  <c r="R90" i="8"/>
  <c r="O90" i="8"/>
  <c r="P91" i="8"/>
  <c r="Q91" i="8"/>
  <c r="R91" i="8"/>
  <c r="O91" i="8"/>
  <c r="P92" i="8"/>
  <c r="Q92" i="8"/>
  <c r="R92" i="8"/>
  <c r="O92" i="8"/>
  <c r="P93" i="8"/>
  <c r="Q93" i="8"/>
  <c r="R93" i="8"/>
  <c r="O93" i="8"/>
  <c r="P94" i="8"/>
  <c r="Q94" i="8"/>
  <c r="R94" i="8"/>
  <c r="O94" i="8"/>
  <c r="P95" i="8"/>
  <c r="Q95" i="8"/>
  <c r="R95" i="8"/>
  <c r="O95" i="8"/>
  <c r="U87" i="8"/>
  <c r="V88" i="8"/>
  <c r="W88" i="8"/>
  <c r="X88" i="8"/>
  <c r="T70" i="8"/>
  <c r="V72" i="8"/>
  <c r="W72" i="8"/>
  <c r="X72" i="8"/>
  <c r="V73" i="8"/>
  <c r="W73" i="8"/>
  <c r="X73" i="8"/>
  <c r="U73" i="8"/>
  <c r="V74" i="8"/>
  <c r="W74" i="8"/>
  <c r="X74" i="8"/>
  <c r="U74" i="8"/>
  <c r="V75" i="8"/>
  <c r="W75" i="8"/>
  <c r="X75" i="8"/>
  <c r="U75" i="8"/>
  <c r="V76" i="8"/>
  <c r="W76" i="8"/>
  <c r="X76" i="8"/>
  <c r="U76" i="8"/>
  <c r="V77" i="8"/>
  <c r="W77" i="8"/>
  <c r="X77" i="8"/>
  <c r="U77" i="8"/>
  <c r="V78" i="8"/>
  <c r="W78" i="8"/>
  <c r="X78" i="8"/>
  <c r="U78" i="8"/>
  <c r="V79" i="8"/>
  <c r="W79" i="8"/>
  <c r="X79" i="8"/>
  <c r="U79" i="8"/>
  <c r="V80" i="8"/>
  <c r="W80" i="8"/>
  <c r="X80" i="8"/>
  <c r="U80" i="8"/>
  <c r="V81" i="8"/>
  <c r="W81" i="8"/>
  <c r="X81" i="8"/>
  <c r="U81" i="8"/>
  <c r="V82" i="8"/>
  <c r="W82" i="8"/>
  <c r="X82" i="8"/>
  <c r="U82" i="8"/>
  <c r="V83" i="8"/>
  <c r="W83" i="8"/>
  <c r="X83" i="8"/>
  <c r="U83" i="8"/>
  <c r="V84" i="8"/>
  <c r="W84" i="8"/>
  <c r="X84" i="8"/>
  <c r="U84" i="8"/>
  <c r="V85" i="8"/>
  <c r="W85" i="8"/>
  <c r="X85" i="8"/>
  <c r="U85" i="8"/>
  <c r="V86" i="8"/>
  <c r="W86" i="8"/>
  <c r="X86" i="8"/>
  <c r="U86" i="8"/>
  <c r="V87" i="8"/>
  <c r="W87" i="8"/>
  <c r="X87" i="8"/>
  <c r="U88" i="8"/>
  <c r="V89" i="8"/>
  <c r="W89" i="8"/>
  <c r="X89" i="8"/>
  <c r="U89" i="8"/>
  <c r="V90" i="8"/>
  <c r="W90" i="8"/>
  <c r="X90" i="8"/>
  <c r="U90" i="8"/>
  <c r="V91" i="8"/>
  <c r="W91" i="8"/>
  <c r="X91" i="8"/>
  <c r="U91" i="8"/>
  <c r="V92" i="8"/>
  <c r="W92" i="8"/>
  <c r="X92" i="8"/>
  <c r="U92" i="8"/>
  <c r="V93" i="8"/>
  <c r="W93" i="8"/>
  <c r="X93" i="8"/>
  <c r="V94" i="8"/>
  <c r="W94" i="8"/>
  <c r="X94" i="8"/>
  <c r="V95" i="8"/>
  <c r="W95" i="8"/>
  <c r="X95" i="8"/>
  <c r="B98" i="8"/>
  <c r="D100" i="8"/>
  <c r="E100" i="8"/>
  <c r="F100" i="8"/>
  <c r="D101" i="8"/>
  <c r="E101" i="8"/>
  <c r="F101" i="8"/>
  <c r="D102" i="8"/>
  <c r="E102" i="8"/>
  <c r="F102" i="8"/>
  <c r="D103" i="8"/>
  <c r="E103" i="8"/>
  <c r="F103" i="8"/>
  <c r="D104" i="8"/>
  <c r="E104" i="8"/>
  <c r="F104" i="8"/>
  <c r="D105" i="8"/>
  <c r="E105" i="8"/>
  <c r="F105" i="8"/>
  <c r="D106" i="8"/>
  <c r="E106" i="8"/>
  <c r="F106" i="8"/>
  <c r="D107" i="8"/>
  <c r="E107" i="8"/>
  <c r="F107" i="8"/>
  <c r="D108" i="8"/>
  <c r="E108" i="8"/>
  <c r="F108" i="8"/>
  <c r="D109" i="8"/>
  <c r="E109" i="8"/>
  <c r="F109" i="8"/>
  <c r="C109" i="8"/>
  <c r="D110" i="8"/>
  <c r="E110" i="8"/>
  <c r="F110" i="8"/>
  <c r="C110" i="8"/>
  <c r="D111" i="8"/>
  <c r="E111" i="8"/>
  <c r="F111" i="8"/>
  <c r="D114" i="8"/>
  <c r="E114" i="8"/>
  <c r="F114" i="8"/>
  <c r="E113" i="8"/>
  <c r="F113" i="8"/>
  <c r="E115" i="8"/>
  <c r="F115" i="8"/>
  <c r="E116" i="8"/>
  <c r="D117" i="8"/>
  <c r="D118" i="8"/>
  <c r="F118" i="8"/>
  <c r="D119" i="8"/>
  <c r="F119" i="8"/>
  <c r="C119" i="8"/>
  <c r="F120" i="8"/>
  <c r="E121" i="8"/>
  <c r="D122" i="8"/>
  <c r="F122" i="8"/>
  <c r="D123" i="8"/>
  <c r="D112" i="8"/>
  <c r="E112" i="8"/>
  <c r="F112" i="8"/>
  <c r="D113" i="8"/>
  <c r="D115" i="8"/>
  <c r="D116" i="8"/>
  <c r="F116" i="8"/>
  <c r="E117" i="8"/>
  <c r="F117" i="8"/>
  <c r="E118" i="8"/>
  <c r="E119" i="8"/>
  <c r="D120" i="8"/>
  <c r="E120" i="8"/>
  <c r="D121" i="8"/>
  <c r="F121" i="8"/>
  <c r="E122" i="8"/>
  <c r="E123" i="8"/>
  <c r="F123" i="8"/>
  <c r="H98" i="8"/>
  <c r="J100" i="8"/>
  <c r="K100" i="8"/>
  <c r="L100" i="8"/>
  <c r="J101" i="8"/>
  <c r="K101" i="8"/>
  <c r="L101" i="8"/>
  <c r="J102" i="8"/>
  <c r="K102" i="8"/>
  <c r="L102" i="8"/>
  <c r="J103" i="8"/>
  <c r="K103" i="8"/>
  <c r="L103" i="8"/>
  <c r="J104" i="8"/>
  <c r="K104" i="8"/>
  <c r="L104" i="8"/>
  <c r="J105" i="8"/>
  <c r="K105" i="8"/>
  <c r="L105" i="8"/>
  <c r="J106" i="8"/>
  <c r="K106" i="8"/>
  <c r="L106" i="8"/>
  <c r="J107" i="8"/>
  <c r="K107" i="8"/>
  <c r="L107" i="8"/>
  <c r="J108" i="8"/>
  <c r="K108" i="8"/>
  <c r="L108" i="8"/>
  <c r="J109" i="8"/>
  <c r="K109" i="8"/>
  <c r="L109" i="8"/>
  <c r="J110" i="8"/>
  <c r="K110" i="8"/>
  <c r="L110" i="8"/>
  <c r="J111" i="8"/>
  <c r="K111" i="8"/>
  <c r="L111" i="8"/>
  <c r="J114" i="8"/>
  <c r="K114" i="8"/>
  <c r="L114" i="8"/>
  <c r="J113" i="8"/>
  <c r="K115" i="8"/>
  <c r="L116" i="8"/>
  <c r="J117" i="8"/>
  <c r="J118" i="8"/>
  <c r="K119" i="8"/>
  <c r="L119" i="8"/>
  <c r="J120" i="8"/>
  <c r="K121" i="8"/>
  <c r="J122" i="8"/>
  <c r="L122" i="8"/>
  <c r="J123" i="8"/>
  <c r="L123" i="8"/>
  <c r="J112" i="8"/>
  <c r="K112" i="8"/>
  <c r="L112" i="8"/>
  <c r="K113" i="8"/>
  <c r="L113" i="8"/>
  <c r="J115" i="8"/>
  <c r="L115" i="8"/>
  <c r="J116" i="8"/>
  <c r="K116" i="8"/>
  <c r="K117" i="8"/>
  <c r="L117" i="8"/>
  <c r="K118" i="8"/>
  <c r="L118" i="8"/>
  <c r="J119" i="8"/>
  <c r="K120" i="8"/>
  <c r="L120" i="8"/>
  <c r="J121" i="8"/>
  <c r="L121" i="8"/>
  <c r="K122" i="8"/>
  <c r="K123" i="8"/>
  <c r="N98" i="8"/>
  <c r="P100" i="8"/>
  <c r="Q100" i="8"/>
  <c r="R100" i="8"/>
  <c r="P101" i="8"/>
  <c r="Q101" i="8"/>
  <c r="R101" i="8"/>
  <c r="P102" i="8"/>
  <c r="Q102" i="8"/>
  <c r="R102" i="8"/>
  <c r="P103" i="8"/>
  <c r="Q103" i="8"/>
  <c r="R103" i="8"/>
  <c r="P104" i="8"/>
  <c r="Q104" i="8"/>
  <c r="R104" i="8"/>
  <c r="P105" i="8"/>
  <c r="Q105" i="8"/>
  <c r="R105" i="8"/>
  <c r="P106" i="8"/>
  <c r="Q106" i="8"/>
  <c r="R106" i="8"/>
  <c r="P107" i="8"/>
  <c r="Q107" i="8"/>
  <c r="R107" i="8"/>
  <c r="P108" i="8"/>
  <c r="Q108" i="8"/>
  <c r="R108" i="8"/>
  <c r="P109" i="8"/>
  <c r="Q109" i="8"/>
  <c r="R109" i="8"/>
  <c r="P110" i="8"/>
  <c r="Q110" i="8"/>
  <c r="R110" i="8"/>
  <c r="P111" i="8"/>
  <c r="Q111" i="8"/>
  <c r="R111" i="8"/>
  <c r="P114" i="8"/>
  <c r="Q114" i="8"/>
  <c r="R114" i="8"/>
  <c r="P115" i="8"/>
  <c r="P117" i="8"/>
  <c r="R117" i="8"/>
  <c r="Q118" i="8"/>
  <c r="R118" i="8"/>
  <c r="P119" i="8"/>
  <c r="R119" i="8"/>
  <c r="P120" i="8"/>
  <c r="Q120" i="8"/>
  <c r="R120" i="8"/>
  <c r="Q121" i="8"/>
  <c r="P122" i="8"/>
  <c r="R122" i="8"/>
  <c r="P123" i="8"/>
  <c r="R123" i="8"/>
  <c r="P112" i="8"/>
  <c r="Q112" i="8"/>
  <c r="R112" i="8"/>
  <c r="P113" i="8"/>
  <c r="Q113" i="8"/>
  <c r="R113" i="8"/>
  <c r="Q115" i="8"/>
  <c r="R115" i="8"/>
  <c r="P116" i="8"/>
  <c r="Q116" i="8"/>
  <c r="R116" i="8"/>
  <c r="Q117" i="8"/>
  <c r="P118" i="8"/>
  <c r="Q119" i="8"/>
  <c r="P121" i="8"/>
  <c r="R121" i="8"/>
  <c r="Q122" i="8"/>
  <c r="Q123" i="8"/>
  <c r="T98" i="8"/>
  <c r="V100" i="8"/>
  <c r="W100" i="8"/>
  <c r="X100" i="8"/>
  <c r="V101" i="8"/>
  <c r="W101" i="8"/>
  <c r="X101" i="8"/>
  <c r="V102" i="8"/>
  <c r="W102" i="8"/>
  <c r="X102" i="8"/>
  <c r="V103" i="8"/>
  <c r="W103" i="8"/>
  <c r="X103" i="8"/>
  <c r="V104" i="8"/>
  <c r="W104" i="8"/>
  <c r="X104" i="8"/>
  <c r="V105" i="8"/>
  <c r="W105" i="8"/>
  <c r="X105" i="8"/>
  <c r="V106" i="8"/>
  <c r="W106" i="8"/>
  <c r="X106" i="8"/>
  <c r="V107" i="8"/>
  <c r="W107" i="8"/>
  <c r="X107" i="8"/>
  <c r="V108" i="8"/>
  <c r="W108" i="8"/>
  <c r="X108" i="8"/>
  <c r="V109" i="8"/>
  <c r="W109" i="8"/>
  <c r="X109" i="8"/>
  <c r="V110" i="8"/>
  <c r="W110" i="8"/>
  <c r="X110" i="8"/>
  <c r="V111" i="8"/>
  <c r="W111" i="8"/>
  <c r="X111" i="8"/>
  <c r="V114" i="8"/>
  <c r="W114" i="8"/>
  <c r="X114" i="8"/>
  <c r="W113" i="8"/>
  <c r="X113" i="8"/>
  <c r="V115" i="8"/>
  <c r="X115" i="8"/>
  <c r="V116" i="8"/>
  <c r="W116" i="8"/>
  <c r="X116" i="8"/>
  <c r="V118" i="8"/>
  <c r="W118" i="8"/>
  <c r="X118" i="8"/>
  <c r="V119" i="8"/>
  <c r="W119" i="8"/>
  <c r="X119" i="8"/>
  <c r="V120" i="8"/>
  <c r="W120" i="8"/>
  <c r="X120" i="8"/>
  <c r="V121" i="8"/>
  <c r="W121" i="8"/>
  <c r="X121" i="8"/>
  <c r="V112" i="8"/>
  <c r="W112" i="8"/>
  <c r="X112" i="8"/>
  <c r="V113" i="8"/>
  <c r="W115" i="8"/>
  <c r="V117" i="8"/>
  <c r="W117" i="8"/>
  <c r="X117" i="8"/>
  <c r="V122" i="8"/>
  <c r="W122" i="8"/>
  <c r="X122" i="8"/>
  <c r="V123" i="8"/>
  <c r="W123" i="8"/>
  <c r="X123" i="8"/>
  <c r="B126" i="8"/>
  <c r="D128" i="8"/>
  <c r="E128" i="8"/>
  <c r="F128" i="8"/>
  <c r="D129" i="8"/>
  <c r="E129" i="8"/>
  <c r="F129" i="8"/>
  <c r="D130" i="8"/>
  <c r="E130" i="8"/>
  <c r="F130" i="8"/>
  <c r="D131" i="8"/>
  <c r="E131" i="8"/>
  <c r="F131" i="8"/>
  <c r="D132" i="8"/>
  <c r="E132" i="8"/>
  <c r="F132" i="8"/>
  <c r="D133" i="8"/>
  <c r="E133" i="8"/>
  <c r="F133" i="8"/>
  <c r="D134" i="8"/>
  <c r="E134" i="8"/>
  <c r="F134" i="8"/>
  <c r="D135" i="8"/>
  <c r="E135" i="8"/>
  <c r="F135" i="8"/>
  <c r="D136" i="8"/>
  <c r="E136" i="8"/>
  <c r="F136" i="8"/>
  <c r="D137" i="8"/>
  <c r="E137" i="8"/>
  <c r="F137" i="8"/>
  <c r="D138" i="8"/>
  <c r="E138" i="8"/>
  <c r="F138" i="8"/>
  <c r="D139" i="8"/>
  <c r="E139" i="8"/>
  <c r="F139" i="8"/>
  <c r="D140" i="8"/>
  <c r="E140" i="8"/>
  <c r="F140" i="8"/>
  <c r="D141" i="8"/>
  <c r="E141" i="8"/>
  <c r="F141" i="8"/>
  <c r="D142" i="8"/>
  <c r="E142" i="8"/>
  <c r="E143" i="8"/>
  <c r="F143" i="8"/>
  <c r="E144" i="8"/>
  <c r="F144" i="8"/>
  <c r="D145" i="8"/>
  <c r="E145" i="8"/>
  <c r="F145" i="8"/>
  <c r="D146" i="8"/>
  <c r="E146" i="8"/>
  <c r="F146" i="8"/>
  <c r="D147" i="8"/>
  <c r="E147" i="8"/>
  <c r="F147" i="8"/>
  <c r="D148" i="8"/>
  <c r="E148" i="8"/>
  <c r="F148" i="8"/>
  <c r="D149" i="8"/>
  <c r="E149" i="8"/>
  <c r="F149" i="8"/>
  <c r="D150" i="8"/>
  <c r="E150" i="8"/>
  <c r="F150" i="8"/>
  <c r="D151" i="8"/>
  <c r="E151" i="8"/>
  <c r="F151" i="8"/>
  <c r="F142" i="8"/>
  <c r="D143" i="8"/>
  <c r="D144" i="8"/>
  <c r="T154" i="8"/>
  <c r="V156" i="8"/>
  <c r="W156" i="8"/>
  <c r="X156" i="8"/>
  <c r="V157" i="8"/>
  <c r="W157" i="8"/>
  <c r="X157" i="8"/>
  <c r="V158" i="8"/>
  <c r="W158" i="8"/>
  <c r="X158" i="8"/>
  <c r="V159" i="8"/>
  <c r="W159" i="8"/>
  <c r="X159" i="8"/>
  <c r="V160" i="8"/>
  <c r="W160" i="8"/>
  <c r="X160" i="8"/>
  <c r="V161" i="8"/>
  <c r="W161" i="8"/>
  <c r="X161" i="8"/>
  <c r="V162" i="8"/>
  <c r="W162" i="8"/>
  <c r="X162" i="8"/>
  <c r="V163" i="8"/>
  <c r="W163" i="8"/>
  <c r="X163" i="8"/>
  <c r="V164" i="8"/>
  <c r="W164" i="8"/>
  <c r="X164" i="8"/>
  <c r="V165" i="8"/>
  <c r="W165" i="8"/>
  <c r="X165" i="8"/>
  <c r="V166" i="8"/>
  <c r="W166" i="8"/>
  <c r="X166" i="8"/>
  <c r="V167" i="8"/>
  <c r="W167" i="8"/>
  <c r="X167" i="8"/>
  <c r="V168" i="8"/>
  <c r="W168" i="8"/>
  <c r="X168" i="8"/>
  <c r="V169" i="8"/>
  <c r="W169" i="8"/>
  <c r="X169" i="8"/>
  <c r="V170" i="8"/>
  <c r="W170" i="8"/>
  <c r="X170" i="8"/>
  <c r="V171" i="8"/>
  <c r="W171" i="8"/>
  <c r="X171" i="8"/>
  <c r="V172" i="8"/>
  <c r="W172" i="8"/>
  <c r="X172" i="8"/>
  <c r="V173" i="8"/>
  <c r="W173" i="8"/>
  <c r="X173" i="8"/>
  <c r="V174" i="8"/>
  <c r="W174" i="8"/>
  <c r="X174" i="8"/>
  <c r="V175" i="8"/>
  <c r="W175" i="8"/>
  <c r="X175" i="8"/>
  <c r="V176" i="8"/>
  <c r="W176" i="8"/>
  <c r="X176" i="8"/>
  <c r="V177" i="8"/>
  <c r="W177" i="8"/>
  <c r="X177" i="8"/>
  <c r="V178" i="8"/>
  <c r="W178" i="8"/>
  <c r="X178" i="8"/>
  <c r="V179" i="8"/>
  <c r="W179" i="8"/>
  <c r="X179" i="8"/>
  <c r="H126" i="8"/>
  <c r="J128" i="8"/>
  <c r="K128" i="8"/>
  <c r="L128" i="8"/>
  <c r="J129" i="8"/>
  <c r="K129" i="8"/>
  <c r="L129" i="8"/>
  <c r="J130" i="8"/>
  <c r="K130" i="8"/>
  <c r="L130" i="8"/>
  <c r="J131" i="8"/>
  <c r="K131" i="8"/>
  <c r="L131" i="8"/>
  <c r="J132" i="8"/>
  <c r="K132" i="8"/>
  <c r="L132" i="8"/>
  <c r="J133" i="8"/>
  <c r="K133" i="8"/>
  <c r="L133" i="8"/>
  <c r="J134" i="8"/>
  <c r="K134" i="8"/>
  <c r="L134" i="8"/>
  <c r="J135" i="8"/>
  <c r="K135" i="8"/>
  <c r="L135" i="8"/>
  <c r="J136" i="8"/>
  <c r="K136" i="8"/>
  <c r="L136" i="8"/>
  <c r="J137" i="8"/>
  <c r="K137" i="8"/>
  <c r="L137" i="8"/>
  <c r="J138" i="8"/>
  <c r="K138" i="8"/>
  <c r="L138" i="8"/>
  <c r="J139" i="8"/>
  <c r="K139" i="8"/>
  <c r="L139" i="8"/>
  <c r="J140" i="8"/>
  <c r="K140" i="8"/>
  <c r="L140" i="8"/>
  <c r="J141" i="8"/>
  <c r="K141" i="8"/>
  <c r="L141" i="8"/>
  <c r="J142" i="8"/>
  <c r="L142" i="8"/>
  <c r="J143" i="8"/>
  <c r="L143" i="8"/>
  <c r="J144" i="8"/>
  <c r="K144" i="8"/>
  <c r="J145" i="8"/>
  <c r="K145" i="8"/>
  <c r="L145" i="8"/>
  <c r="J146" i="8"/>
  <c r="K146" i="8"/>
  <c r="L146" i="8"/>
  <c r="J147" i="8"/>
  <c r="K147" i="8"/>
  <c r="L147" i="8"/>
  <c r="J148" i="8"/>
  <c r="K148" i="8"/>
  <c r="L148" i="8"/>
  <c r="J149" i="8"/>
  <c r="K149" i="8"/>
  <c r="L149" i="8"/>
  <c r="J150" i="8"/>
  <c r="K150" i="8"/>
  <c r="L150" i="8"/>
  <c r="J151" i="8"/>
  <c r="K151" i="8"/>
  <c r="L151" i="8"/>
  <c r="K142" i="8"/>
  <c r="K143" i="8"/>
  <c r="L144" i="8"/>
  <c r="N126" i="8"/>
  <c r="P128" i="8"/>
  <c r="Q128" i="8"/>
  <c r="R128" i="8"/>
  <c r="P129" i="8"/>
  <c r="Q129" i="8"/>
  <c r="R129" i="8"/>
  <c r="P130" i="8"/>
  <c r="Q130" i="8"/>
  <c r="R130" i="8"/>
  <c r="P131" i="8"/>
  <c r="Q131" i="8"/>
  <c r="R131" i="8"/>
  <c r="P132" i="8"/>
  <c r="Q132" i="8"/>
  <c r="R132" i="8"/>
  <c r="P133" i="8"/>
  <c r="Q133" i="8"/>
  <c r="R133" i="8"/>
  <c r="P134" i="8"/>
  <c r="Q134" i="8"/>
  <c r="R134" i="8"/>
  <c r="P135" i="8"/>
  <c r="Q135" i="8"/>
  <c r="R135" i="8"/>
  <c r="P136" i="8"/>
  <c r="Q136" i="8"/>
  <c r="R136" i="8"/>
  <c r="P137" i="8"/>
  <c r="Q137" i="8"/>
  <c r="R137" i="8"/>
  <c r="P138" i="8"/>
  <c r="Q138" i="8"/>
  <c r="R138" i="8"/>
  <c r="P139" i="8"/>
  <c r="Q139" i="8"/>
  <c r="R139" i="8"/>
  <c r="P140" i="8"/>
  <c r="Q140" i="8"/>
  <c r="R140" i="8"/>
  <c r="P141" i="8"/>
  <c r="Q141" i="8"/>
  <c r="R141" i="8"/>
  <c r="P142" i="8"/>
  <c r="R142" i="8"/>
  <c r="Q143" i="8"/>
  <c r="R143" i="8"/>
  <c r="P144" i="8"/>
  <c r="Q144" i="8"/>
  <c r="R144" i="8"/>
  <c r="P145" i="8"/>
  <c r="Q145" i="8"/>
  <c r="R145" i="8"/>
  <c r="P146" i="8"/>
  <c r="Q146" i="8"/>
  <c r="R146" i="8"/>
  <c r="P147" i="8"/>
  <c r="Q147" i="8"/>
  <c r="R147" i="8"/>
  <c r="P148" i="8"/>
  <c r="Q148" i="8"/>
  <c r="R148" i="8"/>
  <c r="P149" i="8"/>
  <c r="Q149" i="8"/>
  <c r="R149" i="8"/>
  <c r="P150" i="8"/>
  <c r="Q150" i="8"/>
  <c r="R150" i="8"/>
  <c r="P151" i="8"/>
  <c r="Q151" i="8"/>
  <c r="R151" i="8"/>
  <c r="Q142" i="8"/>
  <c r="P143" i="8"/>
  <c r="T126" i="8"/>
  <c r="V128" i="8"/>
  <c r="W128" i="8"/>
  <c r="X128" i="8"/>
  <c r="V129" i="8"/>
  <c r="W129" i="8"/>
  <c r="X129" i="8"/>
  <c r="V130" i="8"/>
  <c r="W130" i="8"/>
  <c r="X130" i="8"/>
  <c r="V131" i="8"/>
  <c r="W131" i="8"/>
  <c r="X131" i="8"/>
  <c r="V132" i="8"/>
  <c r="W132" i="8"/>
  <c r="X132" i="8"/>
  <c r="V133" i="8"/>
  <c r="W133" i="8"/>
  <c r="X133" i="8"/>
  <c r="V134" i="8"/>
  <c r="W134" i="8"/>
  <c r="X134" i="8"/>
  <c r="V135" i="8"/>
  <c r="W135" i="8"/>
  <c r="X135" i="8"/>
  <c r="V136" i="8"/>
  <c r="W136" i="8"/>
  <c r="X136" i="8"/>
  <c r="V137" i="8"/>
  <c r="W137" i="8"/>
  <c r="X137" i="8"/>
  <c r="V138" i="8"/>
  <c r="W138" i="8"/>
  <c r="X138" i="8"/>
  <c r="V139" i="8"/>
  <c r="W139" i="8"/>
  <c r="X139" i="8"/>
  <c r="V140" i="8"/>
  <c r="W140" i="8"/>
  <c r="X140" i="8"/>
  <c r="V141" i="8"/>
  <c r="W141" i="8"/>
  <c r="X141" i="8"/>
  <c r="V142" i="8"/>
  <c r="W143" i="8"/>
  <c r="V144" i="8"/>
  <c r="W144" i="8"/>
  <c r="X144" i="8"/>
  <c r="V145" i="8"/>
  <c r="W145" i="8"/>
  <c r="X145" i="8"/>
  <c r="V146" i="8"/>
  <c r="W146" i="8"/>
  <c r="X146" i="8"/>
  <c r="V147" i="8"/>
  <c r="W147" i="8"/>
  <c r="X147" i="8"/>
  <c r="V148" i="8"/>
  <c r="W148" i="8"/>
  <c r="X148" i="8"/>
  <c r="V149" i="8"/>
  <c r="W149" i="8"/>
  <c r="X149" i="8"/>
  <c r="V150" i="8"/>
  <c r="W150" i="8"/>
  <c r="X150" i="8"/>
  <c r="V151" i="8"/>
  <c r="W151" i="8"/>
  <c r="X151" i="8"/>
  <c r="W142" i="8"/>
  <c r="X142" i="8"/>
  <c r="V143" i="8"/>
  <c r="X143" i="8"/>
  <c r="B154" i="8"/>
  <c r="D156" i="8"/>
  <c r="E156" i="8"/>
  <c r="F156" i="8"/>
  <c r="D157" i="8"/>
  <c r="E157" i="8"/>
  <c r="F157" i="8"/>
  <c r="D158" i="8"/>
  <c r="E158" i="8"/>
  <c r="F158" i="8"/>
  <c r="D159" i="8"/>
  <c r="E159" i="8"/>
  <c r="F159" i="8"/>
  <c r="D160" i="8"/>
  <c r="E160" i="8"/>
  <c r="F160" i="8"/>
  <c r="D161" i="8"/>
  <c r="E161" i="8"/>
  <c r="F161" i="8"/>
  <c r="D162" i="8"/>
  <c r="E162" i="8"/>
  <c r="F162" i="8"/>
  <c r="D163" i="8"/>
  <c r="E163" i="8"/>
  <c r="F163" i="8"/>
  <c r="D164" i="8"/>
  <c r="E164" i="8"/>
  <c r="F164" i="8"/>
  <c r="D165" i="8"/>
  <c r="E165" i="8"/>
  <c r="F165" i="8"/>
  <c r="D166" i="8"/>
  <c r="E166" i="8"/>
  <c r="F166" i="8"/>
  <c r="D167" i="8"/>
  <c r="E167" i="8"/>
  <c r="F167" i="8"/>
  <c r="D168" i="8"/>
  <c r="E168" i="8"/>
  <c r="F168" i="8"/>
  <c r="D169" i="8"/>
  <c r="E169" i="8"/>
  <c r="F169" i="8"/>
  <c r="D170" i="8"/>
  <c r="E170" i="8"/>
  <c r="F170" i="8"/>
  <c r="C170" i="8"/>
  <c r="D171" i="8"/>
  <c r="E171" i="8"/>
  <c r="F171" i="8"/>
  <c r="C171" i="8"/>
  <c r="D172" i="8"/>
  <c r="E172" i="8"/>
  <c r="F172" i="8"/>
  <c r="C172" i="8"/>
  <c r="D173" i="8"/>
  <c r="E173" i="8"/>
  <c r="F173" i="8"/>
  <c r="C173" i="8"/>
  <c r="D174" i="8"/>
  <c r="E174" i="8"/>
  <c r="F174" i="8"/>
  <c r="C174" i="8"/>
  <c r="D175" i="8"/>
  <c r="E175" i="8"/>
  <c r="F175" i="8"/>
  <c r="C175" i="8"/>
  <c r="D176" i="8"/>
  <c r="E176" i="8"/>
  <c r="F176" i="8"/>
  <c r="C176" i="8"/>
  <c r="D177" i="8"/>
  <c r="E177" i="8"/>
  <c r="F177" i="8"/>
  <c r="C177" i="8"/>
  <c r="D178" i="8"/>
  <c r="E178" i="8"/>
  <c r="F178" i="8"/>
  <c r="C178" i="8"/>
  <c r="D179" i="8"/>
  <c r="E179" i="8"/>
  <c r="F179" i="8"/>
  <c r="C179" i="8"/>
  <c r="H154" i="8"/>
  <c r="J156" i="8"/>
  <c r="K156" i="8"/>
  <c r="L156" i="8"/>
  <c r="J157" i="8"/>
  <c r="K157" i="8"/>
  <c r="L157" i="8"/>
  <c r="I157" i="8"/>
  <c r="J158" i="8"/>
  <c r="K158" i="8"/>
  <c r="L158" i="8"/>
  <c r="I158" i="8"/>
  <c r="J159" i="8"/>
  <c r="K159" i="8"/>
  <c r="L159" i="8"/>
  <c r="I159" i="8"/>
  <c r="J160" i="8"/>
  <c r="K160" i="8"/>
  <c r="L160" i="8"/>
  <c r="I160" i="8"/>
  <c r="J161" i="8"/>
  <c r="K161" i="8"/>
  <c r="L161" i="8"/>
  <c r="I161" i="8"/>
  <c r="J162" i="8"/>
  <c r="K162" i="8"/>
  <c r="L162" i="8"/>
  <c r="I162" i="8"/>
  <c r="J163" i="8"/>
  <c r="K163" i="8"/>
  <c r="L163" i="8"/>
  <c r="I163" i="8"/>
  <c r="J164" i="8"/>
  <c r="K164" i="8"/>
  <c r="L164" i="8"/>
  <c r="I164" i="8"/>
  <c r="J165" i="8"/>
  <c r="K165" i="8"/>
  <c r="L165" i="8"/>
  <c r="I165" i="8"/>
  <c r="J166" i="8"/>
  <c r="K166" i="8"/>
  <c r="L166" i="8"/>
  <c r="I166" i="8"/>
  <c r="J167" i="8"/>
  <c r="K167" i="8"/>
  <c r="L167" i="8"/>
  <c r="I167" i="8"/>
  <c r="J168" i="8"/>
  <c r="K168" i="8"/>
  <c r="L168" i="8"/>
  <c r="I168" i="8"/>
  <c r="J169" i="8"/>
  <c r="K169" i="8"/>
  <c r="L169" i="8"/>
  <c r="I169" i="8"/>
  <c r="J170" i="8"/>
  <c r="K170" i="8"/>
  <c r="L170" i="8"/>
  <c r="I170" i="8"/>
  <c r="J171" i="8"/>
  <c r="K171" i="8"/>
  <c r="L171" i="8"/>
  <c r="I171" i="8"/>
  <c r="J172" i="8"/>
  <c r="K172" i="8"/>
  <c r="L172" i="8"/>
  <c r="I172" i="8"/>
  <c r="J173" i="8"/>
  <c r="K173" i="8"/>
  <c r="L173" i="8"/>
  <c r="I173" i="8"/>
  <c r="J174" i="8"/>
  <c r="K174" i="8"/>
  <c r="L174" i="8"/>
  <c r="I174" i="8"/>
  <c r="J175" i="8"/>
  <c r="K175" i="8"/>
  <c r="L175" i="8"/>
  <c r="I175" i="8"/>
  <c r="J176" i="8"/>
  <c r="K176" i="8"/>
  <c r="L176" i="8"/>
  <c r="I176" i="8"/>
  <c r="J177" i="8"/>
  <c r="K177" i="8"/>
  <c r="L177" i="8"/>
  <c r="I177" i="8"/>
  <c r="J178" i="8"/>
  <c r="K178" i="8"/>
  <c r="L178" i="8"/>
  <c r="I178" i="8"/>
  <c r="J179" i="8"/>
  <c r="K179" i="8"/>
  <c r="L179" i="8"/>
  <c r="I179" i="8"/>
  <c r="N154" i="8"/>
  <c r="P156" i="8"/>
  <c r="Q156" i="8"/>
  <c r="R156" i="8"/>
  <c r="P157" i="8"/>
  <c r="Q157" i="8"/>
  <c r="R157" i="8"/>
  <c r="O157" i="8"/>
  <c r="P158" i="8"/>
  <c r="Q158" i="8"/>
  <c r="R158" i="8"/>
  <c r="O158" i="8"/>
  <c r="P159" i="8"/>
  <c r="Q159" i="8"/>
  <c r="R159" i="8"/>
  <c r="O159" i="8"/>
  <c r="P160" i="8"/>
  <c r="Q160" i="8"/>
  <c r="R160" i="8"/>
  <c r="O160" i="8"/>
  <c r="P161" i="8"/>
  <c r="Q161" i="8"/>
  <c r="R161" i="8"/>
  <c r="O161" i="8"/>
  <c r="P162" i="8"/>
  <c r="Q162" i="8"/>
  <c r="R162" i="8"/>
  <c r="O162" i="8"/>
  <c r="P163" i="8"/>
  <c r="Q163" i="8"/>
  <c r="R163" i="8"/>
  <c r="O163" i="8"/>
  <c r="P164" i="8"/>
  <c r="Q164" i="8"/>
  <c r="R164" i="8"/>
  <c r="O164" i="8"/>
  <c r="P165" i="8"/>
  <c r="Q165" i="8"/>
  <c r="R165" i="8"/>
  <c r="O165" i="8"/>
  <c r="P166" i="8"/>
  <c r="Q166" i="8"/>
  <c r="R166" i="8"/>
  <c r="O166" i="8"/>
  <c r="P167" i="8"/>
  <c r="Q167" i="8"/>
  <c r="R167" i="8"/>
  <c r="O167" i="8"/>
  <c r="P168" i="8"/>
  <c r="Q168" i="8"/>
  <c r="R168" i="8"/>
  <c r="O168" i="8"/>
  <c r="P169" i="8"/>
  <c r="Q169" i="8"/>
  <c r="R169" i="8"/>
  <c r="O169" i="8"/>
  <c r="P170" i="8"/>
  <c r="Q170" i="8"/>
  <c r="R170" i="8"/>
  <c r="P171" i="8"/>
  <c r="Q171" i="8"/>
  <c r="R171" i="8"/>
  <c r="P172" i="8"/>
  <c r="Q172" i="8"/>
  <c r="R172" i="8"/>
  <c r="P173" i="8"/>
  <c r="Q173" i="8"/>
  <c r="R173" i="8"/>
  <c r="P174" i="8"/>
  <c r="Q174" i="8"/>
  <c r="R174" i="8"/>
  <c r="P175" i="8"/>
  <c r="Q175" i="8"/>
  <c r="R175" i="8"/>
  <c r="P176" i="8"/>
  <c r="Q176" i="8"/>
  <c r="R176" i="8"/>
  <c r="P177" i="8"/>
  <c r="Q177" i="8"/>
  <c r="R177" i="8"/>
  <c r="P178" i="8"/>
  <c r="Q178" i="8"/>
  <c r="R178" i="8"/>
  <c r="P179" i="8"/>
  <c r="Q179" i="8"/>
  <c r="R179" i="8"/>
  <c r="BM17" i="6"/>
  <c r="BN17" i="6"/>
  <c r="BO17" i="6"/>
  <c r="BP17" i="6"/>
  <c r="BQ17" i="6"/>
  <c r="BN25" i="6"/>
  <c r="BO25" i="6"/>
  <c r="BP25" i="6"/>
  <c r="BQ25" i="6"/>
  <c r="BM25" i="6"/>
  <c r="BN21" i="6"/>
  <c r="BP21" i="6"/>
  <c r="BM21" i="6"/>
  <c r="BO21" i="6"/>
  <c r="BQ21" i="6"/>
  <c r="BM26" i="6"/>
  <c r="BN26" i="6"/>
  <c r="BO26" i="6"/>
  <c r="BP26" i="6"/>
  <c r="BQ26" i="6"/>
  <c r="BN27" i="6"/>
  <c r="BP27" i="6"/>
  <c r="BQ27" i="6"/>
  <c r="BM27" i="6"/>
  <c r="BO27" i="6"/>
  <c r="BS15" i="6"/>
  <c r="BS19" i="6"/>
  <c r="BS22" i="6"/>
  <c r="BS25" i="6"/>
  <c r="BS23" i="6"/>
  <c r="BS27" i="6"/>
  <c r="BS28" i="6"/>
  <c r="BS20" i="6"/>
  <c r="BS14" i="6"/>
  <c r="BS16" i="6"/>
  <c r="BS17" i="6"/>
  <c r="BS18" i="6"/>
  <c r="BS21" i="6"/>
  <c r="BM13" i="6"/>
  <c r="BN13" i="6"/>
  <c r="BO13" i="6"/>
  <c r="BP13" i="6"/>
  <c r="BQ13" i="6"/>
  <c r="BS24" i="6"/>
  <c r="BS26" i="6"/>
  <c r="BO14" i="6"/>
  <c r="BQ14" i="6"/>
  <c r="BM14" i="6"/>
  <c r="BN14" i="6"/>
  <c r="BP14" i="6"/>
  <c r="BM15" i="6"/>
  <c r="BN15" i="6"/>
  <c r="BO15" i="6"/>
  <c r="BP15" i="6"/>
  <c r="BQ15" i="6"/>
  <c r="BN19" i="6"/>
  <c r="BO19" i="6"/>
  <c r="BP19" i="6"/>
  <c r="BQ19" i="6"/>
  <c r="BM19" i="6"/>
  <c r="BM20" i="6"/>
  <c r="BO20" i="6"/>
  <c r="BP20" i="6"/>
  <c r="BQ20" i="6"/>
  <c r="BN20" i="6"/>
  <c r="BM22" i="6"/>
  <c r="BN22" i="6"/>
  <c r="BO22" i="6"/>
  <c r="BP22" i="6"/>
  <c r="BQ22" i="6"/>
  <c r="BM23" i="6"/>
  <c r="BN23" i="6"/>
  <c r="BO23" i="6"/>
  <c r="BP23" i="6"/>
  <c r="BQ23" i="6"/>
  <c r="BN24" i="6"/>
  <c r="BM24" i="6"/>
  <c r="BO24" i="6"/>
  <c r="BP24" i="6"/>
  <c r="BQ24" i="6"/>
  <c r="BM28" i="6"/>
  <c r="BN28" i="6"/>
  <c r="BO28" i="6"/>
  <c r="BP28" i="6"/>
  <c r="BQ28" i="6"/>
  <c r="BO16" i="6"/>
  <c r="BP16" i="6"/>
  <c r="BQ16" i="6"/>
  <c r="BM16" i="6"/>
  <c r="BN16" i="6"/>
  <c r="BM18" i="6"/>
  <c r="BN18" i="6"/>
  <c r="BO18" i="6"/>
  <c r="BP18" i="6"/>
  <c r="BQ18" i="6"/>
  <c r="BM14" i="5"/>
  <c r="BN14" i="5"/>
  <c r="BO14" i="5"/>
  <c r="BP14" i="5"/>
  <c r="BQ14" i="5"/>
  <c r="BN17" i="5"/>
  <c r="BP17" i="5"/>
  <c r="BM17" i="5"/>
  <c r="BO17" i="5"/>
  <c r="BQ17" i="5"/>
  <c r="BM24" i="5"/>
  <c r="BN24" i="5"/>
  <c r="BO24" i="5"/>
  <c r="BP24" i="5"/>
  <c r="BQ24" i="5"/>
  <c r="BM26" i="5"/>
  <c r="BO26" i="5"/>
  <c r="BP26" i="5"/>
  <c r="BN26" i="5"/>
  <c r="BQ26" i="5"/>
  <c r="BN27" i="5"/>
  <c r="BP27" i="5"/>
  <c r="BQ27" i="5"/>
  <c r="BM27" i="5"/>
  <c r="BO27" i="5"/>
  <c r="BN28" i="5"/>
  <c r="BP28" i="5"/>
  <c r="BQ28" i="5"/>
  <c r="BM28" i="5"/>
  <c r="BO28" i="5"/>
  <c r="BM15" i="5"/>
  <c r="BN15" i="5"/>
  <c r="BO15" i="5"/>
  <c r="BP15" i="5"/>
  <c r="BQ15" i="5"/>
  <c r="BN16" i="5"/>
  <c r="BP16" i="5"/>
  <c r="BM16" i="5"/>
  <c r="BO16" i="5"/>
  <c r="BQ16" i="5"/>
  <c r="BM18" i="5"/>
  <c r="BO18" i="5"/>
  <c r="BP18" i="5"/>
  <c r="BQ18" i="5"/>
  <c r="BN18" i="5"/>
  <c r="BN20" i="5"/>
  <c r="BP20" i="5"/>
  <c r="BQ20" i="5"/>
  <c r="BM20" i="5"/>
  <c r="BO20" i="5"/>
  <c r="BN23" i="5"/>
  <c r="BP23" i="5"/>
  <c r="BM23" i="5"/>
  <c r="BO23" i="5"/>
  <c r="BQ23" i="5"/>
  <c r="BM25" i="5"/>
  <c r="BN25" i="5"/>
  <c r="BO25" i="5"/>
  <c r="BP25" i="5"/>
  <c r="BQ25" i="5"/>
  <c r="BM13" i="5"/>
  <c r="BN13" i="5"/>
  <c r="BO13" i="5"/>
  <c r="BP13" i="5"/>
  <c r="BQ13" i="5"/>
  <c r="BS18" i="5"/>
  <c r="BS20" i="5"/>
  <c r="BS22" i="5"/>
  <c r="BS25" i="5"/>
  <c r="BS16" i="5"/>
  <c r="BS19" i="5"/>
  <c r="BS27" i="5"/>
  <c r="BS17" i="5"/>
  <c r="BS23" i="5"/>
  <c r="BS24" i="5"/>
  <c r="BS21" i="5"/>
  <c r="BS26" i="5"/>
  <c r="BS28" i="5"/>
  <c r="BO22" i="5"/>
  <c r="BQ22" i="5"/>
  <c r="BM22" i="5"/>
  <c r="BN22" i="5"/>
  <c r="BP22" i="5"/>
  <c r="BM19" i="5"/>
  <c r="BN19" i="5"/>
  <c r="BO19" i="5"/>
  <c r="BP19" i="5"/>
  <c r="BQ19" i="5"/>
  <c r="BP21" i="5"/>
  <c r="BM21" i="5"/>
  <c r="BO21" i="5"/>
  <c r="BQ21" i="5"/>
  <c r="BN21" i="5"/>
  <c r="BP22" i="4"/>
  <c r="BQ22" i="4"/>
  <c r="BM22" i="4"/>
  <c r="BN22" i="4"/>
  <c r="BO22" i="4"/>
  <c r="BP15" i="4"/>
  <c r="BM15" i="4"/>
  <c r="BN15" i="4"/>
  <c r="BO15" i="4"/>
  <c r="BQ15" i="4"/>
  <c r="BM24" i="4"/>
  <c r="BN24" i="4"/>
  <c r="BO24" i="4"/>
  <c r="BP24" i="4"/>
  <c r="BQ24" i="4"/>
  <c r="BN27" i="4"/>
  <c r="BO27" i="4"/>
  <c r="BP27" i="4"/>
  <c r="BQ27" i="4"/>
  <c r="BM27" i="4"/>
  <c r="BN14" i="4"/>
  <c r="BP14" i="4"/>
  <c r="BQ14" i="4"/>
  <c r="BM14" i="4"/>
  <c r="BO14" i="4"/>
  <c r="BM19" i="4"/>
  <c r="BN19" i="4"/>
  <c r="BO19" i="4"/>
  <c r="BP19" i="4"/>
  <c r="BQ19" i="4"/>
  <c r="BN17" i="4"/>
  <c r="BP17" i="4"/>
  <c r="BO17" i="4"/>
  <c r="BM17" i="4"/>
  <c r="BQ17" i="4"/>
  <c r="BN16" i="4"/>
  <c r="BP16" i="4"/>
  <c r="BM16" i="4"/>
  <c r="BO16" i="4"/>
  <c r="BQ16" i="4"/>
  <c r="BM18" i="4"/>
  <c r="BN18" i="4"/>
  <c r="BO18" i="4"/>
  <c r="BP18" i="4"/>
  <c r="BQ18" i="4"/>
  <c r="BO21" i="4"/>
  <c r="BN21" i="4"/>
  <c r="BM21" i="4"/>
  <c r="BP21" i="4"/>
  <c r="BQ21" i="4"/>
  <c r="BM23" i="4"/>
  <c r="BO23" i="4"/>
  <c r="BP23" i="4"/>
  <c r="BQ23" i="4"/>
  <c r="BN23" i="4"/>
  <c r="BN13" i="4"/>
  <c r="BS26" i="4"/>
  <c r="BS28" i="4"/>
  <c r="BS19" i="4"/>
  <c r="BS22" i="4"/>
  <c r="BS24" i="4"/>
  <c r="BS25" i="4"/>
  <c r="BS20" i="4"/>
  <c r="BS27" i="4"/>
  <c r="BS17" i="4"/>
  <c r="BS21" i="4"/>
  <c r="BM13" i="4"/>
  <c r="BO13" i="4"/>
  <c r="BP13" i="4"/>
  <c r="BQ13" i="4"/>
  <c r="BS18" i="4"/>
  <c r="BS23" i="4"/>
  <c r="BN25" i="4"/>
  <c r="BO25" i="4"/>
  <c r="BQ25" i="4"/>
  <c r="BM25" i="4"/>
  <c r="BP25" i="4"/>
  <c r="BN28" i="4"/>
  <c r="BP28" i="4"/>
  <c r="BQ28" i="4"/>
  <c r="BM28" i="4"/>
  <c r="BO28" i="4"/>
  <c r="BO20" i="4"/>
  <c r="BM20" i="4"/>
  <c r="BP20" i="4"/>
  <c r="BQ20" i="4"/>
  <c r="BN20" i="4"/>
  <c r="BM26" i="4"/>
  <c r="BN26" i="4"/>
  <c r="BO26" i="4"/>
  <c r="BP26" i="4"/>
  <c r="BQ26" i="4"/>
  <c r="F17" i="11"/>
  <c r="F15" i="11"/>
  <c r="F40" i="11"/>
  <c r="F13" i="11"/>
  <c r="F16" i="11"/>
  <c r="F12" i="11"/>
  <c r="F41" i="11"/>
  <c r="F9" i="11"/>
  <c r="F29" i="11"/>
  <c r="F32" i="11"/>
  <c r="F8" i="11"/>
  <c r="F19" i="11"/>
  <c r="F20" i="11"/>
  <c r="F34" i="11"/>
  <c r="F10" i="11"/>
  <c r="F25" i="11"/>
  <c r="F27" i="11"/>
  <c r="F24" i="11"/>
  <c r="F38" i="11"/>
  <c r="F37" i="11"/>
  <c r="F28" i="11"/>
  <c r="F26" i="11"/>
  <c r="F30" i="11"/>
  <c r="F14" i="11"/>
  <c r="F35" i="11"/>
  <c r="F21" i="11"/>
  <c r="F22" i="11"/>
  <c r="F18" i="11"/>
  <c r="F36" i="11"/>
  <c r="F7" i="11"/>
  <c r="F31" i="11"/>
  <c r="F23" i="11"/>
  <c r="F33" i="11"/>
  <c r="F39" i="11"/>
  <c r="I26" i="3"/>
  <c r="I27" i="3" s="1"/>
  <c r="I28" i="3" s="1"/>
  <c r="I29" i="3" s="1"/>
  <c r="I30" i="3" s="1"/>
  <c r="I31" i="3" s="1"/>
  <c r="I32" i="3" s="1"/>
  <c r="I33" i="3" s="1"/>
  <c r="I34" i="3" s="1"/>
  <c r="I35" i="3" s="1"/>
  <c r="I36" i="3" s="1"/>
  <c r="I37" i="3" s="1"/>
  <c r="I38" i="3" s="1"/>
  <c r="I39" i="3" s="1"/>
  <c r="I40" i="3" s="1"/>
  <c r="I41" i="3" s="1"/>
  <c r="I42" i="3" s="1"/>
  <c r="I43" i="3" s="1"/>
  <c r="I44" i="3" s="1"/>
  <c r="I45" i="3" s="1"/>
  <c r="I46" i="3" s="1"/>
  <c r="I47" i="3" s="1"/>
  <c r="I48" i="3" s="1"/>
  <c r="I49" i="3" s="1"/>
  <c r="I67" i="3" s="1"/>
  <c r="I68" i="3" s="1"/>
  <c r="I69" i="3" s="1"/>
  <c r="I70" i="3" s="1"/>
  <c r="I71" i="3" s="1"/>
  <c r="I72" i="3" s="1"/>
  <c r="I73" i="3" s="1"/>
  <c r="I74" i="3" s="1"/>
  <c r="I75" i="3" s="1"/>
  <c r="I76" i="3" s="1"/>
  <c r="I77" i="3" s="1"/>
  <c r="I78" i="3" s="1"/>
  <c r="I79" i="3" s="1"/>
  <c r="I80" i="3" s="1"/>
  <c r="I81" i="3" s="1"/>
  <c r="I94" i="3" s="1"/>
  <c r="I95" i="3" s="1"/>
  <c r="I96" i="3" s="1"/>
  <c r="I97" i="3" s="1"/>
  <c r="I98" i="3" s="1"/>
  <c r="I99" i="3" s="1"/>
  <c r="I100" i="3" s="1"/>
  <c r="I101" i="3" s="1"/>
  <c r="I102" i="3" s="1"/>
  <c r="I103" i="3" s="1"/>
  <c r="I104" i="3" s="1"/>
  <c r="I105" i="3" s="1"/>
  <c r="I106" i="3" s="1"/>
  <c r="I107" i="3" s="1"/>
  <c r="I108" i="3" s="1"/>
  <c r="I109" i="3" s="1"/>
  <c r="I110" i="3" s="1"/>
  <c r="I111" i="3" s="1"/>
  <c r="CA94" i="6" l="1" a="1"/>
  <c r="CA93" i="6" a="1"/>
  <c r="CA92" i="6" a="1"/>
  <c r="CA91" i="6" a="1"/>
  <c r="CA89" i="6" a="1"/>
  <c r="CA88" i="6" a="1"/>
  <c r="CA87" i="6" a="1"/>
  <c r="CA85" i="6" a="1"/>
  <c r="CA84" i="6" a="1"/>
  <c r="CA82" i="6" a="1"/>
  <c r="CA79" i="6" a="1"/>
  <c r="CA77" i="6" a="1"/>
  <c r="CA75" i="6" a="1"/>
  <c r="CA74" i="6" a="1"/>
  <c r="CA73" i="6" a="1"/>
  <c r="CA95" i="6" a="1"/>
  <c r="CA90" i="6" a="1"/>
  <c r="CA86" i="6" a="1"/>
  <c r="CA83" i="6" a="1"/>
  <c r="CA81" i="6" a="1"/>
  <c r="CA80" i="6" a="1"/>
  <c r="CA78" i="6" a="1"/>
  <c r="CA76" i="6" a="1"/>
  <c r="CA72" i="6" a="1"/>
  <c r="CB94" i="5" a="1"/>
  <c r="CB75" i="5" a="1"/>
  <c r="CB95" i="5" a="1"/>
  <c r="CB78" i="5" a="1"/>
  <c r="CB89" i="5" a="1"/>
  <c r="CB81" i="5" a="1"/>
  <c r="CB85" i="5" a="1"/>
  <c r="CB83" i="5" a="1"/>
  <c r="CB86" i="5" a="1"/>
  <c r="CB88" i="5" a="1"/>
  <c r="CB93" i="5" a="1"/>
  <c r="CB79" i="5" a="1"/>
  <c r="CB87" i="5" a="1"/>
  <c r="CB82" i="5" a="1"/>
  <c r="CB92" i="5" a="1"/>
  <c r="CB77" i="5" a="1"/>
  <c r="CB84" i="5" a="1"/>
  <c r="CB76" i="5" a="1"/>
  <c r="CB91" i="5" a="1"/>
  <c r="CB80" i="5" a="1"/>
  <c r="CB74" i="5" a="1"/>
  <c r="CB73" i="5" a="1"/>
  <c r="CB90" i="5" a="1"/>
  <c r="CB72" i="5" a="1"/>
  <c r="CC95" i="5" a="1"/>
  <c r="CC86" i="5" a="1"/>
  <c r="CC94" i="5" a="1"/>
  <c r="CC78" i="5" a="1"/>
  <c r="CC93" i="5" a="1"/>
  <c r="CC82" i="5" a="1"/>
  <c r="CC92" i="5" a="1"/>
  <c r="CC79" i="5" a="1"/>
  <c r="CC91" i="5" a="1"/>
  <c r="CC85" i="5" a="1"/>
  <c r="CC90" i="5" a="1"/>
  <c r="CC80" i="5" a="1"/>
  <c r="CC77" i="5" a="1"/>
  <c r="CC81" i="5" a="1"/>
  <c r="CC76" i="5" a="1"/>
  <c r="CC83" i="5" a="1"/>
  <c r="CC75" i="5" a="1"/>
  <c r="CC84" i="5" a="1"/>
  <c r="CC74" i="5" a="1"/>
  <c r="CC87" i="5" a="1"/>
  <c r="CC73" i="5" a="1"/>
  <c r="CC88" i="5" a="1"/>
  <c r="CC72" i="5" a="1"/>
  <c r="CC89" i="5" a="1"/>
  <c r="CD83" i="5" a="1"/>
  <c r="CD82" i="5" a="1"/>
  <c r="CD81" i="5" a="1"/>
  <c r="CD80" i="5" a="1"/>
  <c r="CD79" i="5" a="1"/>
  <c r="CD78" i="5" a="1"/>
  <c r="CD77" i="5" a="1"/>
  <c r="CD95" i="5" a="1"/>
  <c r="CD94" i="5" a="1"/>
  <c r="CD76" i="5" a="1"/>
  <c r="CD93" i="5" a="1"/>
  <c r="CD92" i="5" a="1"/>
  <c r="CD75" i="5" a="1"/>
  <c r="CD91" i="5" a="1"/>
  <c r="CD90" i="5" a="1"/>
  <c r="CD74" i="5" a="1"/>
  <c r="CD89" i="5" a="1"/>
  <c r="CD88" i="5" a="1"/>
  <c r="CD73" i="5" a="1"/>
  <c r="CD87" i="5" a="1"/>
  <c r="CD86" i="5" a="1"/>
  <c r="CD72" i="5" a="1"/>
  <c r="CD85" i="5" a="1"/>
  <c r="CD84" i="5" a="1"/>
  <c r="CA87" i="5" a="1"/>
  <c r="CA82" i="5" a="1"/>
  <c r="CA85" i="5" a="1"/>
  <c r="CA77" i="5" a="1"/>
  <c r="CA88" i="5" a="1"/>
  <c r="CA89" i="5" a="1"/>
  <c r="CA81" i="5" a="1"/>
  <c r="CA76" i="5" a="1"/>
  <c r="CA83" i="5" a="1"/>
  <c r="CA90" i="5" a="1"/>
  <c r="CA91" i="5" a="1"/>
  <c r="CA75" i="5" a="1"/>
  <c r="CA80" i="5" a="1"/>
  <c r="CA84" i="5" a="1"/>
  <c r="CA92" i="5" a="1"/>
  <c r="CA74" i="5" a="1"/>
  <c r="CA93" i="5" a="1"/>
  <c r="CA79" i="5" a="1"/>
  <c r="CA86" i="5" a="1"/>
  <c r="CA73" i="5" a="1"/>
  <c r="CA94" i="5" a="1"/>
  <c r="CA95" i="5" a="1"/>
  <c r="CA78" i="5" a="1"/>
  <c r="CA72" i="5" a="1"/>
  <c r="CC87" i="4" a="1"/>
  <c r="O87" i="4" s="1"/>
  <c r="CC90" i="4" a="1"/>
  <c r="O90" i="4" s="1"/>
  <c r="CC79" i="4" a="1"/>
  <c r="O79" i="4" s="1"/>
  <c r="CC91" i="4" a="1"/>
  <c r="O91" i="4" s="1"/>
  <c r="CC95" i="4" a="1"/>
  <c r="O95" i="4" s="1"/>
  <c r="CC93" i="4" a="1"/>
  <c r="O93" i="4" s="1"/>
  <c r="CC89" i="4" a="1"/>
  <c r="O89" i="4" s="1"/>
  <c r="CC84" i="4" a="1"/>
  <c r="O84" i="4" s="1"/>
  <c r="CC78" i="4" a="1"/>
  <c r="O78" i="4" s="1"/>
  <c r="CC77" i="4" a="1"/>
  <c r="O77" i="4" s="1"/>
  <c r="CC88" i="4" a="1"/>
  <c r="O88" i="4" s="1"/>
  <c r="CC83" i="4" a="1"/>
  <c r="O83" i="4" s="1"/>
  <c r="CC92" i="4" a="1"/>
  <c r="O92" i="4" s="1"/>
  <c r="CC82" i="4" a="1"/>
  <c r="O82" i="4" s="1"/>
  <c r="CC94" i="4" a="1"/>
  <c r="O94" i="4" s="1"/>
  <c r="CC86" i="4" a="1"/>
  <c r="O86" i="4" s="1"/>
  <c r="CC85" i="4" a="1"/>
  <c r="O85" i="4" s="1"/>
  <c r="CC72" i="4" a="1"/>
  <c r="CC81" i="4" a="1"/>
  <c r="O81" i="4" s="1"/>
  <c r="CC80" i="4" a="1"/>
  <c r="O80" i="4" s="1"/>
  <c r="CC76" i="4" a="1"/>
  <c r="O76" i="4" s="1"/>
  <c r="CC75" i="4" a="1"/>
  <c r="O75" i="4" s="1"/>
  <c r="CC74" i="4" a="1"/>
  <c r="O74" i="4" s="1"/>
  <c r="CC73" i="4" a="1"/>
  <c r="O73" i="4" s="1"/>
  <c r="CB87" i="4" a="1"/>
  <c r="I87" i="4" s="1"/>
  <c r="CB95" i="4" a="1"/>
  <c r="I95" i="4" s="1"/>
  <c r="CB94" i="4" a="1"/>
  <c r="I94" i="4" s="1"/>
  <c r="CB84" i="4" a="1"/>
  <c r="I84" i="4" s="1"/>
  <c r="CB93" i="4" a="1"/>
  <c r="I93" i="4" s="1"/>
  <c r="CB74" i="4" a="1"/>
  <c r="I74" i="4" s="1"/>
  <c r="CB81" i="4" a="1"/>
  <c r="I81" i="4" s="1"/>
  <c r="CB75" i="4" a="1"/>
  <c r="I75" i="4" s="1"/>
  <c r="CB92" i="4" a="1"/>
  <c r="I92" i="4" s="1"/>
  <c r="CB91" i="4" a="1"/>
  <c r="I91" i="4" s="1"/>
  <c r="CB72" i="4" a="1"/>
  <c r="CB89" i="4" a="1"/>
  <c r="I89" i="4" s="1"/>
  <c r="CB78" i="4" a="1"/>
  <c r="I78" i="4" s="1"/>
  <c r="CB83" i="4" a="1"/>
  <c r="I83" i="4" s="1"/>
  <c r="CB82" i="4" a="1"/>
  <c r="I82" i="4" s="1"/>
  <c r="CB88" i="4" a="1"/>
  <c r="I88" i="4" s="1"/>
  <c r="CB77" i="4" a="1"/>
  <c r="I77" i="4" s="1"/>
  <c r="CB85" i="4" a="1"/>
  <c r="I85" i="4" s="1"/>
  <c r="CB79" i="4" a="1"/>
  <c r="I79" i="4" s="1"/>
  <c r="CB73" i="4" a="1"/>
  <c r="I73" i="4" s="1"/>
  <c r="CB86" i="4" a="1"/>
  <c r="I86" i="4" s="1"/>
  <c r="CB76" i="4" a="1"/>
  <c r="I76" i="4" s="1"/>
  <c r="CB90" i="4" a="1"/>
  <c r="I90" i="4" s="1"/>
  <c r="CB80" i="4" a="1"/>
  <c r="I80" i="4" s="1"/>
  <c r="CD89" i="4" a="1"/>
  <c r="U89" i="4" s="1"/>
  <c r="CD92" i="4" a="1"/>
  <c r="U92" i="4" s="1"/>
  <c r="CD90" i="4" a="1"/>
  <c r="U90" i="4" s="1"/>
  <c r="CD94" i="4" a="1"/>
  <c r="U94" i="4" s="1"/>
  <c r="CD93" i="4" a="1"/>
  <c r="U93" i="4" s="1"/>
  <c r="CD91" i="4" a="1"/>
  <c r="U91" i="4" s="1"/>
  <c r="CD84" i="4" a="1"/>
  <c r="U84" i="4" s="1"/>
  <c r="CD95" i="4" a="1"/>
  <c r="U95" i="4" s="1"/>
  <c r="CD83" i="4" a="1"/>
  <c r="U83" i="4" s="1"/>
  <c r="CD88" i="4" a="1"/>
  <c r="U88" i="4" s="1"/>
  <c r="CD82" i="4" a="1"/>
  <c r="U82" i="4" s="1"/>
  <c r="CD87" i="4" a="1"/>
  <c r="U87" i="4" s="1"/>
  <c r="CD86" i="4" a="1"/>
  <c r="U86" i="4" s="1"/>
  <c r="CD85" i="4" a="1"/>
  <c r="U85" i="4" s="1"/>
  <c r="CD81" i="4" a="1"/>
  <c r="U81" i="4" s="1"/>
  <c r="CD79" i="4" a="1"/>
  <c r="U79" i="4" s="1"/>
  <c r="CD80" i="4" a="1"/>
  <c r="U80" i="4" s="1"/>
  <c r="CD78" i="4" a="1"/>
  <c r="U78" i="4" s="1"/>
  <c r="CD77" i="4" a="1"/>
  <c r="U77" i="4" s="1"/>
  <c r="CD76" i="4" a="1"/>
  <c r="U76" i="4" s="1"/>
  <c r="CD75" i="4" a="1"/>
  <c r="U75" i="4" s="1"/>
  <c r="CD74" i="4" a="1"/>
  <c r="U74" i="4" s="1"/>
  <c r="CD73" i="4" a="1"/>
  <c r="U73" i="4" s="1"/>
  <c r="CD72" i="4" a="1"/>
  <c r="CA92" i="4" a="1"/>
  <c r="C92" i="4" s="1"/>
  <c r="CA90" i="4" a="1"/>
  <c r="C90" i="4" s="1"/>
  <c r="CA95" i="4" a="1"/>
  <c r="C95" i="4" s="1"/>
  <c r="CA85" i="4" a="1"/>
  <c r="C85" i="4" s="1"/>
  <c r="CA78" i="4" a="1"/>
  <c r="C78" i="4" s="1"/>
  <c r="CA81" i="4" a="1"/>
  <c r="C81" i="4" s="1"/>
  <c r="CA89" i="4" a="1"/>
  <c r="C89" i="4" s="1"/>
  <c r="CA91" i="4" a="1"/>
  <c r="C91" i="4" s="1"/>
  <c r="CA88" i="4" a="1"/>
  <c r="C88" i="4" s="1"/>
  <c r="CA93" i="4" a="1"/>
  <c r="C93" i="4" s="1"/>
  <c r="CA87" i="4" a="1"/>
  <c r="C87" i="4" s="1"/>
  <c r="CA84" i="4" a="1"/>
  <c r="C84" i="4" s="1"/>
  <c r="CA80" i="4" a="1"/>
  <c r="C80" i="4" s="1"/>
  <c r="CA77" i="4" a="1"/>
  <c r="C77" i="4" s="1"/>
  <c r="CA86" i="4" a="1"/>
  <c r="C86" i="4" s="1"/>
  <c r="CA76" i="4" a="1"/>
  <c r="C76" i="4" s="1"/>
  <c r="CA94" i="4" a="1"/>
  <c r="C94" i="4" s="1"/>
  <c r="CA75" i="4" a="1"/>
  <c r="C75" i="4" s="1"/>
  <c r="CA82" i="4" a="1"/>
  <c r="C82" i="4" s="1"/>
  <c r="CA74" i="4" a="1"/>
  <c r="C74" i="4" s="1"/>
  <c r="CA79" i="4" a="1"/>
  <c r="C79" i="4" s="1"/>
  <c r="CA73" i="4" a="1"/>
  <c r="C73" i="4" s="1"/>
  <c r="CA83" i="4" a="1"/>
  <c r="C83" i="4" s="1"/>
  <c r="CA72" i="4" a="1"/>
  <c r="AQ4" i="8"/>
  <c r="BR13" i="8"/>
  <c r="AQ16" i="8"/>
  <c r="AC16" i="2" s="1"/>
  <c r="AQ17" i="8"/>
  <c r="AC17" i="2" s="1"/>
  <c r="AQ18" i="8"/>
  <c r="AC18" i="2" s="1"/>
  <c r="AQ19" i="8"/>
  <c r="AC19" i="2" s="1"/>
  <c r="AQ20" i="8"/>
  <c r="AC20" i="2" s="1"/>
  <c r="AQ21" i="8"/>
  <c r="AC21" i="2" s="1"/>
  <c r="AQ22" i="8"/>
  <c r="AC22" i="2" s="1"/>
  <c r="AQ23" i="8"/>
  <c r="AC23" i="2" s="1"/>
  <c r="C72" i="8"/>
  <c r="BR14" i="8"/>
  <c r="I72" i="8"/>
  <c r="BR15" i="8"/>
  <c r="O72" i="8"/>
  <c r="BR16" i="8"/>
  <c r="U72" i="8"/>
  <c r="BR17" i="8"/>
  <c r="C100" i="8"/>
  <c r="BR18" i="8"/>
  <c r="I100" i="8"/>
  <c r="BR19" i="8"/>
  <c r="O100" i="8"/>
  <c r="BR20" i="8"/>
  <c r="U100" i="8"/>
  <c r="BR21" i="8"/>
  <c r="C128" i="8"/>
  <c r="BR28" i="8"/>
  <c r="U156" i="8"/>
  <c r="BR22" i="8"/>
  <c r="I128" i="8"/>
  <c r="BR23" i="8"/>
  <c r="O128" i="8"/>
  <c r="BR24" i="8"/>
  <c r="U128" i="8"/>
  <c r="BR25" i="8"/>
  <c r="C156" i="8"/>
  <c r="BR26" i="8"/>
  <c r="I156" i="8"/>
  <c r="BR27" i="8"/>
  <c r="O156" i="8"/>
  <c r="E100" i="6"/>
  <c r="E101" i="6"/>
  <c r="F102" i="6"/>
  <c r="E103" i="6"/>
  <c r="D104" i="6"/>
  <c r="F104" i="6"/>
  <c r="E105" i="6"/>
  <c r="C105" i="6"/>
  <c r="D106" i="6"/>
  <c r="F106" i="6"/>
  <c r="C106" i="6"/>
  <c r="D110" i="6"/>
  <c r="F101" i="6"/>
  <c r="E102" i="6"/>
  <c r="C102" i="6"/>
  <c r="C104" i="6"/>
  <c r="F105" i="6"/>
  <c r="E109" i="6"/>
  <c r="E110" i="6"/>
  <c r="E111" i="6"/>
  <c r="B98" i="6"/>
  <c r="D103" i="6"/>
  <c r="F103" i="6"/>
  <c r="C103" i="6"/>
  <c r="E104" i="6"/>
  <c r="D105" i="6"/>
  <c r="E106" i="6"/>
  <c r="C107" i="6"/>
  <c r="D108" i="6"/>
  <c r="F108" i="6"/>
  <c r="D111" i="6"/>
  <c r="F111" i="6"/>
  <c r="C113" i="6"/>
  <c r="D114" i="6"/>
  <c r="E114" i="6"/>
  <c r="F114" i="6"/>
  <c r="C114" i="6"/>
  <c r="D115" i="6"/>
  <c r="E115" i="6"/>
  <c r="F115" i="6"/>
  <c r="C115" i="6"/>
  <c r="D116" i="6"/>
  <c r="E116" i="6"/>
  <c r="F116" i="6"/>
  <c r="C116" i="6"/>
  <c r="D117" i="6"/>
  <c r="E117" i="6"/>
  <c r="F117" i="6"/>
  <c r="C117" i="6"/>
  <c r="D118" i="6"/>
  <c r="E118" i="6"/>
  <c r="F118" i="6"/>
  <c r="C118" i="6"/>
  <c r="E119" i="6"/>
  <c r="C119" i="6"/>
  <c r="D120" i="6"/>
  <c r="F120" i="6"/>
  <c r="C120" i="6"/>
  <c r="E121" i="6"/>
  <c r="C121" i="6"/>
  <c r="E122" i="6"/>
  <c r="C122" i="6"/>
  <c r="E123" i="6"/>
  <c r="F123" i="6"/>
  <c r="C123" i="6"/>
  <c r="C111" i="6"/>
  <c r="D112" i="6"/>
  <c r="E112" i="6"/>
  <c r="F112" i="6"/>
  <c r="C112" i="6"/>
  <c r="D113" i="6"/>
  <c r="E113" i="6"/>
  <c r="F113" i="6"/>
  <c r="D119" i="6"/>
  <c r="F119" i="6"/>
  <c r="E120" i="6"/>
  <c r="D121" i="6"/>
  <c r="F121" i="6"/>
  <c r="D122" i="6"/>
  <c r="F122" i="6"/>
  <c r="D123" i="6"/>
  <c r="D100" i="6"/>
  <c r="F100" i="6"/>
  <c r="D101" i="6"/>
  <c r="C101" i="6"/>
  <c r="D102" i="6"/>
  <c r="D107" i="6"/>
  <c r="E107" i="6"/>
  <c r="F107" i="6"/>
  <c r="E108" i="6"/>
  <c r="C108" i="6"/>
  <c r="D109" i="6"/>
  <c r="F109" i="6"/>
  <c r="C109" i="6"/>
  <c r="F110" i="6"/>
  <c r="C110" i="6"/>
  <c r="D173" i="6"/>
  <c r="E175" i="6"/>
  <c r="F176" i="6"/>
  <c r="D177" i="6"/>
  <c r="E178" i="6"/>
  <c r="C178" i="6"/>
  <c r="F179" i="6"/>
  <c r="C179" i="6"/>
  <c r="C172" i="6"/>
  <c r="C173" i="6"/>
  <c r="C174" i="6"/>
  <c r="E176" i="6"/>
  <c r="F177" i="6"/>
  <c r="E173" i="6"/>
  <c r="D174" i="6"/>
  <c r="F174" i="6"/>
  <c r="F175" i="6"/>
  <c r="C175" i="6"/>
  <c r="D176" i="6"/>
  <c r="C176" i="6"/>
  <c r="E177" i="6"/>
  <c r="C177" i="6"/>
  <c r="D178" i="6"/>
  <c r="F178" i="6"/>
  <c r="D179" i="6"/>
  <c r="E179" i="6"/>
  <c r="B154" i="6"/>
  <c r="D156" i="6"/>
  <c r="E156" i="6"/>
  <c r="F156" i="6"/>
  <c r="D157" i="6"/>
  <c r="E157" i="6"/>
  <c r="F157" i="6"/>
  <c r="C157" i="6"/>
  <c r="D158" i="6"/>
  <c r="E158" i="6"/>
  <c r="F158" i="6"/>
  <c r="C158" i="6"/>
  <c r="D159" i="6"/>
  <c r="E159" i="6"/>
  <c r="F159" i="6"/>
  <c r="C159" i="6"/>
  <c r="D160" i="6"/>
  <c r="E160" i="6"/>
  <c r="F160" i="6"/>
  <c r="C160" i="6"/>
  <c r="D161" i="6"/>
  <c r="E161" i="6"/>
  <c r="F161" i="6"/>
  <c r="C161" i="6"/>
  <c r="D162" i="6"/>
  <c r="E162" i="6"/>
  <c r="F162" i="6"/>
  <c r="C162" i="6"/>
  <c r="D163" i="6"/>
  <c r="E163" i="6"/>
  <c r="F163" i="6"/>
  <c r="C163" i="6"/>
  <c r="D164" i="6"/>
  <c r="E164" i="6"/>
  <c r="F164" i="6"/>
  <c r="C164" i="6"/>
  <c r="D165" i="6"/>
  <c r="E165" i="6"/>
  <c r="F165" i="6"/>
  <c r="C165" i="6"/>
  <c r="D166" i="6"/>
  <c r="E166" i="6"/>
  <c r="F166" i="6"/>
  <c r="C166" i="6"/>
  <c r="D167" i="6"/>
  <c r="E167" i="6"/>
  <c r="F167" i="6"/>
  <c r="C167" i="6"/>
  <c r="D168" i="6"/>
  <c r="E168" i="6"/>
  <c r="F168" i="6"/>
  <c r="C168" i="6"/>
  <c r="D169" i="6"/>
  <c r="E169" i="6"/>
  <c r="F169" i="6"/>
  <c r="C169" i="6"/>
  <c r="D170" i="6"/>
  <c r="E170" i="6"/>
  <c r="F170" i="6"/>
  <c r="C170" i="6"/>
  <c r="D171" i="6"/>
  <c r="E171" i="6"/>
  <c r="F171" i="6"/>
  <c r="C171" i="6"/>
  <c r="D172" i="6"/>
  <c r="E172" i="6"/>
  <c r="F172" i="6"/>
  <c r="F173" i="6"/>
  <c r="E174" i="6"/>
  <c r="D175" i="6"/>
  <c r="D128" i="6"/>
  <c r="F128" i="6"/>
  <c r="D130" i="6"/>
  <c r="F130" i="6"/>
  <c r="C130" i="6"/>
  <c r="E131" i="6"/>
  <c r="C131" i="6"/>
  <c r="D132" i="6"/>
  <c r="E132" i="6"/>
  <c r="F132" i="6"/>
  <c r="D133" i="6"/>
  <c r="F133" i="6"/>
  <c r="C133" i="6"/>
  <c r="E134" i="6"/>
  <c r="C134" i="6"/>
  <c r="E135" i="6"/>
  <c r="C135" i="6"/>
  <c r="E136" i="6"/>
  <c r="D137" i="6"/>
  <c r="B126" i="6"/>
  <c r="E128" i="6"/>
  <c r="D129" i="6"/>
  <c r="E129" i="6"/>
  <c r="F129" i="6"/>
  <c r="C129" i="6"/>
  <c r="E130" i="6"/>
  <c r="D131" i="6"/>
  <c r="F131" i="6"/>
  <c r="C132" i="6"/>
  <c r="E133" i="6"/>
  <c r="D134" i="6"/>
  <c r="F134" i="6"/>
  <c r="D135" i="6"/>
  <c r="F135" i="6"/>
  <c r="D136" i="6"/>
  <c r="F136" i="6"/>
  <c r="C136" i="6"/>
  <c r="E137" i="6"/>
  <c r="F137" i="6"/>
  <c r="C137" i="6"/>
  <c r="D138" i="6"/>
  <c r="E138" i="6"/>
  <c r="F138" i="6"/>
  <c r="C138" i="6"/>
  <c r="D139" i="6"/>
  <c r="E139" i="6"/>
  <c r="F139" i="6"/>
  <c r="C139" i="6"/>
  <c r="D140" i="6"/>
  <c r="E140" i="6"/>
  <c r="F140" i="6"/>
  <c r="C140" i="6"/>
  <c r="D141" i="6"/>
  <c r="E141" i="6"/>
  <c r="F141" i="6"/>
  <c r="C141" i="6"/>
  <c r="D142" i="6"/>
  <c r="E142" i="6"/>
  <c r="F142" i="6"/>
  <c r="C142" i="6"/>
  <c r="D143" i="6"/>
  <c r="E143" i="6"/>
  <c r="F143" i="6"/>
  <c r="C143" i="6"/>
  <c r="D144" i="6"/>
  <c r="E144" i="6"/>
  <c r="F144" i="6"/>
  <c r="C144" i="6"/>
  <c r="D145" i="6"/>
  <c r="E145" i="6"/>
  <c r="F145" i="6"/>
  <c r="C145" i="6"/>
  <c r="D146" i="6"/>
  <c r="E146" i="6"/>
  <c r="F146" i="6"/>
  <c r="C146" i="6"/>
  <c r="D147" i="6"/>
  <c r="E147" i="6"/>
  <c r="F147" i="6"/>
  <c r="C147" i="6"/>
  <c r="D148" i="6"/>
  <c r="E148" i="6"/>
  <c r="F148" i="6"/>
  <c r="C148" i="6"/>
  <c r="D149" i="6"/>
  <c r="E149" i="6"/>
  <c r="F149" i="6"/>
  <c r="C149" i="6"/>
  <c r="D150" i="6"/>
  <c r="E150" i="6"/>
  <c r="F150" i="6"/>
  <c r="C150" i="6"/>
  <c r="D151" i="6"/>
  <c r="E151" i="6"/>
  <c r="F151" i="6"/>
  <c r="C151" i="6"/>
  <c r="J173" i="6"/>
  <c r="L175" i="6"/>
  <c r="J176" i="6"/>
  <c r="L177" i="6"/>
  <c r="I177" i="6"/>
  <c r="L178" i="6"/>
  <c r="J179" i="6"/>
  <c r="I172" i="6"/>
  <c r="L173" i="6"/>
  <c r="J174" i="6"/>
  <c r="K174" i="6"/>
  <c r="L174" i="6"/>
  <c r="I174" i="6"/>
  <c r="J175" i="6"/>
  <c r="K177" i="6"/>
  <c r="J178" i="6"/>
  <c r="I178" i="6"/>
  <c r="K179" i="6"/>
  <c r="L179" i="6"/>
  <c r="I179" i="6"/>
  <c r="H154" i="6"/>
  <c r="J156" i="6"/>
  <c r="K156" i="6"/>
  <c r="L156" i="6"/>
  <c r="J157" i="6"/>
  <c r="K157" i="6"/>
  <c r="L157" i="6"/>
  <c r="I157" i="6"/>
  <c r="J158" i="6"/>
  <c r="K158" i="6"/>
  <c r="L158" i="6"/>
  <c r="I158" i="6"/>
  <c r="J159" i="6"/>
  <c r="K159" i="6"/>
  <c r="L159" i="6"/>
  <c r="I159" i="6"/>
  <c r="J160" i="6"/>
  <c r="K160" i="6"/>
  <c r="L160" i="6"/>
  <c r="I160" i="6"/>
  <c r="J161" i="6"/>
  <c r="K161" i="6"/>
  <c r="L161" i="6"/>
  <c r="I161" i="6"/>
  <c r="J162" i="6"/>
  <c r="K162" i="6"/>
  <c r="L162" i="6"/>
  <c r="I162" i="6"/>
  <c r="J163" i="6"/>
  <c r="K163" i="6"/>
  <c r="L163" i="6"/>
  <c r="I163" i="6"/>
  <c r="J164" i="6"/>
  <c r="K164" i="6"/>
  <c r="L164" i="6"/>
  <c r="I164" i="6"/>
  <c r="J165" i="6"/>
  <c r="K165" i="6"/>
  <c r="L165" i="6"/>
  <c r="I165" i="6"/>
  <c r="J166" i="6"/>
  <c r="K166" i="6"/>
  <c r="L166" i="6"/>
  <c r="I166" i="6"/>
  <c r="J167" i="6"/>
  <c r="K167" i="6"/>
  <c r="L167" i="6"/>
  <c r="I167" i="6"/>
  <c r="J168" i="6"/>
  <c r="K168" i="6"/>
  <c r="L168" i="6"/>
  <c r="I168" i="6"/>
  <c r="J169" i="6"/>
  <c r="K169" i="6"/>
  <c r="L169" i="6"/>
  <c r="I169" i="6"/>
  <c r="J170" i="6"/>
  <c r="K170" i="6"/>
  <c r="L170" i="6"/>
  <c r="I170" i="6"/>
  <c r="J171" i="6"/>
  <c r="K171" i="6"/>
  <c r="L171" i="6"/>
  <c r="I171" i="6"/>
  <c r="J172" i="6"/>
  <c r="K172" i="6"/>
  <c r="L172" i="6"/>
  <c r="I173" i="6"/>
  <c r="K175" i="6"/>
  <c r="K176" i="6"/>
  <c r="K173" i="6"/>
  <c r="I175" i="6"/>
  <c r="L176" i="6"/>
  <c r="I176" i="6"/>
  <c r="J177" i="6"/>
  <c r="K178" i="6"/>
  <c r="R173" i="6"/>
  <c r="Q175" i="6"/>
  <c r="P177" i="6"/>
  <c r="Q177" i="6"/>
  <c r="Q179" i="6"/>
  <c r="O173" i="6"/>
  <c r="P174" i="6"/>
  <c r="R174" i="6"/>
  <c r="O174" i="6"/>
  <c r="O175" i="6"/>
  <c r="R176" i="6"/>
  <c r="O176" i="6"/>
  <c r="O177" i="6"/>
  <c r="R178" i="6"/>
  <c r="O178" i="6"/>
  <c r="P179" i="6"/>
  <c r="N154" i="6"/>
  <c r="P156" i="6"/>
  <c r="Q156" i="6"/>
  <c r="R156" i="6"/>
  <c r="P157" i="6"/>
  <c r="Q157" i="6"/>
  <c r="R157" i="6"/>
  <c r="O157" i="6"/>
  <c r="P158" i="6"/>
  <c r="Q158" i="6"/>
  <c r="R158" i="6"/>
  <c r="O158" i="6"/>
  <c r="P159" i="6"/>
  <c r="Q159" i="6"/>
  <c r="R159" i="6"/>
  <c r="O159" i="6"/>
  <c r="P160" i="6"/>
  <c r="Q160" i="6"/>
  <c r="R160" i="6"/>
  <c r="O160" i="6"/>
  <c r="P161" i="6"/>
  <c r="Q161" i="6"/>
  <c r="R161" i="6"/>
  <c r="O161" i="6"/>
  <c r="P162" i="6"/>
  <c r="Q162" i="6"/>
  <c r="R162" i="6"/>
  <c r="O162" i="6"/>
  <c r="P163" i="6"/>
  <c r="Q163" i="6"/>
  <c r="R163" i="6"/>
  <c r="O163" i="6"/>
  <c r="P164" i="6"/>
  <c r="Q164" i="6"/>
  <c r="R164" i="6"/>
  <c r="O164" i="6"/>
  <c r="P165" i="6"/>
  <c r="Q165" i="6"/>
  <c r="R165" i="6"/>
  <c r="O165" i="6"/>
  <c r="P166" i="6"/>
  <c r="Q166" i="6"/>
  <c r="R166" i="6"/>
  <c r="O166" i="6"/>
  <c r="P167" i="6"/>
  <c r="Q167" i="6"/>
  <c r="R167" i="6"/>
  <c r="O167" i="6"/>
  <c r="P168" i="6"/>
  <c r="Q168" i="6"/>
  <c r="R168" i="6"/>
  <c r="O168" i="6"/>
  <c r="P169" i="6"/>
  <c r="Q169" i="6"/>
  <c r="R169" i="6"/>
  <c r="O169" i="6"/>
  <c r="P170" i="6"/>
  <c r="Q170" i="6"/>
  <c r="R170" i="6"/>
  <c r="O170" i="6"/>
  <c r="P171" i="6"/>
  <c r="Q171" i="6"/>
  <c r="R171" i="6"/>
  <c r="O171" i="6"/>
  <c r="P172" i="6"/>
  <c r="Q172" i="6"/>
  <c r="R172" i="6"/>
  <c r="P173" i="6"/>
  <c r="Q174" i="6"/>
  <c r="R175" i="6"/>
  <c r="O172" i="6"/>
  <c r="Q173" i="6"/>
  <c r="P175" i="6"/>
  <c r="P176" i="6"/>
  <c r="Q176" i="6"/>
  <c r="R177" i="6"/>
  <c r="P178" i="6"/>
  <c r="Q178" i="6"/>
  <c r="R179" i="6"/>
  <c r="O179" i="6"/>
  <c r="E73" i="6"/>
  <c r="D77" i="6"/>
  <c r="D81" i="6"/>
  <c r="D73" i="6"/>
  <c r="F73" i="6"/>
  <c r="D75" i="6"/>
  <c r="F75" i="6"/>
  <c r="D76" i="6"/>
  <c r="E78" i="6"/>
  <c r="F78" i="6"/>
  <c r="D82" i="6"/>
  <c r="E82" i="6"/>
  <c r="D83" i="6"/>
  <c r="F83" i="6"/>
  <c r="D92" i="6"/>
  <c r="E92" i="6"/>
  <c r="F92" i="6"/>
  <c r="D94" i="6"/>
  <c r="E94" i="6"/>
  <c r="F94" i="6"/>
  <c r="F72" i="6"/>
  <c r="F76" i="6"/>
  <c r="E79" i="6"/>
  <c r="D84" i="6"/>
  <c r="E84" i="6"/>
  <c r="F84" i="6"/>
  <c r="D85" i="6"/>
  <c r="E85" i="6"/>
  <c r="F85" i="6"/>
  <c r="D86" i="6"/>
  <c r="E86" i="6"/>
  <c r="F86" i="6"/>
  <c r="D87" i="6"/>
  <c r="E87" i="6"/>
  <c r="F87" i="6"/>
  <c r="D88" i="6"/>
  <c r="E88" i="6"/>
  <c r="F88" i="6"/>
  <c r="D89" i="6"/>
  <c r="E89" i="6"/>
  <c r="F89" i="6"/>
  <c r="D90" i="6"/>
  <c r="E90" i="6"/>
  <c r="F90" i="6"/>
  <c r="D91" i="6"/>
  <c r="E91" i="6"/>
  <c r="F91" i="6"/>
  <c r="D72" i="6"/>
  <c r="E72" i="6"/>
  <c r="D74" i="6"/>
  <c r="F74" i="6"/>
  <c r="F79" i="6"/>
  <c r="D80" i="6"/>
  <c r="E80" i="6"/>
  <c r="F80" i="6"/>
  <c r="F81" i="6"/>
  <c r="F82" i="6"/>
  <c r="E83" i="6"/>
  <c r="D95" i="6"/>
  <c r="E74" i="6"/>
  <c r="E75" i="6"/>
  <c r="E76" i="6"/>
  <c r="E77" i="6"/>
  <c r="F77" i="6"/>
  <c r="D78" i="6"/>
  <c r="D79" i="6"/>
  <c r="E81" i="6"/>
  <c r="D93" i="6"/>
  <c r="E93" i="6"/>
  <c r="F93" i="6"/>
  <c r="E95" i="6"/>
  <c r="F95" i="6"/>
  <c r="H70" i="6"/>
  <c r="K72" i="6"/>
  <c r="K73" i="6"/>
  <c r="I76" i="6"/>
  <c r="J77" i="6"/>
  <c r="K81" i="6"/>
  <c r="I95" i="6"/>
  <c r="J73" i="6"/>
  <c r="K75" i="6"/>
  <c r="K76" i="6"/>
  <c r="I77" i="6"/>
  <c r="J78" i="6"/>
  <c r="I81" i="6"/>
  <c r="J82" i="6"/>
  <c r="K82" i="6"/>
  <c r="I82" i="6"/>
  <c r="J83" i="6"/>
  <c r="K83" i="6"/>
  <c r="L83" i="6"/>
  <c r="J92" i="6"/>
  <c r="K92" i="6"/>
  <c r="L92" i="6"/>
  <c r="J94" i="6"/>
  <c r="L94" i="6"/>
  <c r="L72" i="6"/>
  <c r="I78" i="6"/>
  <c r="I83" i="6"/>
  <c r="J84" i="6"/>
  <c r="K84" i="6"/>
  <c r="L84" i="6"/>
  <c r="I84" i="6"/>
  <c r="J85" i="6"/>
  <c r="K85" i="6"/>
  <c r="L85" i="6"/>
  <c r="I85" i="6"/>
  <c r="J86" i="6"/>
  <c r="K86" i="6"/>
  <c r="L86" i="6"/>
  <c r="I86" i="6"/>
  <c r="J87" i="6"/>
  <c r="K87" i="6"/>
  <c r="L87" i="6"/>
  <c r="I87" i="6"/>
  <c r="J88" i="6"/>
  <c r="K88" i="6"/>
  <c r="L88" i="6"/>
  <c r="I88" i="6"/>
  <c r="J89" i="6"/>
  <c r="K89" i="6"/>
  <c r="L89" i="6"/>
  <c r="I89" i="6"/>
  <c r="J90" i="6"/>
  <c r="K90" i="6"/>
  <c r="L90" i="6"/>
  <c r="I90" i="6"/>
  <c r="J91" i="6"/>
  <c r="K91" i="6"/>
  <c r="L91" i="6"/>
  <c r="I91" i="6"/>
  <c r="J72" i="6"/>
  <c r="L73" i="6"/>
  <c r="J74" i="6"/>
  <c r="L74" i="6"/>
  <c r="K79" i="6"/>
  <c r="I79" i="6"/>
  <c r="J80" i="6"/>
  <c r="K80" i="6"/>
  <c r="L80" i="6"/>
  <c r="I80" i="6"/>
  <c r="L81" i="6"/>
  <c r="L82" i="6"/>
  <c r="K95" i="6"/>
  <c r="L95" i="6"/>
  <c r="I73" i="6"/>
  <c r="K74" i="6"/>
  <c r="I74" i="6"/>
  <c r="J75" i="6"/>
  <c r="L75" i="6"/>
  <c r="I75" i="6"/>
  <c r="J76" i="6"/>
  <c r="L76" i="6"/>
  <c r="K77" i="6"/>
  <c r="L77" i="6"/>
  <c r="K78" i="6"/>
  <c r="L78" i="6"/>
  <c r="J79" i="6"/>
  <c r="L79" i="6"/>
  <c r="J81" i="6"/>
  <c r="I92" i="6"/>
  <c r="J93" i="6"/>
  <c r="K93" i="6"/>
  <c r="L93" i="6"/>
  <c r="I93" i="6"/>
  <c r="K94" i="6"/>
  <c r="I94" i="6"/>
  <c r="J95" i="6"/>
  <c r="Q72" i="6"/>
  <c r="O75" i="6"/>
  <c r="P83" i="6"/>
  <c r="Q83" i="6"/>
  <c r="R83" i="6"/>
  <c r="O83" i="6"/>
  <c r="P84" i="6"/>
  <c r="Q84" i="6"/>
  <c r="R84" i="6"/>
  <c r="O84" i="6"/>
  <c r="P85" i="6"/>
  <c r="Q85" i="6"/>
  <c r="R85" i="6"/>
  <c r="O85" i="6"/>
  <c r="P86" i="6"/>
  <c r="Q86" i="6"/>
  <c r="R86" i="6"/>
  <c r="O86" i="6"/>
  <c r="P87" i="6"/>
  <c r="Q87" i="6"/>
  <c r="R87" i="6"/>
  <c r="O87" i="6"/>
  <c r="P88" i="6"/>
  <c r="Q88" i="6"/>
  <c r="R88" i="6"/>
  <c r="O88" i="6"/>
  <c r="P89" i="6"/>
  <c r="Q89" i="6"/>
  <c r="R89" i="6"/>
  <c r="O89" i="6"/>
  <c r="P90" i="6"/>
  <c r="Q90" i="6"/>
  <c r="R90" i="6"/>
  <c r="O90" i="6"/>
  <c r="P91" i="6"/>
  <c r="Q91" i="6"/>
  <c r="R91" i="6"/>
  <c r="O91" i="6"/>
  <c r="P73" i="6"/>
  <c r="P74" i="6"/>
  <c r="R74" i="6"/>
  <c r="Q79" i="6"/>
  <c r="Q81" i="6"/>
  <c r="P82" i="6"/>
  <c r="R82" i="6"/>
  <c r="O82" i="6"/>
  <c r="P95" i="6"/>
  <c r="Q95" i="6"/>
  <c r="R95" i="6"/>
  <c r="O73" i="6"/>
  <c r="Q74" i="6"/>
  <c r="P76" i="6"/>
  <c r="Q76" i="6"/>
  <c r="R76" i="6"/>
  <c r="O76" i="6"/>
  <c r="Q77" i="6"/>
  <c r="R77" i="6"/>
  <c r="O77" i="6"/>
  <c r="P78" i="6"/>
  <c r="Q78" i="6"/>
  <c r="R78" i="6"/>
  <c r="O78" i="6"/>
  <c r="P79" i="6"/>
  <c r="R79" i="6"/>
  <c r="P80" i="6"/>
  <c r="Q80" i="6"/>
  <c r="R80" i="6"/>
  <c r="O92" i="6"/>
  <c r="P93" i="6"/>
  <c r="Q93" i="6"/>
  <c r="R93" i="6"/>
  <c r="Q94" i="6"/>
  <c r="R94" i="6"/>
  <c r="O94" i="6"/>
  <c r="N70" i="6"/>
  <c r="P72" i="6"/>
  <c r="R72" i="6"/>
  <c r="Q73" i="6"/>
  <c r="R73" i="6"/>
  <c r="P77" i="6"/>
  <c r="O80" i="6"/>
  <c r="P81" i="6"/>
  <c r="R81" i="6"/>
  <c r="O95" i="6"/>
  <c r="O74" i="6"/>
  <c r="P75" i="6"/>
  <c r="Q75" i="6"/>
  <c r="R75" i="6"/>
  <c r="O79" i="6"/>
  <c r="O81" i="6"/>
  <c r="Q82" i="6"/>
  <c r="P92" i="6"/>
  <c r="Q92" i="6"/>
  <c r="R92" i="6"/>
  <c r="O93" i="6"/>
  <c r="P94" i="6"/>
  <c r="O113" i="6"/>
  <c r="P114" i="6"/>
  <c r="Q114" i="6"/>
  <c r="R114" i="6"/>
  <c r="O114" i="6"/>
  <c r="P115" i="6"/>
  <c r="Q115" i="6"/>
  <c r="R115" i="6"/>
  <c r="O115" i="6"/>
  <c r="P116" i="6"/>
  <c r="Q116" i="6"/>
  <c r="R116" i="6"/>
  <c r="O116" i="6"/>
  <c r="P117" i="6"/>
  <c r="Q117" i="6"/>
  <c r="R117" i="6"/>
  <c r="O117" i="6"/>
  <c r="P113" i="6"/>
  <c r="P118" i="6"/>
  <c r="Q118" i="6"/>
  <c r="R118" i="6"/>
  <c r="O118" i="6"/>
  <c r="Q119" i="6"/>
  <c r="R119" i="6"/>
  <c r="O119" i="6"/>
  <c r="P120" i="6"/>
  <c r="O120" i="6"/>
  <c r="Q121" i="6"/>
  <c r="R121" i="6"/>
  <c r="O121" i="6"/>
  <c r="Q122" i="6"/>
  <c r="R122" i="6"/>
  <c r="O122" i="6"/>
  <c r="Q123" i="6"/>
  <c r="R123" i="6"/>
  <c r="O123" i="6"/>
  <c r="O111" i="6"/>
  <c r="P112" i="6"/>
  <c r="Q112" i="6"/>
  <c r="R112" i="6"/>
  <c r="O112" i="6"/>
  <c r="Q113" i="6"/>
  <c r="R113" i="6"/>
  <c r="P119" i="6"/>
  <c r="Q120" i="6"/>
  <c r="R120" i="6"/>
  <c r="P121" i="6"/>
  <c r="P122" i="6"/>
  <c r="P123" i="6"/>
  <c r="P100" i="6"/>
  <c r="R101" i="6"/>
  <c r="P107" i="6"/>
  <c r="Q107" i="6"/>
  <c r="R107" i="6"/>
  <c r="P108" i="6"/>
  <c r="P109" i="6"/>
  <c r="Q110" i="6"/>
  <c r="R111" i="6"/>
  <c r="Q100" i="6"/>
  <c r="R100" i="6"/>
  <c r="Q101" i="6"/>
  <c r="Q102" i="6"/>
  <c r="O102" i="6"/>
  <c r="R104" i="6"/>
  <c r="O104" i="6"/>
  <c r="Q106" i="6"/>
  <c r="R106" i="6"/>
  <c r="O106" i="6"/>
  <c r="O109" i="6"/>
  <c r="P111" i="6"/>
  <c r="P101" i="6"/>
  <c r="O108" i="6"/>
  <c r="Q109" i="6"/>
  <c r="R109" i="6"/>
  <c r="P110" i="6"/>
  <c r="R110" i="6"/>
  <c r="O110" i="6"/>
  <c r="N98" i="6"/>
  <c r="O101" i="6"/>
  <c r="P102" i="6"/>
  <c r="R102" i="6"/>
  <c r="P103" i="6"/>
  <c r="Q103" i="6"/>
  <c r="R103" i="6"/>
  <c r="O103" i="6"/>
  <c r="P104" i="6"/>
  <c r="Q104" i="6"/>
  <c r="P105" i="6"/>
  <c r="Q105" i="6"/>
  <c r="R105" i="6"/>
  <c r="O105" i="6"/>
  <c r="P106" i="6"/>
  <c r="O107" i="6"/>
  <c r="Q108" i="6"/>
  <c r="R108" i="6"/>
  <c r="Q111" i="6"/>
  <c r="W100" i="6"/>
  <c r="V101" i="6"/>
  <c r="V107" i="6"/>
  <c r="W107" i="6"/>
  <c r="X107" i="6"/>
  <c r="U107" i="6"/>
  <c r="V108" i="6"/>
  <c r="W108" i="6"/>
  <c r="X108" i="6"/>
  <c r="U108" i="6"/>
  <c r="W109" i="6"/>
  <c r="W110" i="6"/>
  <c r="V100" i="6"/>
  <c r="X100" i="6"/>
  <c r="X101" i="6"/>
  <c r="U101" i="6"/>
  <c r="V102" i="6"/>
  <c r="X102" i="6"/>
  <c r="U103" i="6"/>
  <c r="V104" i="6"/>
  <c r="X104" i="6"/>
  <c r="W105" i="6"/>
  <c r="X105" i="6"/>
  <c r="U105" i="6"/>
  <c r="V106" i="6"/>
  <c r="X106" i="6"/>
  <c r="U106" i="6"/>
  <c r="X110" i="6"/>
  <c r="W101" i="6"/>
  <c r="W102" i="6"/>
  <c r="W104" i="6"/>
  <c r="V105" i="6"/>
  <c r="V109" i="6"/>
  <c r="X109" i="6"/>
  <c r="U109" i="6"/>
  <c r="V110" i="6"/>
  <c r="T98" i="6"/>
  <c r="U102" i="6"/>
  <c r="V103" i="6"/>
  <c r="W103" i="6"/>
  <c r="X103" i="6"/>
  <c r="U104" i="6"/>
  <c r="W106" i="6"/>
  <c r="U110" i="6"/>
  <c r="V111" i="6"/>
  <c r="W111" i="6"/>
  <c r="X111" i="6"/>
  <c r="U113" i="6"/>
  <c r="V114" i="6"/>
  <c r="W114" i="6"/>
  <c r="X114" i="6"/>
  <c r="U114" i="6"/>
  <c r="V115" i="6"/>
  <c r="W115" i="6"/>
  <c r="X115" i="6"/>
  <c r="U115" i="6"/>
  <c r="V116" i="6"/>
  <c r="W116" i="6"/>
  <c r="X116" i="6"/>
  <c r="U116" i="6"/>
  <c r="V117" i="6"/>
  <c r="W117" i="6"/>
  <c r="X117" i="6"/>
  <c r="U117" i="6"/>
  <c r="W113" i="6"/>
  <c r="V118" i="6"/>
  <c r="W118" i="6"/>
  <c r="X118" i="6"/>
  <c r="V119" i="6"/>
  <c r="W119" i="6"/>
  <c r="X119" i="6"/>
  <c r="U119" i="6"/>
  <c r="W120" i="6"/>
  <c r="X120" i="6"/>
  <c r="V121" i="6"/>
  <c r="W121" i="6"/>
  <c r="X121" i="6"/>
  <c r="V122" i="6"/>
  <c r="W122" i="6"/>
  <c r="X122" i="6"/>
  <c r="U123" i="6"/>
  <c r="U111" i="6"/>
  <c r="V112" i="6"/>
  <c r="W112" i="6"/>
  <c r="X112" i="6"/>
  <c r="U112" i="6"/>
  <c r="V113" i="6"/>
  <c r="X113" i="6"/>
  <c r="U118" i="6"/>
  <c r="V120" i="6"/>
  <c r="U120" i="6"/>
  <c r="U121" i="6"/>
  <c r="U122" i="6"/>
  <c r="V123" i="6"/>
  <c r="W123" i="6"/>
  <c r="X123" i="6"/>
  <c r="H126" i="6"/>
  <c r="J128" i="6"/>
  <c r="L128" i="6"/>
  <c r="L129" i="6"/>
  <c r="I129" i="6"/>
  <c r="J130" i="6"/>
  <c r="L130" i="6"/>
  <c r="K131" i="6"/>
  <c r="I131" i="6"/>
  <c r="J132" i="6"/>
  <c r="K132" i="6"/>
  <c r="L132" i="6"/>
  <c r="I132" i="6"/>
  <c r="J133" i="6"/>
  <c r="L133" i="6"/>
  <c r="K134" i="6"/>
  <c r="K135" i="6"/>
  <c r="K136" i="6"/>
  <c r="I136" i="6"/>
  <c r="K128" i="6"/>
  <c r="J129" i="6"/>
  <c r="K129" i="6"/>
  <c r="K130" i="6"/>
  <c r="I130" i="6"/>
  <c r="J131" i="6"/>
  <c r="L131" i="6"/>
  <c r="K133" i="6"/>
  <c r="I133" i="6"/>
  <c r="J134" i="6"/>
  <c r="L134" i="6"/>
  <c r="I134" i="6"/>
  <c r="J135" i="6"/>
  <c r="L135" i="6"/>
  <c r="I135" i="6"/>
  <c r="J136" i="6"/>
  <c r="L136" i="6"/>
  <c r="J137" i="6"/>
  <c r="K137" i="6"/>
  <c r="L137" i="6"/>
  <c r="I137" i="6"/>
  <c r="J138" i="6"/>
  <c r="K138" i="6"/>
  <c r="L138" i="6"/>
  <c r="I138" i="6"/>
  <c r="J139" i="6"/>
  <c r="K139" i="6"/>
  <c r="L139" i="6"/>
  <c r="I139" i="6"/>
  <c r="J140" i="6"/>
  <c r="K140" i="6"/>
  <c r="L140" i="6"/>
  <c r="I140" i="6"/>
  <c r="J141" i="6"/>
  <c r="K141" i="6"/>
  <c r="L141" i="6"/>
  <c r="I141" i="6"/>
  <c r="J142" i="6"/>
  <c r="K142" i="6"/>
  <c r="L142" i="6"/>
  <c r="I142" i="6"/>
  <c r="J143" i="6"/>
  <c r="K143" i="6"/>
  <c r="L143" i="6"/>
  <c r="I143" i="6"/>
  <c r="J144" i="6"/>
  <c r="K144" i="6"/>
  <c r="L144" i="6"/>
  <c r="I144" i="6"/>
  <c r="J145" i="6"/>
  <c r="K145" i="6"/>
  <c r="L145" i="6"/>
  <c r="I145" i="6"/>
  <c r="J146" i="6"/>
  <c r="K146" i="6"/>
  <c r="L146" i="6"/>
  <c r="I146" i="6"/>
  <c r="J147" i="6"/>
  <c r="K147" i="6"/>
  <c r="L147" i="6"/>
  <c r="I147" i="6"/>
  <c r="J148" i="6"/>
  <c r="K148" i="6"/>
  <c r="L148" i="6"/>
  <c r="I148" i="6"/>
  <c r="J149" i="6"/>
  <c r="K149" i="6"/>
  <c r="L149" i="6"/>
  <c r="I149" i="6"/>
  <c r="J150" i="6"/>
  <c r="K150" i="6"/>
  <c r="L150" i="6"/>
  <c r="I150" i="6"/>
  <c r="J151" i="6"/>
  <c r="K151" i="6"/>
  <c r="L151" i="6"/>
  <c r="I151" i="6"/>
  <c r="P128" i="6"/>
  <c r="P129" i="6"/>
  <c r="R129" i="6"/>
  <c r="P130" i="6"/>
  <c r="O130" i="6"/>
  <c r="Q131" i="6"/>
  <c r="R131" i="6"/>
  <c r="O131" i="6"/>
  <c r="P132" i="6"/>
  <c r="Q132" i="6"/>
  <c r="R132" i="6"/>
  <c r="P133" i="6"/>
  <c r="O133" i="6"/>
  <c r="Q134" i="6"/>
  <c r="R134" i="6"/>
  <c r="O134" i="6"/>
  <c r="Q135" i="6"/>
  <c r="O135" i="6"/>
  <c r="Q136" i="6"/>
  <c r="N126" i="6"/>
  <c r="Q128" i="6"/>
  <c r="R128" i="6"/>
  <c r="Q129" i="6"/>
  <c r="O129" i="6"/>
  <c r="Q130" i="6"/>
  <c r="R130" i="6"/>
  <c r="P131" i="6"/>
  <c r="O132" i="6"/>
  <c r="Q133" i="6"/>
  <c r="R133" i="6"/>
  <c r="P134" i="6"/>
  <c r="P135" i="6"/>
  <c r="R135" i="6"/>
  <c r="P136" i="6"/>
  <c r="R136" i="6"/>
  <c r="O136" i="6"/>
  <c r="P137" i="6"/>
  <c r="Q137" i="6"/>
  <c r="R137" i="6"/>
  <c r="O137" i="6"/>
  <c r="P138" i="6"/>
  <c r="Q138" i="6"/>
  <c r="R138" i="6"/>
  <c r="O138" i="6"/>
  <c r="P139" i="6"/>
  <c r="Q139" i="6"/>
  <c r="R139" i="6"/>
  <c r="O139" i="6"/>
  <c r="P140" i="6"/>
  <c r="Q140" i="6"/>
  <c r="R140" i="6"/>
  <c r="O140" i="6"/>
  <c r="P141" i="6"/>
  <c r="Q141" i="6"/>
  <c r="R141" i="6"/>
  <c r="O141" i="6"/>
  <c r="P142" i="6"/>
  <c r="Q142" i="6"/>
  <c r="R142" i="6"/>
  <c r="O142" i="6"/>
  <c r="P143" i="6"/>
  <c r="Q143" i="6"/>
  <c r="R143" i="6"/>
  <c r="O143" i="6"/>
  <c r="P144" i="6"/>
  <c r="Q144" i="6"/>
  <c r="R144" i="6"/>
  <c r="O144" i="6"/>
  <c r="P145" i="6"/>
  <c r="Q145" i="6"/>
  <c r="R145" i="6"/>
  <c r="O145" i="6"/>
  <c r="P146" i="6"/>
  <c r="Q146" i="6"/>
  <c r="R146" i="6"/>
  <c r="O146" i="6"/>
  <c r="P147" i="6"/>
  <c r="Q147" i="6"/>
  <c r="R147" i="6"/>
  <c r="O147" i="6"/>
  <c r="P148" i="6"/>
  <c r="Q148" i="6"/>
  <c r="R148" i="6"/>
  <c r="O148" i="6"/>
  <c r="P149" i="6"/>
  <c r="Q149" i="6"/>
  <c r="R149" i="6"/>
  <c r="O149" i="6"/>
  <c r="P150" i="6"/>
  <c r="Q150" i="6"/>
  <c r="R150" i="6"/>
  <c r="O150" i="6"/>
  <c r="P151" i="6"/>
  <c r="Q151" i="6"/>
  <c r="R151" i="6"/>
  <c r="O151" i="6"/>
  <c r="T126" i="6"/>
  <c r="W128" i="6"/>
  <c r="V129" i="6"/>
  <c r="X129" i="6"/>
  <c r="U129" i="6"/>
  <c r="W130" i="6"/>
  <c r="V131" i="6"/>
  <c r="W131" i="6"/>
  <c r="X131" i="6"/>
  <c r="U131" i="6"/>
  <c r="V132" i="6"/>
  <c r="X132" i="6"/>
  <c r="U132" i="6"/>
  <c r="W133" i="6"/>
  <c r="V134" i="6"/>
  <c r="W134" i="6"/>
  <c r="W135" i="6"/>
  <c r="W136" i="6"/>
  <c r="V128" i="6"/>
  <c r="X128" i="6"/>
  <c r="W129" i="6"/>
  <c r="V130" i="6"/>
  <c r="X130" i="6"/>
  <c r="U130" i="6"/>
  <c r="W132" i="6"/>
  <c r="V133" i="6"/>
  <c r="X133" i="6"/>
  <c r="U133" i="6"/>
  <c r="X134" i="6"/>
  <c r="U134" i="6"/>
  <c r="V135" i="6"/>
  <c r="X135" i="6"/>
  <c r="U135" i="6"/>
  <c r="V136" i="6"/>
  <c r="X136" i="6"/>
  <c r="U136" i="6"/>
  <c r="V137" i="6"/>
  <c r="W137" i="6"/>
  <c r="X137" i="6"/>
  <c r="U137" i="6"/>
  <c r="V138" i="6"/>
  <c r="W138" i="6"/>
  <c r="X138" i="6"/>
  <c r="U138" i="6"/>
  <c r="V139" i="6"/>
  <c r="W139" i="6"/>
  <c r="X139" i="6"/>
  <c r="U139" i="6"/>
  <c r="V140" i="6"/>
  <c r="W140" i="6"/>
  <c r="X140" i="6"/>
  <c r="U140" i="6"/>
  <c r="V141" i="6"/>
  <c r="W141" i="6"/>
  <c r="X141" i="6"/>
  <c r="U141" i="6"/>
  <c r="V142" i="6"/>
  <c r="W142" i="6"/>
  <c r="X142" i="6"/>
  <c r="U142" i="6"/>
  <c r="V143" i="6"/>
  <c r="W143" i="6"/>
  <c r="X143" i="6"/>
  <c r="U143" i="6"/>
  <c r="V144" i="6"/>
  <c r="W144" i="6"/>
  <c r="X144" i="6"/>
  <c r="U144" i="6"/>
  <c r="V145" i="6"/>
  <c r="W145" i="6"/>
  <c r="X145" i="6"/>
  <c r="U145" i="6"/>
  <c r="V146" i="6"/>
  <c r="W146" i="6"/>
  <c r="X146" i="6"/>
  <c r="U146" i="6"/>
  <c r="V147" i="6"/>
  <c r="W147" i="6"/>
  <c r="X147" i="6"/>
  <c r="U147" i="6"/>
  <c r="V148" i="6"/>
  <c r="W148" i="6"/>
  <c r="X148" i="6"/>
  <c r="U148" i="6"/>
  <c r="V149" i="6"/>
  <c r="W149" i="6"/>
  <c r="X149" i="6"/>
  <c r="U149" i="6"/>
  <c r="V150" i="6"/>
  <c r="W150" i="6"/>
  <c r="X150" i="6"/>
  <c r="U150" i="6"/>
  <c r="V151" i="6"/>
  <c r="W151" i="6"/>
  <c r="X151" i="6"/>
  <c r="U151" i="6"/>
  <c r="T154" i="6"/>
  <c r="V156" i="6"/>
  <c r="W156" i="6"/>
  <c r="X156" i="6"/>
  <c r="V157" i="6"/>
  <c r="W157" i="6"/>
  <c r="X157" i="6"/>
  <c r="U157" i="6"/>
  <c r="V158" i="6"/>
  <c r="W158" i="6"/>
  <c r="X158" i="6"/>
  <c r="U158" i="6"/>
  <c r="V159" i="6"/>
  <c r="W159" i="6"/>
  <c r="X159" i="6"/>
  <c r="U159" i="6"/>
  <c r="V160" i="6"/>
  <c r="W160" i="6"/>
  <c r="X160" i="6"/>
  <c r="U160" i="6"/>
  <c r="V161" i="6"/>
  <c r="W161" i="6"/>
  <c r="X161" i="6"/>
  <c r="U161" i="6"/>
  <c r="V162" i="6"/>
  <c r="W162" i="6"/>
  <c r="X162" i="6"/>
  <c r="U162" i="6"/>
  <c r="V163" i="6"/>
  <c r="W163" i="6"/>
  <c r="X163" i="6"/>
  <c r="U163" i="6"/>
  <c r="V164" i="6"/>
  <c r="W164" i="6"/>
  <c r="X164" i="6"/>
  <c r="U164" i="6"/>
  <c r="V165" i="6"/>
  <c r="W165" i="6"/>
  <c r="X165" i="6"/>
  <c r="U165" i="6"/>
  <c r="V166" i="6"/>
  <c r="W166" i="6"/>
  <c r="X166" i="6"/>
  <c r="U166" i="6"/>
  <c r="V167" i="6"/>
  <c r="W167" i="6"/>
  <c r="X167" i="6"/>
  <c r="U167" i="6"/>
  <c r="V168" i="6"/>
  <c r="W168" i="6"/>
  <c r="X168" i="6"/>
  <c r="U168" i="6"/>
  <c r="V169" i="6"/>
  <c r="W169" i="6"/>
  <c r="X169" i="6"/>
  <c r="U169" i="6"/>
  <c r="V170" i="6"/>
  <c r="W170" i="6"/>
  <c r="X170" i="6"/>
  <c r="U170" i="6"/>
  <c r="V171" i="6"/>
  <c r="W171" i="6"/>
  <c r="X171" i="6"/>
  <c r="U171" i="6"/>
  <c r="V172" i="6"/>
  <c r="W172" i="6"/>
  <c r="X172" i="6"/>
  <c r="V173" i="6"/>
  <c r="W173" i="6"/>
  <c r="U173" i="6"/>
  <c r="U174" i="6"/>
  <c r="X177" i="6"/>
  <c r="U177" i="6"/>
  <c r="W178" i="6"/>
  <c r="W179" i="6"/>
  <c r="U172" i="6"/>
  <c r="X175" i="6"/>
  <c r="W176" i="6"/>
  <c r="U176" i="6"/>
  <c r="V177" i="6"/>
  <c r="X178" i="6"/>
  <c r="U178" i="6"/>
  <c r="X173" i="6"/>
  <c r="V174" i="6"/>
  <c r="W174" i="6"/>
  <c r="X174" i="6"/>
  <c r="V175" i="6"/>
  <c r="W175" i="6"/>
  <c r="U175" i="6"/>
  <c r="V176" i="6"/>
  <c r="X176" i="6"/>
  <c r="W177" i="6"/>
  <c r="V178" i="6"/>
  <c r="V179" i="6"/>
  <c r="X179" i="6"/>
  <c r="U179" i="6"/>
  <c r="V74" i="6"/>
  <c r="W74" i="6"/>
  <c r="X74" i="6"/>
  <c r="X75" i="6"/>
  <c r="V76" i="6"/>
  <c r="W76" i="6"/>
  <c r="X76" i="6"/>
  <c r="V77" i="6"/>
  <c r="X77" i="6"/>
  <c r="U77" i="6"/>
  <c r="V78" i="6"/>
  <c r="W78" i="6"/>
  <c r="X78" i="6"/>
  <c r="V79" i="6"/>
  <c r="W79" i="6"/>
  <c r="V80" i="6"/>
  <c r="X80" i="6"/>
  <c r="U80" i="6"/>
  <c r="W81" i="6"/>
  <c r="U92" i="6"/>
  <c r="V93" i="6"/>
  <c r="W93" i="6"/>
  <c r="X93" i="6"/>
  <c r="V94" i="6"/>
  <c r="W94" i="6"/>
  <c r="X94" i="6"/>
  <c r="T70" i="6"/>
  <c r="V72" i="6"/>
  <c r="X72" i="6"/>
  <c r="V73" i="6"/>
  <c r="X73" i="6"/>
  <c r="U76" i="6"/>
  <c r="W77" i="6"/>
  <c r="X81" i="6"/>
  <c r="U95" i="6"/>
  <c r="U74" i="6"/>
  <c r="V75" i="6"/>
  <c r="W75" i="6"/>
  <c r="U75" i="6"/>
  <c r="U79" i="6"/>
  <c r="V82" i="6"/>
  <c r="X82" i="6"/>
  <c r="U82" i="6"/>
  <c r="V92" i="6"/>
  <c r="W92" i="6"/>
  <c r="X92" i="6"/>
  <c r="U93" i="6"/>
  <c r="U78" i="6"/>
  <c r="V83" i="6"/>
  <c r="W83" i="6"/>
  <c r="X83" i="6"/>
  <c r="U83" i="6"/>
  <c r="V84" i="6"/>
  <c r="W84" i="6"/>
  <c r="X84" i="6"/>
  <c r="U84" i="6"/>
  <c r="V85" i="6"/>
  <c r="W85" i="6"/>
  <c r="X85" i="6"/>
  <c r="U85" i="6"/>
  <c r="V86" i="6"/>
  <c r="W86" i="6"/>
  <c r="X86" i="6"/>
  <c r="U86" i="6"/>
  <c r="V87" i="6"/>
  <c r="W87" i="6"/>
  <c r="X87" i="6"/>
  <c r="U87" i="6"/>
  <c r="V88" i="6"/>
  <c r="W88" i="6"/>
  <c r="X88" i="6"/>
  <c r="U88" i="6"/>
  <c r="V89" i="6"/>
  <c r="W89" i="6"/>
  <c r="X89" i="6"/>
  <c r="U89" i="6"/>
  <c r="V90" i="6"/>
  <c r="W90" i="6"/>
  <c r="X90" i="6"/>
  <c r="U90" i="6"/>
  <c r="V91" i="6"/>
  <c r="W91" i="6"/>
  <c r="X91" i="6"/>
  <c r="U91" i="6"/>
  <c r="W72" i="6"/>
  <c r="W73" i="6"/>
  <c r="U73" i="6"/>
  <c r="X79" i="6"/>
  <c r="W80" i="6"/>
  <c r="V81" i="6"/>
  <c r="U81" i="6"/>
  <c r="W82" i="6"/>
  <c r="U94" i="6"/>
  <c r="V95" i="6"/>
  <c r="W95" i="6"/>
  <c r="X95" i="6"/>
  <c r="J100" i="6"/>
  <c r="L100" i="6"/>
  <c r="J102" i="6"/>
  <c r="I106" i="6"/>
  <c r="J107" i="6"/>
  <c r="K107" i="6"/>
  <c r="L107" i="6"/>
  <c r="I107" i="6"/>
  <c r="J108" i="6"/>
  <c r="L108" i="6"/>
  <c r="J109" i="6"/>
  <c r="L111" i="6"/>
  <c r="K100" i="6"/>
  <c r="J101" i="6"/>
  <c r="L101" i="6"/>
  <c r="I103" i="6"/>
  <c r="L104" i="6"/>
  <c r="J106" i="6"/>
  <c r="L106" i="6"/>
  <c r="K110" i="6"/>
  <c r="L110" i="6"/>
  <c r="K111" i="6"/>
  <c r="K101" i="6"/>
  <c r="I101" i="6"/>
  <c r="J104" i="6"/>
  <c r="K105" i="6"/>
  <c r="I108" i="6"/>
  <c r="K109" i="6"/>
  <c r="L109" i="6"/>
  <c r="I109" i="6"/>
  <c r="J110" i="6"/>
  <c r="H98" i="6"/>
  <c r="K102" i="6"/>
  <c r="L102" i="6"/>
  <c r="I102" i="6"/>
  <c r="J103" i="6"/>
  <c r="K103" i="6"/>
  <c r="L103" i="6"/>
  <c r="K104" i="6"/>
  <c r="I104" i="6"/>
  <c r="J105" i="6"/>
  <c r="L105" i="6"/>
  <c r="I105" i="6"/>
  <c r="K106" i="6"/>
  <c r="K108" i="6"/>
  <c r="I110" i="6"/>
  <c r="J111" i="6"/>
  <c r="I113" i="6"/>
  <c r="J114" i="6"/>
  <c r="K114" i="6"/>
  <c r="L114" i="6"/>
  <c r="I114" i="6"/>
  <c r="J115" i="6"/>
  <c r="K115" i="6"/>
  <c r="L115" i="6"/>
  <c r="I115" i="6"/>
  <c r="J116" i="6"/>
  <c r="K116" i="6"/>
  <c r="L116" i="6"/>
  <c r="I116" i="6"/>
  <c r="J117" i="6"/>
  <c r="K117" i="6"/>
  <c r="L117" i="6"/>
  <c r="I117" i="6"/>
  <c r="K113" i="6"/>
  <c r="L113" i="6"/>
  <c r="L118" i="6"/>
  <c r="K119" i="6"/>
  <c r="J120" i="6"/>
  <c r="L120" i="6"/>
  <c r="K121" i="6"/>
  <c r="K122" i="6"/>
  <c r="J123" i="6"/>
  <c r="I123" i="6"/>
  <c r="I111" i="6"/>
  <c r="J112" i="6"/>
  <c r="K112" i="6"/>
  <c r="L112" i="6"/>
  <c r="I112" i="6"/>
  <c r="J113" i="6"/>
  <c r="J118" i="6"/>
  <c r="K118" i="6"/>
  <c r="I118" i="6"/>
  <c r="J119" i="6"/>
  <c r="L119" i="6"/>
  <c r="I119" i="6"/>
  <c r="K120" i="6"/>
  <c r="I120" i="6"/>
  <c r="J121" i="6"/>
  <c r="L121" i="6"/>
  <c r="I121" i="6"/>
  <c r="J122" i="6"/>
  <c r="L122" i="6"/>
  <c r="I122" i="6"/>
  <c r="K123" i="6"/>
  <c r="L123" i="6"/>
  <c r="J73" i="5"/>
  <c r="K73" i="5"/>
  <c r="L73" i="5"/>
  <c r="J74" i="5"/>
  <c r="K74" i="5"/>
  <c r="L74" i="5"/>
  <c r="J75" i="5"/>
  <c r="K75" i="5"/>
  <c r="L75" i="5"/>
  <c r="J76" i="5"/>
  <c r="K76" i="5"/>
  <c r="L76" i="5"/>
  <c r="J77" i="5"/>
  <c r="K77" i="5"/>
  <c r="L77" i="5"/>
  <c r="J78" i="5"/>
  <c r="K78" i="5"/>
  <c r="L78" i="5"/>
  <c r="J79" i="5"/>
  <c r="K79" i="5"/>
  <c r="L79" i="5"/>
  <c r="J80" i="5"/>
  <c r="K80" i="5"/>
  <c r="L80" i="5"/>
  <c r="J81" i="5"/>
  <c r="K81" i="5"/>
  <c r="L81" i="5"/>
  <c r="J82" i="5"/>
  <c r="K82" i="5"/>
  <c r="L82" i="5"/>
  <c r="J83" i="5"/>
  <c r="K83" i="5"/>
  <c r="L83" i="5"/>
  <c r="J84" i="5"/>
  <c r="K84" i="5"/>
  <c r="L84" i="5"/>
  <c r="J85" i="5"/>
  <c r="K85" i="5"/>
  <c r="L85" i="5"/>
  <c r="J86" i="5"/>
  <c r="K86" i="5"/>
  <c r="L86" i="5"/>
  <c r="J87" i="5"/>
  <c r="K87" i="5"/>
  <c r="L87" i="5"/>
  <c r="J88" i="5"/>
  <c r="K88" i="5"/>
  <c r="L88" i="5"/>
  <c r="J89" i="5"/>
  <c r="K89" i="5"/>
  <c r="L89" i="5"/>
  <c r="J90" i="5"/>
  <c r="K90" i="5"/>
  <c r="L90" i="5"/>
  <c r="J91" i="5"/>
  <c r="K91" i="5"/>
  <c r="L91" i="5"/>
  <c r="J92" i="5"/>
  <c r="K92" i="5"/>
  <c r="L92" i="5"/>
  <c r="J93" i="5"/>
  <c r="K93" i="5"/>
  <c r="L93" i="5"/>
  <c r="J94" i="5"/>
  <c r="K94" i="5"/>
  <c r="L94" i="5"/>
  <c r="J95" i="5"/>
  <c r="K95" i="5"/>
  <c r="L95" i="5"/>
  <c r="J72" i="5"/>
  <c r="K72" i="5"/>
  <c r="L72" i="5"/>
  <c r="B98" i="5"/>
  <c r="D100" i="5"/>
  <c r="E100" i="5"/>
  <c r="F100" i="5"/>
  <c r="D101" i="5"/>
  <c r="E101" i="5"/>
  <c r="F101" i="5"/>
  <c r="C101" i="5"/>
  <c r="D102" i="5"/>
  <c r="E102" i="5"/>
  <c r="F102" i="5"/>
  <c r="C102" i="5"/>
  <c r="D103" i="5"/>
  <c r="E103" i="5"/>
  <c r="F103" i="5"/>
  <c r="C103" i="5"/>
  <c r="D104" i="5"/>
  <c r="E104" i="5"/>
  <c r="F104" i="5"/>
  <c r="C104" i="5"/>
  <c r="D105" i="5"/>
  <c r="E105" i="5"/>
  <c r="F105" i="5"/>
  <c r="C105" i="5"/>
  <c r="D106" i="5"/>
  <c r="E106" i="5"/>
  <c r="F106" i="5"/>
  <c r="C106" i="5"/>
  <c r="D107" i="5"/>
  <c r="E107" i="5"/>
  <c r="F107" i="5"/>
  <c r="C107" i="5"/>
  <c r="D108" i="5"/>
  <c r="E108" i="5"/>
  <c r="F108" i="5"/>
  <c r="C108" i="5"/>
  <c r="D109" i="5"/>
  <c r="E109" i="5"/>
  <c r="F109" i="5"/>
  <c r="C109" i="5"/>
  <c r="D110" i="5"/>
  <c r="E110" i="5"/>
  <c r="F110" i="5"/>
  <c r="C110" i="5"/>
  <c r="D111" i="5"/>
  <c r="E111" i="5"/>
  <c r="F111" i="5"/>
  <c r="F114" i="5"/>
  <c r="C114" i="5"/>
  <c r="F115" i="5"/>
  <c r="F113" i="5"/>
  <c r="C113" i="5"/>
  <c r="D114" i="5"/>
  <c r="E115" i="5"/>
  <c r="D116" i="5"/>
  <c r="E116" i="5"/>
  <c r="D117" i="5"/>
  <c r="F117" i="5"/>
  <c r="D118" i="5"/>
  <c r="F118" i="5"/>
  <c r="C118" i="5"/>
  <c r="E119" i="5"/>
  <c r="F119" i="5"/>
  <c r="C120" i="5"/>
  <c r="D121" i="5"/>
  <c r="F121" i="5"/>
  <c r="E122" i="5"/>
  <c r="F122" i="5"/>
  <c r="C122" i="5"/>
  <c r="D123" i="5"/>
  <c r="E123" i="5"/>
  <c r="F123" i="5"/>
  <c r="C123" i="5"/>
  <c r="C111" i="5"/>
  <c r="D112" i="5"/>
  <c r="E112" i="5"/>
  <c r="F112" i="5"/>
  <c r="C112" i="5"/>
  <c r="D113" i="5"/>
  <c r="E113" i="5"/>
  <c r="E114" i="5"/>
  <c r="D115" i="5"/>
  <c r="C115" i="5"/>
  <c r="F116" i="5"/>
  <c r="C116" i="5"/>
  <c r="E117" i="5"/>
  <c r="C117" i="5"/>
  <c r="E118" i="5"/>
  <c r="D119" i="5"/>
  <c r="C119" i="5"/>
  <c r="D120" i="5"/>
  <c r="E120" i="5"/>
  <c r="F120" i="5"/>
  <c r="E121" i="5"/>
  <c r="C121" i="5"/>
  <c r="D122" i="5"/>
  <c r="T126" i="5"/>
  <c r="V128" i="5"/>
  <c r="W128" i="5"/>
  <c r="X128" i="5"/>
  <c r="V129" i="5"/>
  <c r="W129" i="5"/>
  <c r="X129" i="5"/>
  <c r="U129" i="5"/>
  <c r="V130" i="5"/>
  <c r="W130" i="5"/>
  <c r="X130" i="5"/>
  <c r="U130" i="5"/>
  <c r="V131" i="5"/>
  <c r="W131" i="5"/>
  <c r="X131" i="5"/>
  <c r="U131" i="5"/>
  <c r="V132" i="5"/>
  <c r="W132" i="5"/>
  <c r="X132" i="5"/>
  <c r="U132" i="5"/>
  <c r="V133" i="5"/>
  <c r="W133" i="5"/>
  <c r="X133" i="5"/>
  <c r="U133" i="5"/>
  <c r="V134" i="5"/>
  <c r="W134" i="5"/>
  <c r="X134" i="5"/>
  <c r="U134" i="5"/>
  <c r="V135" i="5"/>
  <c r="W135" i="5"/>
  <c r="X135" i="5"/>
  <c r="U135" i="5"/>
  <c r="V136" i="5"/>
  <c r="W136" i="5"/>
  <c r="X136" i="5"/>
  <c r="U136" i="5"/>
  <c r="V137" i="5"/>
  <c r="W137" i="5"/>
  <c r="X137" i="5"/>
  <c r="U137" i="5"/>
  <c r="V138" i="5"/>
  <c r="W138" i="5"/>
  <c r="X138" i="5"/>
  <c r="U138" i="5"/>
  <c r="V139" i="5"/>
  <c r="W139" i="5"/>
  <c r="X139" i="5"/>
  <c r="U139" i="5"/>
  <c r="V140" i="5"/>
  <c r="W140" i="5"/>
  <c r="X140" i="5"/>
  <c r="U140" i="5"/>
  <c r="V141" i="5"/>
  <c r="W141" i="5"/>
  <c r="X141" i="5"/>
  <c r="U141" i="5"/>
  <c r="V142" i="5"/>
  <c r="W142" i="5"/>
  <c r="X142" i="5"/>
  <c r="U142" i="5"/>
  <c r="V143" i="5"/>
  <c r="W143" i="5"/>
  <c r="X143" i="5"/>
  <c r="U143" i="5"/>
  <c r="V144" i="5"/>
  <c r="W144" i="5"/>
  <c r="X144" i="5"/>
  <c r="U144" i="5"/>
  <c r="V145" i="5"/>
  <c r="W145" i="5"/>
  <c r="X145" i="5"/>
  <c r="U145" i="5"/>
  <c r="V146" i="5"/>
  <c r="W146" i="5"/>
  <c r="X146" i="5"/>
  <c r="U146" i="5"/>
  <c r="V147" i="5"/>
  <c r="W147" i="5"/>
  <c r="X147" i="5"/>
  <c r="U147" i="5"/>
  <c r="V148" i="5"/>
  <c r="W148" i="5"/>
  <c r="X148" i="5"/>
  <c r="U148" i="5"/>
  <c r="V149" i="5"/>
  <c r="W149" i="5"/>
  <c r="X149" i="5"/>
  <c r="U149" i="5"/>
  <c r="V150" i="5"/>
  <c r="W150" i="5"/>
  <c r="X150" i="5"/>
  <c r="U150" i="5"/>
  <c r="V151" i="5"/>
  <c r="W151" i="5"/>
  <c r="X151" i="5"/>
  <c r="U151" i="5"/>
  <c r="H154" i="5"/>
  <c r="J156" i="5"/>
  <c r="K156" i="5"/>
  <c r="L156" i="5"/>
  <c r="J157" i="5"/>
  <c r="K157" i="5"/>
  <c r="L157" i="5"/>
  <c r="I157" i="5"/>
  <c r="J158" i="5"/>
  <c r="K158" i="5"/>
  <c r="L158" i="5"/>
  <c r="I158" i="5"/>
  <c r="J159" i="5"/>
  <c r="K159" i="5"/>
  <c r="L159" i="5"/>
  <c r="I159" i="5"/>
  <c r="J160" i="5"/>
  <c r="K160" i="5"/>
  <c r="L160" i="5"/>
  <c r="I160" i="5"/>
  <c r="J161" i="5"/>
  <c r="K161" i="5"/>
  <c r="L161" i="5"/>
  <c r="I161" i="5"/>
  <c r="J162" i="5"/>
  <c r="K162" i="5"/>
  <c r="L162" i="5"/>
  <c r="I162" i="5"/>
  <c r="J163" i="5"/>
  <c r="K163" i="5"/>
  <c r="L163" i="5"/>
  <c r="I163" i="5"/>
  <c r="J164" i="5"/>
  <c r="K164" i="5"/>
  <c r="L164" i="5"/>
  <c r="I164" i="5"/>
  <c r="J165" i="5"/>
  <c r="K165" i="5"/>
  <c r="L165" i="5"/>
  <c r="I165" i="5"/>
  <c r="J166" i="5"/>
  <c r="K166" i="5"/>
  <c r="L166" i="5"/>
  <c r="I166" i="5"/>
  <c r="J167" i="5"/>
  <c r="K167" i="5"/>
  <c r="L167" i="5"/>
  <c r="I167" i="5"/>
  <c r="J168" i="5"/>
  <c r="K168" i="5"/>
  <c r="L168" i="5"/>
  <c r="I168" i="5"/>
  <c r="J169" i="5"/>
  <c r="K169" i="5"/>
  <c r="L169" i="5"/>
  <c r="I169" i="5"/>
  <c r="J170" i="5"/>
  <c r="K170" i="5"/>
  <c r="L170" i="5"/>
  <c r="I170" i="5"/>
  <c r="J171" i="5"/>
  <c r="K171" i="5"/>
  <c r="L171" i="5"/>
  <c r="I171" i="5"/>
  <c r="J172" i="5"/>
  <c r="K172" i="5"/>
  <c r="L172" i="5"/>
  <c r="I172" i="5"/>
  <c r="J173" i="5"/>
  <c r="K173" i="5"/>
  <c r="L173" i="5"/>
  <c r="I173" i="5"/>
  <c r="J174" i="5"/>
  <c r="K174" i="5"/>
  <c r="L174" i="5"/>
  <c r="I174" i="5"/>
  <c r="J175" i="5"/>
  <c r="K175" i="5"/>
  <c r="L175" i="5"/>
  <c r="I175" i="5"/>
  <c r="L177" i="5"/>
  <c r="J179" i="5"/>
  <c r="L176" i="5"/>
  <c r="K177" i="5"/>
  <c r="L178" i="5"/>
  <c r="J176" i="5"/>
  <c r="I176" i="5"/>
  <c r="I177" i="5"/>
  <c r="K178" i="5"/>
  <c r="I178" i="5"/>
  <c r="L179" i="5"/>
  <c r="I179" i="5"/>
  <c r="K176" i="5"/>
  <c r="J177" i="5"/>
  <c r="J178" i="5"/>
  <c r="K179" i="5"/>
  <c r="N154" i="5"/>
  <c r="P156" i="5"/>
  <c r="Q156" i="5"/>
  <c r="R156" i="5"/>
  <c r="P157" i="5"/>
  <c r="Q157" i="5"/>
  <c r="R157" i="5"/>
  <c r="O157" i="5"/>
  <c r="P158" i="5"/>
  <c r="Q158" i="5"/>
  <c r="R158" i="5"/>
  <c r="O158" i="5"/>
  <c r="P159" i="5"/>
  <c r="Q159" i="5"/>
  <c r="R159" i="5"/>
  <c r="O159" i="5"/>
  <c r="P160" i="5"/>
  <c r="Q160" i="5"/>
  <c r="R160" i="5"/>
  <c r="O160" i="5"/>
  <c r="P161" i="5"/>
  <c r="Q161" i="5"/>
  <c r="R161" i="5"/>
  <c r="O161" i="5"/>
  <c r="P162" i="5"/>
  <c r="Q162" i="5"/>
  <c r="R162" i="5"/>
  <c r="O162" i="5"/>
  <c r="P163" i="5"/>
  <c r="Q163" i="5"/>
  <c r="R163" i="5"/>
  <c r="O163" i="5"/>
  <c r="P164" i="5"/>
  <c r="Q164" i="5"/>
  <c r="R164" i="5"/>
  <c r="O164" i="5"/>
  <c r="P165" i="5"/>
  <c r="Q165" i="5"/>
  <c r="R165" i="5"/>
  <c r="O165" i="5"/>
  <c r="P166" i="5"/>
  <c r="Q166" i="5"/>
  <c r="R166" i="5"/>
  <c r="O166" i="5"/>
  <c r="P167" i="5"/>
  <c r="Q167" i="5"/>
  <c r="R167" i="5"/>
  <c r="O167" i="5"/>
  <c r="P168" i="5"/>
  <c r="Q168" i="5"/>
  <c r="R168" i="5"/>
  <c r="O168" i="5"/>
  <c r="P169" i="5"/>
  <c r="Q169" i="5"/>
  <c r="R169" i="5"/>
  <c r="O169" i="5"/>
  <c r="P170" i="5"/>
  <c r="Q170" i="5"/>
  <c r="R170" i="5"/>
  <c r="O170" i="5"/>
  <c r="P171" i="5"/>
  <c r="Q171" i="5"/>
  <c r="R171" i="5"/>
  <c r="O171" i="5"/>
  <c r="P172" i="5"/>
  <c r="Q172" i="5"/>
  <c r="R172" i="5"/>
  <c r="O172" i="5"/>
  <c r="P173" i="5"/>
  <c r="Q173" i="5"/>
  <c r="R173" i="5"/>
  <c r="O173" i="5"/>
  <c r="P174" i="5"/>
  <c r="Q174" i="5"/>
  <c r="R174" i="5"/>
  <c r="O174" i="5"/>
  <c r="P175" i="5"/>
  <c r="Q175" i="5"/>
  <c r="R175" i="5"/>
  <c r="O175" i="5"/>
  <c r="Q179" i="5"/>
  <c r="O179" i="5"/>
  <c r="Q177" i="5"/>
  <c r="O178" i="5"/>
  <c r="Q176" i="5"/>
  <c r="R176" i="5"/>
  <c r="O176" i="5"/>
  <c r="R178" i="5"/>
  <c r="P179" i="5"/>
  <c r="R179" i="5"/>
  <c r="P176" i="5"/>
  <c r="P177" i="5"/>
  <c r="R177" i="5"/>
  <c r="O177" i="5"/>
  <c r="P178" i="5"/>
  <c r="Q178" i="5"/>
  <c r="T154" i="5"/>
  <c r="V156" i="5"/>
  <c r="W156" i="5"/>
  <c r="X156" i="5"/>
  <c r="V157" i="5"/>
  <c r="W157" i="5"/>
  <c r="X157" i="5"/>
  <c r="U157" i="5"/>
  <c r="V158" i="5"/>
  <c r="W158" i="5"/>
  <c r="X158" i="5"/>
  <c r="U158" i="5"/>
  <c r="V159" i="5"/>
  <c r="W159" i="5"/>
  <c r="X159" i="5"/>
  <c r="U159" i="5"/>
  <c r="V160" i="5"/>
  <c r="W160" i="5"/>
  <c r="X160" i="5"/>
  <c r="U160" i="5"/>
  <c r="V161" i="5"/>
  <c r="W161" i="5"/>
  <c r="X161" i="5"/>
  <c r="U161" i="5"/>
  <c r="V162" i="5"/>
  <c r="W162" i="5"/>
  <c r="X162" i="5"/>
  <c r="U162" i="5"/>
  <c r="V163" i="5"/>
  <c r="W163" i="5"/>
  <c r="X163" i="5"/>
  <c r="U163" i="5"/>
  <c r="V164" i="5"/>
  <c r="W164" i="5"/>
  <c r="X164" i="5"/>
  <c r="U164" i="5"/>
  <c r="V165" i="5"/>
  <c r="W165" i="5"/>
  <c r="X165" i="5"/>
  <c r="U165" i="5"/>
  <c r="V166" i="5"/>
  <c r="W166" i="5"/>
  <c r="X166" i="5"/>
  <c r="U166" i="5"/>
  <c r="V167" i="5"/>
  <c r="W167" i="5"/>
  <c r="X167" i="5"/>
  <c r="U167" i="5"/>
  <c r="V168" i="5"/>
  <c r="W168" i="5"/>
  <c r="X168" i="5"/>
  <c r="U168" i="5"/>
  <c r="V169" i="5"/>
  <c r="W169" i="5"/>
  <c r="X169" i="5"/>
  <c r="U169" i="5"/>
  <c r="V170" i="5"/>
  <c r="W170" i="5"/>
  <c r="X170" i="5"/>
  <c r="U170" i="5"/>
  <c r="V171" i="5"/>
  <c r="W171" i="5"/>
  <c r="X171" i="5"/>
  <c r="U171" i="5"/>
  <c r="V172" i="5"/>
  <c r="W172" i="5"/>
  <c r="X172" i="5"/>
  <c r="U172" i="5"/>
  <c r="V173" i="5"/>
  <c r="W173" i="5"/>
  <c r="X173" i="5"/>
  <c r="U173" i="5"/>
  <c r="V174" i="5"/>
  <c r="W174" i="5"/>
  <c r="X174" i="5"/>
  <c r="U174" i="5"/>
  <c r="V175" i="5"/>
  <c r="W175" i="5"/>
  <c r="X175" i="5"/>
  <c r="U175" i="5"/>
  <c r="V176" i="5"/>
  <c r="U176" i="5"/>
  <c r="X178" i="5"/>
  <c r="W179" i="5"/>
  <c r="X176" i="5"/>
  <c r="V178" i="5"/>
  <c r="W177" i="5"/>
  <c r="U177" i="5"/>
  <c r="V179" i="5"/>
  <c r="X179" i="5"/>
  <c r="U179" i="5"/>
  <c r="W176" i="5"/>
  <c r="V177" i="5"/>
  <c r="X177" i="5"/>
  <c r="W178" i="5"/>
  <c r="U178" i="5"/>
  <c r="P73" i="5"/>
  <c r="Q73" i="5"/>
  <c r="R73" i="5"/>
  <c r="P74" i="5"/>
  <c r="Q74" i="5"/>
  <c r="R74" i="5"/>
  <c r="P75" i="5"/>
  <c r="Q75" i="5"/>
  <c r="R75" i="5"/>
  <c r="P76" i="5"/>
  <c r="Q76" i="5"/>
  <c r="R76" i="5"/>
  <c r="P77" i="5"/>
  <c r="Q77" i="5"/>
  <c r="R77" i="5"/>
  <c r="P78" i="5"/>
  <c r="Q78" i="5"/>
  <c r="R78" i="5"/>
  <c r="P79" i="5"/>
  <c r="Q79" i="5"/>
  <c r="R79" i="5"/>
  <c r="P80" i="5"/>
  <c r="Q80" i="5"/>
  <c r="R80" i="5"/>
  <c r="P81" i="5"/>
  <c r="Q81" i="5"/>
  <c r="R81" i="5"/>
  <c r="P82" i="5"/>
  <c r="Q82" i="5"/>
  <c r="R82" i="5"/>
  <c r="P83" i="5"/>
  <c r="Q83" i="5"/>
  <c r="R83" i="5"/>
  <c r="P84" i="5"/>
  <c r="Q84" i="5"/>
  <c r="R84" i="5"/>
  <c r="P85" i="5"/>
  <c r="Q85" i="5"/>
  <c r="R85" i="5"/>
  <c r="P86" i="5"/>
  <c r="Q86" i="5"/>
  <c r="R86" i="5"/>
  <c r="P87" i="5"/>
  <c r="Q87" i="5"/>
  <c r="R87" i="5"/>
  <c r="P88" i="5"/>
  <c r="Q88" i="5"/>
  <c r="R88" i="5"/>
  <c r="P89" i="5"/>
  <c r="Q89" i="5"/>
  <c r="R89" i="5"/>
  <c r="P90" i="5"/>
  <c r="Q90" i="5"/>
  <c r="R90" i="5"/>
  <c r="P91" i="5"/>
  <c r="Q91" i="5"/>
  <c r="R91" i="5"/>
  <c r="P92" i="5"/>
  <c r="Q92" i="5"/>
  <c r="R92" i="5"/>
  <c r="P93" i="5"/>
  <c r="Q93" i="5"/>
  <c r="R93" i="5"/>
  <c r="P94" i="5"/>
  <c r="Q94" i="5"/>
  <c r="R94" i="5"/>
  <c r="P95" i="5"/>
  <c r="Q95" i="5"/>
  <c r="R95" i="5"/>
  <c r="P72" i="5"/>
  <c r="Q72" i="5"/>
  <c r="R72" i="5"/>
  <c r="V95" i="5"/>
  <c r="W95" i="5"/>
  <c r="X95" i="5"/>
  <c r="V72" i="5"/>
  <c r="W72" i="5"/>
  <c r="X72" i="5"/>
  <c r="V73" i="5"/>
  <c r="W73" i="5"/>
  <c r="X73" i="5"/>
  <c r="V74" i="5"/>
  <c r="W74" i="5"/>
  <c r="X74" i="5"/>
  <c r="V75" i="5"/>
  <c r="W75" i="5"/>
  <c r="X75" i="5"/>
  <c r="V76" i="5"/>
  <c r="W76" i="5"/>
  <c r="X76" i="5"/>
  <c r="V77" i="5"/>
  <c r="W77" i="5"/>
  <c r="X77" i="5"/>
  <c r="V78" i="5"/>
  <c r="W78" i="5"/>
  <c r="X78" i="5"/>
  <c r="V79" i="5"/>
  <c r="W79" i="5"/>
  <c r="X79" i="5"/>
  <c r="V80" i="5"/>
  <c r="W80" i="5"/>
  <c r="X80" i="5"/>
  <c r="V81" i="5"/>
  <c r="W81" i="5"/>
  <c r="X81" i="5"/>
  <c r="V82" i="5"/>
  <c r="W82" i="5"/>
  <c r="X82" i="5"/>
  <c r="V83" i="5"/>
  <c r="W83" i="5"/>
  <c r="X83" i="5"/>
  <c r="V84" i="5"/>
  <c r="W84" i="5"/>
  <c r="X84" i="5"/>
  <c r="V85" i="5"/>
  <c r="W85" i="5"/>
  <c r="X85" i="5"/>
  <c r="V86" i="5"/>
  <c r="W86" i="5"/>
  <c r="X86" i="5"/>
  <c r="V87" i="5"/>
  <c r="W87" i="5"/>
  <c r="X87" i="5"/>
  <c r="V88" i="5"/>
  <c r="W88" i="5"/>
  <c r="X88" i="5"/>
  <c r="V89" i="5"/>
  <c r="W89" i="5"/>
  <c r="X89" i="5"/>
  <c r="V90" i="5"/>
  <c r="W90" i="5"/>
  <c r="X90" i="5"/>
  <c r="V91" i="5"/>
  <c r="W91" i="5"/>
  <c r="X91" i="5"/>
  <c r="V92" i="5"/>
  <c r="W92" i="5"/>
  <c r="X92" i="5"/>
  <c r="V93" i="5"/>
  <c r="W93" i="5"/>
  <c r="X93" i="5"/>
  <c r="V94" i="5"/>
  <c r="W94" i="5"/>
  <c r="X94" i="5"/>
  <c r="H98" i="5"/>
  <c r="J100" i="5"/>
  <c r="K100" i="5"/>
  <c r="L100" i="5"/>
  <c r="J101" i="5"/>
  <c r="K101" i="5"/>
  <c r="L101" i="5"/>
  <c r="I101" i="5"/>
  <c r="J102" i="5"/>
  <c r="K102" i="5"/>
  <c r="L102" i="5"/>
  <c r="I102" i="5"/>
  <c r="J103" i="5"/>
  <c r="K103" i="5"/>
  <c r="L103" i="5"/>
  <c r="I103" i="5"/>
  <c r="J104" i="5"/>
  <c r="K104" i="5"/>
  <c r="L104" i="5"/>
  <c r="I104" i="5"/>
  <c r="J105" i="5"/>
  <c r="K105" i="5"/>
  <c r="L105" i="5"/>
  <c r="I105" i="5"/>
  <c r="J106" i="5"/>
  <c r="K106" i="5"/>
  <c r="L106" i="5"/>
  <c r="I106" i="5"/>
  <c r="J107" i="5"/>
  <c r="K107" i="5"/>
  <c r="L107" i="5"/>
  <c r="I107" i="5"/>
  <c r="J108" i="5"/>
  <c r="K108" i="5"/>
  <c r="L108" i="5"/>
  <c r="I108" i="5"/>
  <c r="J109" i="5"/>
  <c r="K109" i="5"/>
  <c r="L109" i="5"/>
  <c r="I109" i="5"/>
  <c r="J110" i="5"/>
  <c r="K110" i="5"/>
  <c r="L110" i="5"/>
  <c r="I110" i="5"/>
  <c r="J111" i="5"/>
  <c r="K111" i="5"/>
  <c r="L111" i="5"/>
  <c r="K114" i="5"/>
  <c r="K115" i="5"/>
  <c r="J113" i="5"/>
  <c r="I114" i="5"/>
  <c r="J115" i="5"/>
  <c r="I115" i="5"/>
  <c r="J116" i="5"/>
  <c r="K116" i="5"/>
  <c r="I116" i="5"/>
  <c r="K117" i="5"/>
  <c r="I117" i="5"/>
  <c r="J118" i="5"/>
  <c r="L118" i="5"/>
  <c r="J119" i="5"/>
  <c r="I119" i="5"/>
  <c r="K120" i="5"/>
  <c r="L120" i="5"/>
  <c r="J121" i="5"/>
  <c r="L121" i="5"/>
  <c r="I121" i="5"/>
  <c r="J122" i="5"/>
  <c r="L122" i="5"/>
  <c r="I122" i="5"/>
  <c r="J123" i="5"/>
  <c r="K123" i="5"/>
  <c r="L123" i="5"/>
  <c r="I123" i="5"/>
  <c r="I111" i="5"/>
  <c r="J112" i="5"/>
  <c r="K112" i="5"/>
  <c r="L112" i="5"/>
  <c r="I112" i="5"/>
  <c r="K113" i="5"/>
  <c r="L113" i="5"/>
  <c r="I113" i="5"/>
  <c r="J114" i="5"/>
  <c r="L114" i="5"/>
  <c r="L115" i="5"/>
  <c r="L116" i="5"/>
  <c r="J117" i="5"/>
  <c r="L117" i="5"/>
  <c r="K118" i="5"/>
  <c r="I118" i="5"/>
  <c r="K119" i="5"/>
  <c r="L119" i="5"/>
  <c r="J120" i="5"/>
  <c r="I120" i="5"/>
  <c r="K121" i="5"/>
  <c r="K122" i="5"/>
  <c r="T98" i="5"/>
  <c r="V100" i="5"/>
  <c r="W100" i="5"/>
  <c r="X100" i="5"/>
  <c r="V101" i="5"/>
  <c r="W101" i="5"/>
  <c r="X101" i="5"/>
  <c r="U101" i="5"/>
  <c r="V102" i="5"/>
  <c r="W102" i="5"/>
  <c r="X102" i="5"/>
  <c r="U102" i="5"/>
  <c r="V103" i="5"/>
  <c r="W103" i="5"/>
  <c r="X103" i="5"/>
  <c r="U103" i="5"/>
  <c r="V104" i="5"/>
  <c r="W104" i="5"/>
  <c r="X104" i="5"/>
  <c r="U104" i="5"/>
  <c r="V105" i="5"/>
  <c r="W105" i="5"/>
  <c r="X105" i="5"/>
  <c r="U105" i="5"/>
  <c r="V106" i="5"/>
  <c r="W106" i="5"/>
  <c r="X106" i="5"/>
  <c r="U106" i="5"/>
  <c r="V107" i="5"/>
  <c r="W107" i="5"/>
  <c r="X107" i="5"/>
  <c r="U107" i="5"/>
  <c r="V108" i="5"/>
  <c r="W108" i="5"/>
  <c r="X108" i="5"/>
  <c r="U108" i="5"/>
  <c r="V109" i="5"/>
  <c r="W109" i="5"/>
  <c r="X109" i="5"/>
  <c r="U109" i="5"/>
  <c r="V110" i="5"/>
  <c r="W110" i="5"/>
  <c r="X110" i="5"/>
  <c r="U110" i="5"/>
  <c r="V111" i="5"/>
  <c r="W111" i="5"/>
  <c r="X111" i="5"/>
  <c r="V114" i="5"/>
  <c r="X114" i="5"/>
  <c r="U112" i="5"/>
  <c r="V113" i="5"/>
  <c r="X113" i="5"/>
  <c r="U113" i="5"/>
  <c r="U114" i="5"/>
  <c r="U115" i="5"/>
  <c r="V117" i="5"/>
  <c r="U117" i="5"/>
  <c r="V120" i="5"/>
  <c r="W120" i="5"/>
  <c r="X120" i="5"/>
  <c r="U121" i="5"/>
  <c r="V122" i="5"/>
  <c r="W122" i="5"/>
  <c r="X122" i="5"/>
  <c r="U122" i="5"/>
  <c r="V123" i="5"/>
  <c r="W123" i="5"/>
  <c r="X123" i="5"/>
  <c r="U123" i="5"/>
  <c r="U111" i="5"/>
  <c r="V112" i="5"/>
  <c r="W112" i="5"/>
  <c r="X112" i="5"/>
  <c r="W113" i="5"/>
  <c r="W114" i="5"/>
  <c r="V115" i="5"/>
  <c r="W115" i="5"/>
  <c r="X115" i="5"/>
  <c r="V116" i="5"/>
  <c r="W116" i="5"/>
  <c r="X116" i="5"/>
  <c r="U116" i="5"/>
  <c r="W117" i="5"/>
  <c r="X117" i="5"/>
  <c r="V118" i="5"/>
  <c r="W118" i="5"/>
  <c r="X118" i="5"/>
  <c r="U118" i="5"/>
  <c r="V119" i="5"/>
  <c r="W119" i="5"/>
  <c r="X119" i="5"/>
  <c r="U119" i="5"/>
  <c r="U120" i="5"/>
  <c r="V121" i="5"/>
  <c r="W121" i="5"/>
  <c r="X121" i="5"/>
  <c r="N126" i="5"/>
  <c r="P128" i="5"/>
  <c r="Q128" i="5"/>
  <c r="R128" i="5"/>
  <c r="P129" i="5"/>
  <c r="Q129" i="5"/>
  <c r="R129" i="5"/>
  <c r="O129" i="5"/>
  <c r="P130" i="5"/>
  <c r="Q130" i="5"/>
  <c r="R130" i="5"/>
  <c r="O130" i="5"/>
  <c r="P131" i="5"/>
  <c r="Q131" i="5"/>
  <c r="R131" i="5"/>
  <c r="O131" i="5"/>
  <c r="P132" i="5"/>
  <c r="Q132" i="5"/>
  <c r="R132" i="5"/>
  <c r="O132" i="5"/>
  <c r="P133" i="5"/>
  <c r="Q133" i="5"/>
  <c r="R133" i="5"/>
  <c r="O133" i="5"/>
  <c r="P134" i="5"/>
  <c r="Q134" i="5"/>
  <c r="R134" i="5"/>
  <c r="O134" i="5"/>
  <c r="P135" i="5"/>
  <c r="Q135" i="5"/>
  <c r="R135" i="5"/>
  <c r="O135" i="5"/>
  <c r="P136" i="5"/>
  <c r="Q136" i="5"/>
  <c r="R136" i="5"/>
  <c r="O136" i="5"/>
  <c r="P137" i="5"/>
  <c r="Q137" i="5"/>
  <c r="R137" i="5"/>
  <c r="O137" i="5"/>
  <c r="P138" i="5"/>
  <c r="Q138" i="5"/>
  <c r="R138" i="5"/>
  <c r="O138" i="5"/>
  <c r="P139" i="5"/>
  <c r="Q139" i="5"/>
  <c r="R139" i="5"/>
  <c r="O139" i="5"/>
  <c r="P140" i="5"/>
  <c r="Q140" i="5"/>
  <c r="R140" i="5"/>
  <c r="O140" i="5"/>
  <c r="P141" i="5"/>
  <c r="Q141" i="5"/>
  <c r="R141" i="5"/>
  <c r="O141" i="5"/>
  <c r="P142" i="5"/>
  <c r="Q142" i="5"/>
  <c r="R142" i="5"/>
  <c r="O142" i="5"/>
  <c r="P143" i="5"/>
  <c r="Q143" i="5"/>
  <c r="R143" i="5"/>
  <c r="O143" i="5"/>
  <c r="P144" i="5"/>
  <c r="Q144" i="5"/>
  <c r="R144" i="5"/>
  <c r="O144" i="5"/>
  <c r="P145" i="5"/>
  <c r="Q145" i="5"/>
  <c r="R145" i="5"/>
  <c r="O145" i="5"/>
  <c r="P146" i="5"/>
  <c r="Q146" i="5"/>
  <c r="R146" i="5"/>
  <c r="O146" i="5"/>
  <c r="P147" i="5"/>
  <c r="Q147" i="5"/>
  <c r="R147" i="5"/>
  <c r="O147" i="5"/>
  <c r="P148" i="5"/>
  <c r="Q148" i="5"/>
  <c r="R148" i="5"/>
  <c r="O148" i="5"/>
  <c r="P149" i="5"/>
  <c r="Q149" i="5"/>
  <c r="R149" i="5"/>
  <c r="O149" i="5"/>
  <c r="P150" i="5"/>
  <c r="Q150" i="5"/>
  <c r="R150" i="5"/>
  <c r="O150" i="5"/>
  <c r="P151" i="5"/>
  <c r="Q151" i="5"/>
  <c r="R151" i="5"/>
  <c r="O151" i="5"/>
  <c r="B154" i="5"/>
  <c r="D156" i="5"/>
  <c r="E156" i="5"/>
  <c r="F156" i="5"/>
  <c r="D157" i="5"/>
  <c r="E157" i="5"/>
  <c r="F157" i="5"/>
  <c r="C157" i="5"/>
  <c r="D158" i="5"/>
  <c r="E158" i="5"/>
  <c r="F158" i="5"/>
  <c r="C158" i="5"/>
  <c r="D159" i="5"/>
  <c r="E159" i="5"/>
  <c r="F159" i="5"/>
  <c r="C159" i="5"/>
  <c r="D160" i="5"/>
  <c r="E160" i="5"/>
  <c r="F160" i="5"/>
  <c r="C160" i="5"/>
  <c r="D161" i="5"/>
  <c r="E161" i="5"/>
  <c r="F161" i="5"/>
  <c r="C161" i="5"/>
  <c r="D162" i="5"/>
  <c r="E162" i="5"/>
  <c r="F162" i="5"/>
  <c r="C162" i="5"/>
  <c r="D163" i="5"/>
  <c r="E163" i="5"/>
  <c r="F163" i="5"/>
  <c r="C163" i="5"/>
  <c r="D164" i="5"/>
  <c r="E164" i="5"/>
  <c r="F164" i="5"/>
  <c r="C164" i="5"/>
  <c r="D165" i="5"/>
  <c r="E165" i="5"/>
  <c r="F165" i="5"/>
  <c r="C165" i="5"/>
  <c r="D166" i="5"/>
  <c r="E166" i="5"/>
  <c r="F166" i="5"/>
  <c r="C166" i="5"/>
  <c r="D167" i="5"/>
  <c r="E167" i="5"/>
  <c r="F167" i="5"/>
  <c r="C167" i="5"/>
  <c r="D168" i="5"/>
  <c r="E168" i="5"/>
  <c r="F168" i="5"/>
  <c r="C168" i="5"/>
  <c r="D169" i="5"/>
  <c r="E169" i="5"/>
  <c r="F169" i="5"/>
  <c r="C169" i="5"/>
  <c r="D170" i="5"/>
  <c r="E170" i="5"/>
  <c r="F170" i="5"/>
  <c r="C170" i="5"/>
  <c r="D171" i="5"/>
  <c r="E171" i="5"/>
  <c r="F171" i="5"/>
  <c r="C171" i="5"/>
  <c r="D172" i="5"/>
  <c r="E172" i="5"/>
  <c r="F172" i="5"/>
  <c r="C172" i="5"/>
  <c r="D173" i="5"/>
  <c r="E173" i="5"/>
  <c r="F173" i="5"/>
  <c r="C173" i="5"/>
  <c r="D174" i="5"/>
  <c r="E174" i="5"/>
  <c r="F174" i="5"/>
  <c r="C174" i="5"/>
  <c r="D175" i="5"/>
  <c r="E175" i="5"/>
  <c r="F175" i="5"/>
  <c r="C175" i="5"/>
  <c r="D176" i="5"/>
  <c r="E176" i="5"/>
  <c r="F176" i="5"/>
  <c r="F178" i="5"/>
  <c r="E179" i="5"/>
  <c r="C179" i="5"/>
  <c r="D177" i="5"/>
  <c r="F177" i="5"/>
  <c r="E178" i="5"/>
  <c r="C176" i="5"/>
  <c r="E177" i="5"/>
  <c r="C177" i="5"/>
  <c r="D178" i="5"/>
  <c r="C178" i="5"/>
  <c r="D179" i="5"/>
  <c r="F179" i="5"/>
  <c r="D72" i="5"/>
  <c r="E72" i="5"/>
  <c r="F72" i="5"/>
  <c r="D73" i="5"/>
  <c r="E73" i="5"/>
  <c r="F73" i="5"/>
  <c r="D74" i="5"/>
  <c r="E74" i="5"/>
  <c r="F74" i="5"/>
  <c r="D75" i="5"/>
  <c r="E75" i="5"/>
  <c r="F75" i="5"/>
  <c r="D76" i="5"/>
  <c r="E76" i="5"/>
  <c r="F76" i="5"/>
  <c r="D77" i="5"/>
  <c r="E77" i="5"/>
  <c r="F77" i="5"/>
  <c r="D78" i="5"/>
  <c r="E78" i="5"/>
  <c r="F78" i="5"/>
  <c r="D79" i="5"/>
  <c r="E79" i="5"/>
  <c r="F79" i="5"/>
  <c r="D80" i="5"/>
  <c r="E80" i="5"/>
  <c r="F80" i="5"/>
  <c r="D81" i="5"/>
  <c r="E81" i="5"/>
  <c r="F81" i="5"/>
  <c r="D82" i="5"/>
  <c r="E82" i="5"/>
  <c r="F82" i="5"/>
  <c r="D83" i="5"/>
  <c r="E83" i="5"/>
  <c r="F83" i="5"/>
  <c r="D84" i="5"/>
  <c r="E84" i="5"/>
  <c r="F84" i="5"/>
  <c r="D85" i="5"/>
  <c r="E85" i="5"/>
  <c r="F85" i="5"/>
  <c r="D86" i="5"/>
  <c r="E86" i="5"/>
  <c r="F86" i="5"/>
  <c r="D87" i="5"/>
  <c r="E87" i="5"/>
  <c r="F87" i="5"/>
  <c r="D88" i="5"/>
  <c r="E88" i="5"/>
  <c r="F88" i="5"/>
  <c r="D89" i="5"/>
  <c r="E89" i="5"/>
  <c r="F89" i="5"/>
  <c r="D90" i="5"/>
  <c r="E90" i="5"/>
  <c r="F90" i="5"/>
  <c r="D91" i="5"/>
  <c r="E91" i="5"/>
  <c r="F91" i="5"/>
  <c r="D92" i="5"/>
  <c r="E92" i="5"/>
  <c r="F92" i="5"/>
  <c r="D93" i="5"/>
  <c r="E93" i="5"/>
  <c r="F93" i="5"/>
  <c r="D94" i="5"/>
  <c r="E94" i="5"/>
  <c r="F94" i="5"/>
  <c r="D95" i="5"/>
  <c r="E95" i="5"/>
  <c r="F95" i="5"/>
  <c r="H126" i="5"/>
  <c r="J128" i="5"/>
  <c r="K128" i="5"/>
  <c r="L128" i="5"/>
  <c r="J129" i="5"/>
  <c r="K129" i="5"/>
  <c r="L129" i="5"/>
  <c r="I129" i="5"/>
  <c r="J130" i="5"/>
  <c r="K130" i="5"/>
  <c r="L130" i="5"/>
  <c r="I130" i="5"/>
  <c r="J131" i="5"/>
  <c r="K131" i="5"/>
  <c r="L131" i="5"/>
  <c r="I131" i="5"/>
  <c r="J132" i="5"/>
  <c r="K132" i="5"/>
  <c r="L132" i="5"/>
  <c r="I132" i="5"/>
  <c r="J133" i="5"/>
  <c r="K133" i="5"/>
  <c r="L133" i="5"/>
  <c r="I133" i="5"/>
  <c r="J134" i="5"/>
  <c r="K134" i="5"/>
  <c r="L134" i="5"/>
  <c r="I134" i="5"/>
  <c r="J135" i="5"/>
  <c r="K135" i="5"/>
  <c r="L135" i="5"/>
  <c r="I135" i="5"/>
  <c r="J136" i="5"/>
  <c r="K136" i="5"/>
  <c r="L136" i="5"/>
  <c r="I136" i="5"/>
  <c r="J137" i="5"/>
  <c r="K137" i="5"/>
  <c r="L137" i="5"/>
  <c r="I137" i="5"/>
  <c r="J138" i="5"/>
  <c r="K138" i="5"/>
  <c r="L138" i="5"/>
  <c r="I138" i="5"/>
  <c r="J139" i="5"/>
  <c r="K139" i="5"/>
  <c r="L139" i="5"/>
  <c r="I139" i="5"/>
  <c r="J140" i="5"/>
  <c r="K140" i="5"/>
  <c r="L140" i="5"/>
  <c r="I140" i="5"/>
  <c r="J141" i="5"/>
  <c r="K141" i="5"/>
  <c r="L141" i="5"/>
  <c r="I141" i="5"/>
  <c r="J142" i="5"/>
  <c r="K142" i="5"/>
  <c r="L142" i="5"/>
  <c r="I142" i="5"/>
  <c r="J143" i="5"/>
  <c r="K143" i="5"/>
  <c r="L143" i="5"/>
  <c r="I143" i="5"/>
  <c r="J144" i="5"/>
  <c r="K144" i="5"/>
  <c r="L144" i="5"/>
  <c r="I144" i="5"/>
  <c r="J145" i="5"/>
  <c r="K145" i="5"/>
  <c r="L145" i="5"/>
  <c r="I145" i="5"/>
  <c r="J146" i="5"/>
  <c r="K146" i="5"/>
  <c r="L146" i="5"/>
  <c r="I146" i="5"/>
  <c r="J147" i="5"/>
  <c r="K147" i="5"/>
  <c r="L147" i="5"/>
  <c r="I147" i="5"/>
  <c r="J148" i="5"/>
  <c r="K148" i="5"/>
  <c r="L148" i="5"/>
  <c r="I148" i="5"/>
  <c r="J149" i="5"/>
  <c r="K149" i="5"/>
  <c r="L149" i="5"/>
  <c r="I149" i="5"/>
  <c r="J150" i="5"/>
  <c r="K150" i="5"/>
  <c r="L150" i="5"/>
  <c r="I150" i="5"/>
  <c r="J151" i="5"/>
  <c r="K151" i="5"/>
  <c r="L151" i="5"/>
  <c r="I151" i="5"/>
  <c r="N98" i="5"/>
  <c r="P100" i="5"/>
  <c r="Q100" i="5"/>
  <c r="R100" i="5"/>
  <c r="P101" i="5"/>
  <c r="Q101" i="5"/>
  <c r="R101" i="5"/>
  <c r="O101" i="5"/>
  <c r="P102" i="5"/>
  <c r="Q102" i="5"/>
  <c r="R102" i="5"/>
  <c r="O102" i="5"/>
  <c r="P103" i="5"/>
  <c r="Q103" i="5"/>
  <c r="R103" i="5"/>
  <c r="O103" i="5"/>
  <c r="P104" i="5"/>
  <c r="Q104" i="5"/>
  <c r="R104" i="5"/>
  <c r="O104" i="5"/>
  <c r="P105" i="5"/>
  <c r="Q105" i="5"/>
  <c r="R105" i="5"/>
  <c r="O105" i="5"/>
  <c r="P106" i="5"/>
  <c r="Q106" i="5"/>
  <c r="R106" i="5"/>
  <c r="O106" i="5"/>
  <c r="P107" i="5"/>
  <c r="Q107" i="5"/>
  <c r="R107" i="5"/>
  <c r="O107" i="5"/>
  <c r="P108" i="5"/>
  <c r="Q108" i="5"/>
  <c r="R108" i="5"/>
  <c r="O108" i="5"/>
  <c r="P109" i="5"/>
  <c r="Q109" i="5"/>
  <c r="R109" i="5"/>
  <c r="O109" i="5"/>
  <c r="P110" i="5"/>
  <c r="Q110" i="5"/>
  <c r="R110" i="5"/>
  <c r="O110" i="5"/>
  <c r="P111" i="5"/>
  <c r="Q111" i="5"/>
  <c r="R111" i="5"/>
  <c r="O113" i="5"/>
  <c r="P114" i="5"/>
  <c r="Q114" i="5"/>
  <c r="R114" i="5"/>
  <c r="Q115" i="5"/>
  <c r="R116" i="5"/>
  <c r="P113" i="5"/>
  <c r="R115" i="5"/>
  <c r="O116" i="5"/>
  <c r="Q117" i="5"/>
  <c r="R117" i="5"/>
  <c r="P118" i="5"/>
  <c r="R118" i="5"/>
  <c r="O118" i="5"/>
  <c r="Q119" i="5"/>
  <c r="R119" i="5"/>
  <c r="O119" i="5"/>
  <c r="P120" i="5"/>
  <c r="R120" i="5"/>
  <c r="O120" i="5"/>
  <c r="P121" i="5"/>
  <c r="R121" i="5"/>
  <c r="P122" i="5"/>
  <c r="Q122" i="5"/>
  <c r="R122" i="5"/>
  <c r="O122" i="5"/>
  <c r="P123" i="5"/>
  <c r="Q123" i="5"/>
  <c r="R123" i="5"/>
  <c r="O123" i="5"/>
  <c r="O111" i="5"/>
  <c r="P112" i="5"/>
  <c r="Q112" i="5"/>
  <c r="R112" i="5"/>
  <c r="O112" i="5"/>
  <c r="Q113" i="5"/>
  <c r="R113" i="5"/>
  <c r="O114" i="5"/>
  <c r="P115" i="5"/>
  <c r="O115" i="5"/>
  <c r="P116" i="5"/>
  <c r="Q116" i="5"/>
  <c r="P117" i="5"/>
  <c r="O117" i="5"/>
  <c r="Q118" i="5"/>
  <c r="P119" i="5"/>
  <c r="Q120" i="5"/>
  <c r="Q121" i="5"/>
  <c r="O121" i="5"/>
  <c r="B126" i="5"/>
  <c r="D128" i="5"/>
  <c r="E128" i="5"/>
  <c r="F128" i="5"/>
  <c r="D129" i="5"/>
  <c r="E129" i="5"/>
  <c r="F129" i="5"/>
  <c r="C129" i="5"/>
  <c r="D130" i="5"/>
  <c r="E130" i="5"/>
  <c r="F130" i="5"/>
  <c r="C130" i="5"/>
  <c r="D131" i="5"/>
  <c r="E131" i="5"/>
  <c r="F131" i="5"/>
  <c r="C131" i="5"/>
  <c r="D132" i="5"/>
  <c r="E132" i="5"/>
  <c r="F132" i="5"/>
  <c r="C132" i="5"/>
  <c r="D133" i="5"/>
  <c r="E133" i="5"/>
  <c r="F133" i="5"/>
  <c r="C133" i="5"/>
  <c r="D134" i="5"/>
  <c r="E134" i="5"/>
  <c r="F134" i="5"/>
  <c r="C134" i="5"/>
  <c r="D135" i="5"/>
  <c r="E135" i="5"/>
  <c r="F135" i="5"/>
  <c r="C135" i="5"/>
  <c r="D136" i="5"/>
  <c r="E136" i="5"/>
  <c r="F136" i="5"/>
  <c r="C136" i="5"/>
  <c r="D137" i="5"/>
  <c r="E137" i="5"/>
  <c r="F137" i="5"/>
  <c r="C137" i="5"/>
  <c r="D138" i="5"/>
  <c r="E138" i="5"/>
  <c r="F138" i="5"/>
  <c r="C138" i="5"/>
  <c r="D139" i="5"/>
  <c r="E139" i="5"/>
  <c r="F139" i="5"/>
  <c r="C139" i="5"/>
  <c r="D140" i="5"/>
  <c r="E140" i="5"/>
  <c r="F140" i="5"/>
  <c r="C140" i="5"/>
  <c r="D141" i="5"/>
  <c r="E141" i="5"/>
  <c r="F141" i="5"/>
  <c r="C141" i="5"/>
  <c r="D142" i="5"/>
  <c r="E142" i="5"/>
  <c r="F142" i="5"/>
  <c r="C142" i="5"/>
  <c r="D143" i="5"/>
  <c r="E143" i="5"/>
  <c r="F143" i="5"/>
  <c r="C143" i="5"/>
  <c r="D144" i="5"/>
  <c r="E144" i="5"/>
  <c r="F144" i="5"/>
  <c r="C144" i="5"/>
  <c r="D145" i="5"/>
  <c r="E145" i="5"/>
  <c r="F145" i="5"/>
  <c r="C145" i="5"/>
  <c r="D146" i="5"/>
  <c r="E146" i="5"/>
  <c r="F146" i="5"/>
  <c r="C146" i="5"/>
  <c r="D147" i="5"/>
  <c r="E147" i="5"/>
  <c r="F147" i="5"/>
  <c r="C147" i="5"/>
  <c r="D148" i="5"/>
  <c r="E148" i="5"/>
  <c r="F148" i="5"/>
  <c r="C148" i="5"/>
  <c r="D149" i="5"/>
  <c r="E149" i="5"/>
  <c r="F149" i="5"/>
  <c r="C149" i="5"/>
  <c r="D150" i="5"/>
  <c r="E150" i="5"/>
  <c r="F150" i="5"/>
  <c r="C150" i="5"/>
  <c r="D151" i="5"/>
  <c r="E151" i="5"/>
  <c r="F151" i="5"/>
  <c r="C151" i="5"/>
  <c r="H126" i="4"/>
  <c r="L128" i="4"/>
  <c r="I129" i="4"/>
  <c r="L130" i="4"/>
  <c r="I130" i="4"/>
  <c r="I132" i="4"/>
  <c r="J134" i="4"/>
  <c r="L134" i="4"/>
  <c r="K135" i="4"/>
  <c r="I135" i="4"/>
  <c r="J136" i="4"/>
  <c r="L136" i="4"/>
  <c r="I136" i="4"/>
  <c r="L137" i="4"/>
  <c r="I138" i="4"/>
  <c r="J139" i="4"/>
  <c r="L139" i="4"/>
  <c r="I139" i="4"/>
  <c r="L140" i="4"/>
  <c r="J141" i="4"/>
  <c r="L141" i="4"/>
  <c r="I141" i="4"/>
  <c r="L142" i="4"/>
  <c r="J128" i="4"/>
  <c r="K128" i="4"/>
  <c r="J129" i="4"/>
  <c r="K129" i="4"/>
  <c r="L129" i="4"/>
  <c r="J130" i="4"/>
  <c r="K130" i="4"/>
  <c r="J131" i="4"/>
  <c r="K131" i="4"/>
  <c r="L131" i="4"/>
  <c r="I131" i="4"/>
  <c r="J132" i="4"/>
  <c r="K132" i="4"/>
  <c r="L132" i="4"/>
  <c r="J133" i="4"/>
  <c r="K133" i="4"/>
  <c r="L133" i="4"/>
  <c r="I133" i="4"/>
  <c r="K134" i="4"/>
  <c r="I134" i="4"/>
  <c r="J135" i="4"/>
  <c r="L135" i="4"/>
  <c r="K136" i="4"/>
  <c r="J137" i="4"/>
  <c r="K137" i="4"/>
  <c r="I137" i="4"/>
  <c r="J138" i="4"/>
  <c r="K138" i="4"/>
  <c r="L138" i="4"/>
  <c r="K139" i="4"/>
  <c r="J140" i="4"/>
  <c r="K140" i="4"/>
  <c r="I140" i="4"/>
  <c r="K141" i="4"/>
  <c r="J142" i="4"/>
  <c r="K142" i="4"/>
  <c r="I142" i="4"/>
  <c r="J143" i="4"/>
  <c r="K143" i="4"/>
  <c r="L143" i="4"/>
  <c r="I143" i="4"/>
  <c r="J144" i="4"/>
  <c r="K144" i="4"/>
  <c r="L144" i="4"/>
  <c r="I144" i="4"/>
  <c r="J145" i="4"/>
  <c r="K145" i="4"/>
  <c r="L145" i="4"/>
  <c r="I145" i="4"/>
  <c r="J146" i="4"/>
  <c r="K146" i="4"/>
  <c r="L146" i="4"/>
  <c r="I146" i="4"/>
  <c r="J147" i="4"/>
  <c r="K147" i="4"/>
  <c r="L147" i="4"/>
  <c r="I147" i="4"/>
  <c r="J148" i="4"/>
  <c r="K148" i="4"/>
  <c r="L148" i="4"/>
  <c r="I148" i="4"/>
  <c r="J149" i="4"/>
  <c r="K149" i="4"/>
  <c r="L149" i="4"/>
  <c r="I149" i="4"/>
  <c r="J150" i="4"/>
  <c r="K150" i="4"/>
  <c r="L150" i="4"/>
  <c r="I150" i="4"/>
  <c r="J151" i="4"/>
  <c r="K151" i="4"/>
  <c r="L151" i="4"/>
  <c r="I151" i="4"/>
  <c r="P72" i="4"/>
  <c r="Q72" i="4"/>
  <c r="R72" i="4"/>
  <c r="P73" i="4"/>
  <c r="Q73" i="4"/>
  <c r="R73" i="4"/>
  <c r="P74" i="4"/>
  <c r="Q74" i="4"/>
  <c r="R74" i="4"/>
  <c r="P75" i="4"/>
  <c r="Q75" i="4"/>
  <c r="R75" i="4"/>
  <c r="P76" i="4"/>
  <c r="Q76" i="4"/>
  <c r="R76" i="4"/>
  <c r="P77" i="4"/>
  <c r="Q77" i="4"/>
  <c r="R77" i="4"/>
  <c r="P78" i="4"/>
  <c r="Q78" i="4"/>
  <c r="R78" i="4"/>
  <c r="P79" i="4"/>
  <c r="Q79" i="4"/>
  <c r="R79" i="4"/>
  <c r="P80" i="4"/>
  <c r="Q80" i="4"/>
  <c r="R80" i="4"/>
  <c r="P81" i="4"/>
  <c r="Q81" i="4"/>
  <c r="R81" i="4"/>
  <c r="P82" i="4"/>
  <c r="Q82" i="4"/>
  <c r="R82" i="4"/>
  <c r="P83" i="4"/>
  <c r="Q83" i="4"/>
  <c r="R83" i="4"/>
  <c r="P84" i="4"/>
  <c r="Q84" i="4"/>
  <c r="R84" i="4"/>
  <c r="P85" i="4"/>
  <c r="Q85" i="4"/>
  <c r="R85" i="4"/>
  <c r="P86" i="4"/>
  <c r="Q86" i="4"/>
  <c r="R86" i="4"/>
  <c r="P87" i="4"/>
  <c r="Q87" i="4"/>
  <c r="R87" i="4"/>
  <c r="P88" i="4"/>
  <c r="Q88" i="4"/>
  <c r="R88" i="4"/>
  <c r="P89" i="4"/>
  <c r="Q89" i="4"/>
  <c r="R89" i="4"/>
  <c r="P90" i="4"/>
  <c r="Q90" i="4"/>
  <c r="R90" i="4"/>
  <c r="P91" i="4"/>
  <c r="Q91" i="4"/>
  <c r="R91" i="4"/>
  <c r="P92" i="4"/>
  <c r="Q92" i="4"/>
  <c r="R92" i="4"/>
  <c r="P93" i="4"/>
  <c r="Q93" i="4"/>
  <c r="R93" i="4"/>
  <c r="P94" i="4"/>
  <c r="Q94" i="4"/>
  <c r="R94" i="4"/>
  <c r="P95" i="4"/>
  <c r="Q95" i="4"/>
  <c r="R95" i="4"/>
  <c r="T126" i="4"/>
  <c r="W128" i="4"/>
  <c r="X129" i="4"/>
  <c r="W132" i="4"/>
  <c r="X133" i="4"/>
  <c r="U133" i="4"/>
  <c r="X134" i="4"/>
  <c r="V135" i="4"/>
  <c r="W135" i="4"/>
  <c r="X135" i="4"/>
  <c r="U135" i="4"/>
  <c r="V136" i="4"/>
  <c r="W137" i="4"/>
  <c r="X138" i="4"/>
  <c r="U138" i="4"/>
  <c r="V139" i="4"/>
  <c r="U139" i="4"/>
  <c r="V140" i="4"/>
  <c r="U140" i="4"/>
  <c r="X141" i="4"/>
  <c r="W142" i="4"/>
  <c r="V128" i="4"/>
  <c r="X128" i="4"/>
  <c r="V129" i="4"/>
  <c r="W129" i="4"/>
  <c r="U129" i="4"/>
  <c r="V130" i="4"/>
  <c r="W130" i="4"/>
  <c r="X130" i="4"/>
  <c r="U130" i="4"/>
  <c r="V131" i="4"/>
  <c r="W131" i="4"/>
  <c r="X131" i="4"/>
  <c r="U131" i="4"/>
  <c r="V132" i="4"/>
  <c r="X132" i="4"/>
  <c r="U132" i="4"/>
  <c r="V133" i="4"/>
  <c r="W133" i="4"/>
  <c r="V134" i="4"/>
  <c r="W134" i="4"/>
  <c r="U134" i="4"/>
  <c r="W136" i="4"/>
  <c r="X136" i="4"/>
  <c r="U136" i="4"/>
  <c r="V137" i="4"/>
  <c r="X137" i="4"/>
  <c r="U137" i="4"/>
  <c r="V138" i="4"/>
  <c r="W138" i="4"/>
  <c r="W139" i="4"/>
  <c r="X139" i="4"/>
  <c r="W140" i="4"/>
  <c r="X140" i="4"/>
  <c r="V141" i="4"/>
  <c r="W141" i="4"/>
  <c r="U141" i="4"/>
  <c r="V142" i="4"/>
  <c r="X142" i="4"/>
  <c r="U142" i="4"/>
  <c r="V143" i="4"/>
  <c r="W143" i="4"/>
  <c r="X143" i="4"/>
  <c r="U143" i="4"/>
  <c r="V144" i="4"/>
  <c r="W144" i="4"/>
  <c r="X144" i="4"/>
  <c r="U144" i="4"/>
  <c r="V145" i="4"/>
  <c r="W145" i="4"/>
  <c r="X145" i="4"/>
  <c r="U145" i="4"/>
  <c r="V146" i="4"/>
  <c r="W146" i="4"/>
  <c r="X146" i="4"/>
  <c r="U146" i="4"/>
  <c r="V147" i="4"/>
  <c r="W147" i="4"/>
  <c r="X147" i="4"/>
  <c r="U147" i="4"/>
  <c r="V148" i="4"/>
  <c r="W148" i="4"/>
  <c r="X148" i="4"/>
  <c r="U148" i="4"/>
  <c r="V149" i="4"/>
  <c r="W149" i="4"/>
  <c r="X149" i="4"/>
  <c r="U149" i="4"/>
  <c r="V150" i="4"/>
  <c r="W150" i="4"/>
  <c r="X150" i="4"/>
  <c r="U150" i="4"/>
  <c r="V151" i="4"/>
  <c r="W151" i="4"/>
  <c r="X151" i="4"/>
  <c r="U151" i="4"/>
  <c r="N154" i="4"/>
  <c r="P156" i="4"/>
  <c r="Q156" i="4"/>
  <c r="R156" i="4"/>
  <c r="P157" i="4"/>
  <c r="Q157" i="4"/>
  <c r="R157" i="4"/>
  <c r="O157" i="4"/>
  <c r="P158" i="4"/>
  <c r="Q158" i="4"/>
  <c r="R158" i="4"/>
  <c r="O158" i="4"/>
  <c r="P159" i="4"/>
  <c r="Q159" i="4"/>
  <c r="R159" i="4"/>
  <c r="O159" i="4"/>
  <c r="P160" i="4"/>
  <c r="Q160" i="4"/>
  <c r="R160" i="4"/>
  <c r="O160" i="4"/>
  <c r="P161" i="4"/>
  <c r="Q161" i="4"/>
  <c r="R161" i="4"/>
  <c r="O161" i="4"/>
  <c r="P162" i="4"/>
  <c r="Q162" i="4"/>
  <c r="R162" i="4"/>
  <c r="O162" i="4"/>
  <c r="P163" i="4"/>
  <c r="Q163" i="4"/>
  <c r="R163" i="4"/>
  <c r="O163" i="4"/>
  <c r="P164" i="4"/>
  <c r="Q164" i="4"/>
  <c r="R164" i="4"/>
  <c r="O164" i="4"/>
  <c r="P165" i="4"/>
  <c r="Q165" i="4"/>
  <c r="R165" i="4"/>
  <c r="O165" i="4"/>
  <c r="P166" i="4"/>
  <c r="Q166" i="4"/>
  <c r="R166" i="4"/>
  <c r="O166" i="4"/>
  <c r="P167" i="4"/>
  <c r="Q167" i="4"/>
  <c r="R167" i="4"/>
  <c r="O167" i="4"/>
  <c r="P168" i="4"/>
  <c r="Q168" i="4"/>
  <c r="R168" i="4"/>
  <c r="O168" i="4"/>
  <c r="P169" i="4"/>
  <c r="Q169" i="4"/>
  <c r="R169" i="4"/>
  <c r="O169" i="4"/>
  <c r="P170" i="4"/>
  <c r="Q170" i="4"/>
  <c r="R170" i="4"/>
  <c r="O170" i="4"/>
  <c r="P171" i="4"/>
  <c r="Q171" i="4"/>
  <c r="R171" i="4"/>
  <c r="O171" i="4"/>
  <c r="P172" i="4"/>
  <c r="Q172" i="4"/>
  <c r="R172" i="4"/>
  <c r="O172" i="4"/>
  <c r="P173" i="4"/>
  <c r="Q173" i="4"/>
  <c r="R173" i="4"/>
  <c r="O173" i="4"/>
  <c r="P174" i="4"/>
  <c r="Q174" i="4"/>
  <c r="R174" i="4"/>
  <c r="O174" i="4"/>
  <c r="P175" i="4"/>
  <c r="Q175" i="4"/>
  <c r="R175" i="4"/>
  <c r="O175" i="4"/>
  <c r="P176" i="4"/>
  <c r="Q176" i="4"/>
  <c r="R176" i="4"/>
  <c r="Q178" i="4"/>
  <c r="R177" i="4"/>
  <c r="O177" i="4"/>
  <c r="O178" i="4"/>
  <c r="Q179" i="4"/>
  <c r="Q177" i="4"/>
  <c r="P178" i="4"/>
  <c r="O176" i="4"/>
  <c r="P177" i="4"/>
  <c r="R178" i="4"/>
  <c r="P179" i="4"/>
  <c r="R179" i="4"/>
  <c r="O179" i="4"/>
  <c r="J72" i="4"/>
  <c r="K72" i="4"/>
  <c r="L72" i="4"/>
  <c r="J73" i="4"/>
  <c r="K73" i="4"/>
  <c r="L73" i="4"/>
  <c r="J74" i="4"/>
  <c r="K74" i="4"/>
  <c r="L74" i="4"/>
  <c r="J75" i="4"/>
  <c r="K75" i="4"/>
  <c r="L75" i="4"/>
  <c r="J76" i="4"/>
  <c r="K76" i="4"/>
  <c r="L76" i="4"/>
  <c r="J77" i="4"/>
  <c r="K77" i="4"/>
  <c r="L77" i="4"/>
  <c r="J78" i="4"/>
  <c r="K78" i="4"/>
  <c r="L78" i="4"/>
  <c r="J79" i="4"/>
  <c r="K79" i="4"/>
  <c r="L79" i="4"/>
  <c r="J80" i="4"/>
  <c r="K80" i="4"/>
  <c r="L80" i="4"/>
  <c r="J81" i="4"/>
  <c r="K81" i="4"/>
  <c r="L81" i="4"/>
  <c r="J82" i="4"/>
  <c r="K82" i="4"/>
  <c r="L82" i="4"/>
  <c r="J83" i="4"/>
  <c r="K83" i="4"/>
  <c r="L83" i="4"/>
  <c r="J84" i="4"/>
  <c r="K84" i="4"/>
  <c r="L84" i="4"/>
  <c r="J85" i="4"/>
  <c r="K85" i="4"/>
  <c r="L85" i="4"/>
  <c r="J86" i="4"/>
  <c r="K86" i="4"/>
  <c r="L86" i="4"/>
  <c r="J87" i="4"/>
  <c r="K87" i="4"/>
  <c r="L87" i="4"/>
  <c r="J88" i="4"/>
  <c r="K88" i="4"/>
  <c r="L88" i="4"/>
  <c r="J89" i="4"/>
  <c r="K89" i="4"/>
  <c r="L89" i="4"/>
  <c r="J90" i="4"/>
  <c r="K90" i="4"/>
  <c r="L90" i="4"/>
  <c r="J91" i="4"/>
  <c r="K91" i="4"/>
  <c r="L91" i="4"/>
  <c r="J92" i="4"/>
  <c r="K92" i="4"/>
  <c r="L92" i="4"/>
  <c r="J93" i="4"/>
  <c r="K93" i="4"/>
  <c r="L93" i="4"/>
  <c r="J94" i="4"/>
  <c r="K94" i="4"/>
  <c r="L94" i="4"/>
  <c r="J95" i="4"/>
  <c r="K95" i="4"/>
  <c r="L95" i="4"/>
  <c r="O113" i="4"/>
  <c r="P114" i="4"/>
  <c r="Q114" i="4"/>
  <c r="R114" i="4"/>
  <c r="O114" i="4"/>
  <c r="P115" i="4"/>
  <c r="Q115" i="4"/>
  <c r="R115" i="4"/>
  <c r="O115" i="4"/>
  <c r="P116" i="4"/>
  <c r="Q116" i="4"/>
  <c r="R116" i="4"/>
  <c r="O116" i="4"/>
  <c r="P117" i="4"/>
  <c r="Q117" i="4"/>
  <c r="R117" i="4"/>
  <c r="O117" i="4"/>
  <c r="P118" i="4"/>
  <c r="Q118" i="4"/>
  <c r="R118" i="4"/>
  <c r="O118" i="4"/>
  <c r="P119" i="4"/>
  <c r="Q119" i="4"/>
  <c r="R119" i="4"/>
  <c r="O119" i="4"/>
  <c r="P120" i="4"/>
  <c r="Q120" i="4"/>
  <c r="R120" i="4"/>
  <c r="O120" i="4"/>
  <c r="P121" i="4"/>
  <c r="Q121" i="4"/>
  <c r="R121" i="4"/>
  <c r="O111" i="4"/>
  <c r="P112" i="4"/>
  <c r="Q112" i="4"/>
  <c r="R112" i="4"/>
  <c r="R122" i="4"/>
  <c r="O112" i="4"/>
  <c r="P113" i="4"/>
  <c r="Q113" i="4"/>
  <c r="R113" i="4"/>
  <c r="O121" i="4"/>
  <c r="P122" i="4"/>
  <c r="Q122" i="4"/>
  <c r="O122" i="4"/>
  <c r="P123" i="4"/>
  <c r="Q123" i="4"/>
  <c r="R123" i="4"/>
  <c r="O123" i="4"/>
  <c r="O102" i="4"/>
  <c r="R103" i="4"/>
  <c r="P104" i="4"/>
  <c r="Q104" i="4"/>
  <c r="R104" i="4"/>
  <c r="O105" i="4"/>
  <c r="O108" i="4"/>
  <c r="P109" i="4"/>
  <c r="Q109" i="4"/>
  <c r="R109" i="4"/>
  <c r="O109" i="4"/>
  <c r="P110" i="4"/>
  <c r="R111" i="4"/>
  <c r="P100" i="4"/>
  <c r="Q100" i="4"/>
  <c r="R100" i="4"/>
  <c r="P101" i="4"/>
  <c r="O101" i="4"/>
  <c r="O106" i="4"/>
  <c r="P107" i="4"/>
  <c r="Q107" i="4"/>
  <c r="R107" i="4"/>
  <c r="O107" i="4"/>
  <c r="P108" i="4"/>
  <c r="Q108" i="4"/>
  <c r="R108" i="4"/>
  <c r="O110" i="4"/>
  <c r="Q102" i="4"/>
  <c r="P103" i="4"/>
  <c r="Q103" i="4"/>
  <c r="P105" i="4"/>
  <c r="Q105" i="4"/>
  <c r="P106" i="4"/>
  <c r="Q106" i="4"/>
  <c r="R106" i="4"/>
  <c r="P111" i="4"/>
  <c r="N98" i="4"/>
  <c r="Q101" i="4"/>
  <c r="R101" i="4"/>
  <c r="P102" i="4"/>
  <c r="R102" i="4"/>
  <c r="O103" i="4"/>
  <c r="O104" i="4"/>
  <c r="R105" i="4"/>
  <c r="Q110" i="4"/>
  <c r="R110" i="4"/>
  <c r="Q111" i="4"/>
  <c r="C101" i="4"/>
  <c r="F102" i="4"/>
  <c r="D103" i="4"/>
  <c r="F104" i="4"/>
  <c r="D105" i="4"/>
  <c r="F105" i="4"/>
  <c r="D106" i="4"/>
  <c r="F106" i="4"/>
  <c r="C108" i="4"/>
  <c r="D109" i="4"/>
  <c r="E109" i="4"/>
  <c r="F109" i="4"/>
  <c r="C109" i="4"/>
  <c r="D110" i="4"/>
  <c r="C110" i="4"/>
  <c r="F111" i="4"/>
  <c r="D100" i="4"/>
  <c r="E100" i="4"/>
  <c r="F100" i="4"/>
  <c r="E101" i="4"/>
  <c r="D102" i="4"/>
  <c r="E104" i="4"/>
  <c r="C106" i="4"/>
  <c r="D107" i="4"/>
  <c r="E107" i="4"/>
  <c r="F107" i="4"/>
  <c r="C107" i="4"/>
  <c r="D108" i="4"/>
  <c r="E108" i="4"/>
  <c r="F108" i="4"/>
  <c r="E111" i="4"/>
  <c r="E102" i="4"/>
  <c r="F103" i="4"/>
  <c r="C104" i="4"/>
  <c r="C105" i="4"/>
  <c r="E106" i="4"/>
  <c r="B98" i="4"/>
  <c r="D101" i="4"/>
  <c r="F101" i="4"/>
  <c r="C102" i="4"/>
  <c r="E103" i="4"/>
  <c r="C103" i="4"/>
  <c r="D104" i="4"/>
  <c r="E105" i="4"/>
  <c r="E110" i="4"/>
  <c r="F110" i="4"/>
  <c r="D111" i="4"/>
  <c r="C113" i="4"/>
  <c r="D114" i="4"/>
  <c r="E114" i="4"/>
  <c r="F114" i="4"/>
  <c r="C114" i="4"/>
  <c r="D115" i="4"/>
  <c r="E115" i="4"/>
  <c r="F115" i="4"/>
  <c r="C115" i="4"/>
  <c r="D116" i="4"/>
  <c r="E116" i="4"/>
  <c r="F116" i="4"/>
  <c r="C116" i="4"/>
  <c r="D117" i="4"/>
  <c r="E117" i="4"/>
  <c r="F117" i="4"/>
  <c r="C117" i="4"/>
  <c r="D118" i="4"/>
  <c r="E118" i="4"/>
  <c r="F118" i="4"/>
  <c r="C118" i="4"/>
  <c r="D119" i="4"/>
  <c r="E119" i="4"/>
  <c r="F119" i="4"/>
  <c r="C119" i="4"/>
  <c r="D120" i="4"/>
  <c r="E120" i="4"/>
  <c r="F120" i="4"/>
  <c r="C120" i="4"/>
  <c r="D121" i="4"/>
  <c r="E121" i="4"/>
  <c r="F121" i="4"/>
  <c r="C121" i="4"/>
  <c r="C111" i="4"/>
  <c r="D112" i="4"/>
  <c r="E112" i="4"/>
  <c r="F112" i="4"/>
  <c r="D113" i="4"/>
  <c r="F113" i="4"/>
  <c r="F122" i="4"/>
  <c r="C122" i="4"/>
  <c r="C112" i="4"/>
  <c r="E113" i="4"/>
  <c r="D122" i="4"/>
  <c r="E122" i="4"/>
  <c r="D123" i="4"/>
  <c r="E123" i="4"/>
  <c r="F123" i="4"/>
  <c r="C123" i="4"/>
  <c r="V72" i="4"/>
  <c r="W72" i="4"/>
  <c r="X72" i="4"/>
  <c r="V73" i="4"/>
  <c r="W73" i="4"/>
  <c r="X73" i="4"/>
  <c r="V74" i="4"/>
  <c r="W74" i="4"/>
  <c r="X74" i="4"/>
  <c r="V75" i="4"/>
  <c r="W75" i="4"/>
  <c r="X75" i="4"/>
  <c r="V76" i="4"/>
  <c r="W76" i="4"/>
  <c r="X76" i="4"/>
  <c r="V77" i="4"/>
  <c r="W77" i="4"/>
  <c r="X77" i="4"/>
  <c r="V78" i="4"/>
  <c r="W78" i="4"/>
  <c r="X78" i="4"/>
  <c r="V79" i="4"/>
  <c r="W79" i="4"/>
  <c r="X79" i="4"/>
  <c r="V80" i="4"/>
  <c r="W80" i="4"/>
  <c r="X80" i="4"/>
  <c r="V81" i="4"/>
  <c r="W81" i="4"/>
  <c r="X81" i="4"/>
  <c r="V82" i="4"/>
  <c r="W82" i="4"/>
  <c r="X82" i="4"/>
  <c r="V83" i="4"/>
  <c r="W83" i="4"/>
  <c r="X83" i="4"/>
  <c r="V84" i="4"/>
  <c r="W84" i="4"/>
  <c r="X84" i="4"/>
  <c r="V85" i="4"/>
  <c r="W85" i="4"/>
  <c r="X85" i="4"/>
  <c r="V86" i="4"/>
  <c r="W86" i="4"/>
  <c r="X86" i="4"/>
  <c r="V87" i="4"/>
  <c r="W87" i="4"/>
  <c r="X87" i="4"/>
  <c r="V88" i="4"/>
  <c r="W88" i="4"/>
  <c r="X88" i="4"/>
  <c r="V89" i="4"/>
  <c r="W89" i="4"/>
  <c r="X89" i="4"/>
  <c r="V90" i="4"/>
  <c r="W90" i="4"/>
  <c r="X90" i="4"/>
  <c r="V91" i="4"/>
  <c r="W91" i="4"/>
  <c r="X91" i="4"/>
  <c r="V92" i="4"/>
  <c r="W92" i="4"/>
  <c r="X92" i="4"/>
  <c r="V93" i="4"/>
  <c r="W93" i="4"/>
  <c r="X93" i="4"/>
  <c r="V94" i="4"/>
  <c r="W94" i="4"/>
  <c r="X94" i="4"/>
  <c r="V95" i="4"/>
  <c r="W95" i="4"/>
  <c r="X95" i="4"/>
  <c r="J100" i="4"/>
  <c r="K100" i="4"/>
  <c r="L100" i="4"/>
  <c r="J101" i="4"/>
  <c r="K101" i="4"/>
  <c r="L101" i="4"/>
  <c r="J102" i="4"/>
  <c r="I106" i="4"/>
  <c r="J107" i="4"/>
  <c r="K107" i="4"/>
  <c r="L107" i="4"/>
  <c r="J108" i="4"/>
  <c r="K108" i="4"/>
  <c r="L108" i="4"/>
  <c r="L111" i="4"/>
  <c r="L102" i="4"/>
  <c r="I102" i="4"/>
  <c r="I103" i="4"/>
  <c r="L104" i="4"/>
  <c r="J105" i="4"/>
  <c r="L105" i="4"/>
  <c r="I105" i="4"/>
  <c r="J106" i="4"/>
  <c r="K106" i="4"/>
  <c r="L106" i="4"/>
  <c r="K111" i="4"/>
  <c r="H98" i="4"/>
  <c r="I101" i="4"/>
  <c r="K103" i="4"/>
  <c r="L103" i="4"/>
  <c r="J104" i="4"/>
  <c r="I107" i="4"/>
  <c r="I109" i="4"/>
  <c r="J110" i="4"/>
  <c r="I110" i="4"/>
  <c r="I113" i="4"/>
  <c r="J114" i="4"/>
  <c r="K114" i="4"/>
  <c r="L114" i="4"/>
  <c r="I114" i="4"/>
  <c r="J115" i="4"/>
  <c r="K115" i="4"/>
  <c r="L115" i="4"/>
  <c r="I115" i="4"/>
  <c r="J116" i="4"/>
  <c r="K116" i="4"/>
  <c r="L116" i="4"/>
  <c r="I116" i="4"/>
  <c r="J117" i="4"/>
  <c r="K117" i="4"/>
  <c r="L117" i="4"/>
  <c r="I117" i="4"/>
  <c r="J118" i="4"/>
  <c r="K118" i="4"/>
  <c r="L118" i="4"/>
  <c r="I118" i="4"/>
  <c r="J119" i="4"/>
  <c r="K119" i="4"/>
  <c r="L119" i="4"/>
  <c r="I119" i="4"/>
  <c r="J120" i="4"/>
  <c r="K120" i="4"/>
  <c r="L120" i="4"/>
  <c r="I120" i="4"/>
  <c r="J121" i="4"/>
  <c r="K121" i="4"/>
  <c r="L121" i="4"/>
  <c r="I121" i="4"/>
  <c r="I111" i="4"/>
  <c r="J112" i="4"/>
  <c r="K112" i="4"/>
  <c r="L112" i="4"/>
  <c r="I112" i="4"/>
  <c r="L113" i="4"/>
  <c r="J113" i="4"/>
  <c r="K113" i="4"/>
  <c r="J122" i="4"/>
  <c r="K122" i="4"/>
  <c r="L122" i="4"/>
  <c r="I122" i="4"/>
  <c r="J123" i="4"/>
  <c r="K123" i="4"/>
  <c r="L123" i="4"/>
  <c r="I123" i="4"/>
  <c r="K102" i="4"/>
  <c r="J103" i="4"/>
  <c r="K104" i="4"/>
  <c r="I104" i="4"/>
  <c r="K105" i="4"/>
  <c r="I108" i="4"/>
  <c r="J109" i="4"/>
  <c r="K109" i="4"/>
  <c r="L109" i="4"/>
  <c r="K110" i="4"/>
  <c r="L110" i="4"/>
  <c r="J111" i="4"/>
  <c r="F128" i="4"/>
  <c r="E129" i="4"/>
  <c r="F133" i="4"/>
  <c r="E134" i="4"/>
  <c r="F135" i="4"/>
  <c r="C135" i="4"/>
  <c r="D136" i="4"/>
  <c r="E136" i="4"/>
  <c r="F136" i="4"/>
  <c r="C137" i="4"/>
  <c r="F138" i="4"/>
  <c r="D139" i="4"/>
  <c r="F139" i="4"/>
  <c r="D140" i="4"/>
  <c r="F140" i="4"/>
  <c r="C140" i="4"/>
  <c r="D141" i="4"/>
  <c r="F142" i="4"/>
  <c r="B126" i="4"/>
  <c r="D128" i="4"/>
  <c r="E128" i="4"/>
  <c r="D129" i="4"/>
  <c r="F129" i="4"/>
  <c r="C129" i="4"/>
  <c r="D130" i="4"/>
  <c r="E130" i="4"/>
  <c r="F130" i="4"/>
  <c r="C130" i="4"/>
  <c r="D131" i="4"/>
  <c r="E131" i="4"/>
  <c r="F131" i="4"/>
  <c r="C131" i="4"/>
  <c r="D132" i="4"/>
  <c r="E132" i="4"/>
  <c r="F132" i="4"/>
  <c r="C132" i="4"/>
  <c r="D133" i="4"/>
  <c r="E133" i="4"/>
  <c r="C133" i="4"/>
  <c r="D134" i="4"/>
  <c r="F134" i="4"/>
  <c r="C134" i="4"/>
  <c r="D135" i="4"/>
  <c r="E135" i="4"/>
  <c r="C136" i="4"/>
  <c r="D137" i="4"/>
  <c r="E137" i="4"/>
  <c r="F137" i="4"/>
  <c r="D138" i="4"/>
  <c r="E138" i="4"/>
  <c r="C138" i="4"/>
  <c r="E139" i="4"/>
  <c r="C139" i="4"/>
  <c r="E140" i="4"/>
  <c r="E141" i="4"/>
  <c r="F141" i="4"/>
  <c r="C141" i="4"/>
  <c r="D142" i="4"/>
  <c r="E142" i="4"/>
  <c r="C142" i="4"/>
  <c r="D143" i="4"/>
  <c r="E143" i="4"/>
  <c r="F143" i="4"/>
  <c r="C143" i="4"/>
  <c r="D144" i="4"/>
  <c r="E144" i="4"/>
  <c r="F144" i="4"/>
  <c r="C144" i="4"/>
  <c r="D145" i="4"/>
  <c r="E145" i="4"/>
  <c r="F145" i="4"/>
  <c r="C145" i="4"/>
  <c r="D146" i="4"/>
  <c r="E146" i="4"/>
  <c r="F146" i="4"/>
  <c r="C146" i="4"/>
  <c r="D147" i="4"/>
  <c r="E147" i="4"/>
  <c r="F147" i="4"/>
  <c r="C147" i="4"/>
  <c r="D148" i="4"/>
  <c r="E148" i="4"/>
  <c r="F148" i="4"/>
  <c r="C148" i="4"/>
  <c r="D149" i="4"/>
  <c r="E149" i="4"/>
  <c r="F149" i="4"/>
  <c r="C149" i="4"/>
  <c r="D150" i="4"/>
  <c r="E150" i="4"/>
  <c r="F150" i="4"/>
  <c r="C150" i="4"/>
  <c r="D151" i="4"/>
  <c r="E151" i="4"/>
  <c r="F151" i="4"/>
  <c r="C151" i="4"/>
  <c r="P128" i="4"/>
  <c r="R128" i="4"/>
  <c r="R129" i="4"/>
  <c r="R130" i="4"/>
  <c r="Q133" i="4"/>
  <c r="Q134" i="4"/>
  <c r="O134" i="4"/>
  <c r="R135" i="4"/>
  <c r="O135" i="4"/>
  <c r="P136" i="4"/>
  <c r="R136" i="4"/>
  <c r="P137" i="4"/>
  <c r="R137" i="4"/>
  <c r="O137" i="4"/>
  <c r="R138" i="4"/>
  <c r="R139" i="4"/>
  <c r="P140" i="4"/>
  <c r="R140" i="4"/>
  <c r="P141" i="4"/>
  <c r="R141" i="4"/>
  <c r="Q142" i="4"/>
  <c r="O143" i="4"/>
  <c r="N126" i="4"/>
  <c r="Q128" i="4"/>
  <c r="P129" i="4"/>
  <c r="Q129" i="4"/>
  <c r="O129" i="4"/>
  <c r="P130" i="4"/>
  <c r="Q130" i="4"/>
  <c r="O130" i="4"/>
  <c r="P131" i="4"/>
  <c r="Q131" i="4"/>
  <c r="R131" i="4"/>
  <c r="O131" i="4"/>
  <c r="P132" i="4"/>
  <c r="Q132" i="4"/>
  <c r="R132" i="4"/>
  <c r="O132" i="4"/>
  <c r="P133" i="4"/>
  <c r="R133" i="4"/>
  <c r="O133" i="4"/>
  <c r="P134" i="4"/>
  <c r="R134" i="4"/>
  <c r="P135" i="4"/>
  <c r="Q135" i="4"/>
  <c r="Q136" i="4"/>
  <c r="O136" i="4"/>
  <c r="Q137" i="4"/>
  <c r="P138" i="4"/>
  <c r="Q138" i="4"/>
  <c r="O138" i="4"/>
  <c r="P139" i="4"/>
  <c r="Q139" i="4"/>
  <c r="O139" i="4"/>
  <c r="Q140" i="4"/>
  <c r="O140" i="4"/>
  <c r="Q141" i="4"/>
  <c r="O141" i="4"/>
  <c r="P142" i="4"/>
  <c r="R142" i="4"/>
  <c r="O142" i="4"/>
  <c r="P143" i="4"/>
  <c r="Q143" i="4"/>
  <c r="R143" i="4"/>
  <c r="P144" i="4"/>
  <c r="Q144" i="4"/>
  <c r="R144" i="4"/>
  <c r="O144" i="4"/>
  <c r="P145" i="4"/>
  <c r="Q145" i="4"/>
  <c r="R145" i="4"/>
  <c r="O145" i="4"/>
  <c r="P146" i="4"/>
  <c r="Q146" i="4"/>
  <c r="R146" i="4"/>
  <c r="O146" i="4"/>
  <c r="P147" i="4"/>
  <c r="Q147" i="4"/>
  <c r="R147" i="4"/>
  <c r="O147" i="4"/>
  <c r="P148" i="4"/>
  <c r="Q148" i="4"/>
  <c r="R148" i="4"/>
  <c r="O148" i="4"/>
  <c r="P149" i="4"/>
  <c r="Q149" i="4"/>
  <c r="R149" i="4"/>
  <c r="O149" i="4"/>
  <c r="P150" i="4"/>
  <c r="Q150" i="4"/>
  <c r="R150" i="4"/>
  <c r="O150" i="4"/>
  <c r="P151" i="4"/>
  <c r="Q151" i="4"/>
  <c r="R151" i="4"/>
  <c r="O151" i="4"/>
  <c r="D73" i="4"/>
  <c r="E73" i="4"/>
  <c r="F73" i="4"/>
  <c r="D72" i="4"/>
  <c r="E72" i="4"/>
  <c r="F72" i="4"/>
  <c r="D74" i="4"/>
  <c r="E74" i="4"/>
  <c r="F74" i="4"/>
  <c r="D75" i="4"/>
  <c r="E75" i="4"/>
  <c r="F75" i="4"/>
  <c r="D76" i="4"/>
  <c r="E76" i="4"/>
  <c r="F76" i="4"/>
  <c r="D77" i="4"/>
  <c r="E77" i="4"/>
  <c r="F77" i="4"/>
  <c r="D78" i="4"/>
  <c r="E78" i="4"/>
  <c r="F78" i="4"/>
  <c r="D79" i="4"/>
  <c r="E79" i="4"/>
  <c r="F79" i="4"/>
  <c r="D80" i="4"/>
  <c r="E80" i="4"/>
  <c r="F80" i="4"/>
  <c r="D81" i="4"/>
  <c r="E81" i="4"/>
  <c r="F81" i="4"/>
  <c r="D82" i="4"/>
  <c r="E82" i="4"/>
  <c r="F82" i="4"/>
  <c r="D83" i="4"/>
  <c r="E83" i="4"/>
  <c r="F83" i="4"/>
  <c r="D84" i="4"/>
  <c r="E84" i="4"/>
  <c r="F84" i="4"/>
  <c r="D85" i="4"/>
  <c r="E85" i="4"/>
  <c r="F85" i="4"/>
  <c r="D86" i="4"/>
  <c r="E86" i="4"/>
  <c r="F86" i="4"/>
  <c r="D87" i="4"/>
  <c r="E87" i="4"/>
  <c r="F87" i="4"/>
  <c r="D88" i="4"/>
  <c r="E88" i="4"/>
  <c r="F88" i="4"/>
  <c r="D89" i="4"/>
  <c r="E89" i="4"/>
  <c r="F89" i="4"/>
  <c r="D90" i="4"/>
  <c r="E90" i="4"/>
  <c r="F90" i="4"/>
  <c r="D91" i="4"/>
  <c r="E91" i="4"/>
  <c r="F91" i="4"/>
  <c r="D92" i="4"/>
  <c r="E92" i="4"/>
  <c r="F92" i="4"/>
  <c r="D93" i="4"/>
  <c r="E93" i="4"/>
  <c r="F93" i="4"/>
  <c r="D94" i="4"/>
  <c r="E94" i="4"/>
  <c r="F94" i="4"/>
  <c r="D95" i="4"/>
  <c r="E95" i="4"/>
  <c r="F95" i="4"/>
  <c r="D177" i="4"/>
  <c r="F179" i="4"/>
  <c r="C179" i="4"/>
  <c r="F177" i="4"/>
  <c r="E178" i="4"/>
  <c r="E179" i="4"/>
  <c r="B154" i="4"/>
  <c r="D156" i="4"/>
  <c r="E156" i="4"/>
  <c r="F156" i="4"/>
  <c r="D157" i="4"/>
  <c r="E157" i="4"/>
  <c r="F157" i="4"/>
  <c r="C157" i="4"/>
  <c r="D158" i="4"/>
  <c r="E158" i="4"/>
  <c r="F158" i="4"/>
  <c r="C158" i="4"/>
  <c r="D159" i="4"/>
  <c r="E159" i="4"/>
  <c r="F159" i="4"/>
  <c r="C159" i="4"/>
  <c r="D160" i="4"/>
  <c r="E160" i="4"/>
  <c r="F160" i="4"/>
  <c r="C160" i="4"/>
  <c r="D161" i="4"/>
  <c r="E161" i="4"/>
  <c r="F161" i="4"/>
  <c r="C161" i="4"/>
  <c r="D162" i="4"/>
  <c r="E162" i="4"/>
  <c r="F162" i="4"/>
  <c r="C162" i="4"/>
  <c r="D163" i="4"/>
  <c r="E163" i="4"/>
  <c r="F163" i="4"/>
  <c r="C163" i="4"/>
  <c r="D164" i="4"/>
  <c r="E164" i="4"/>
  <c r="F164" i="4"/>
  <c r="C164" i="4"/>
  <c r="D165" i="4"/>
  <c r="E165" i="4"/>
  <c r="F165" i="4"/>
  <c r="C165" i="4"/>
  <c r="D166" i="4"/>
  <c r="E166" i="4"/>
  <c r="F166" i="4"/>
  <c r="C166" i="4"/>
  <c r="D167" i="4"/>
  <c r="E167" i="4"/>
  <c r="F167" i="4"/>
  <c r="C167" i="4"/>
  <c r="D168" i="4"/>
  <c r="E168" i="4"/>
  <c r="F168" i="4"/>
  <c r="C168" i="4"/>
  <c r="D169" i="4"/>
  <c r="E169" i="4"/>
  <c r="F169" i="4"/>
  <c r="C169" i="4"/>
  <c r="D170" i="4"/>
  <c r="E170" i="4"/>
  <c r="F170" i="4"/>
  <c r="C170" i="4"/>
  <c r="D171" i="4"/>
  <c r="E171" i="4"/>
  <c r="F171" i="4"/>
  <c r="C171" i="4"/>
  <c r="D172" i="4"/>
  <c r="E172" i="4"/>
  <c r="F172" i="4"/>
  <c r="C172" i="4"/>
  <c r="D173" i="4"/>
  <c r="E173" i="4"/>
  <c r="F173" i="4"/>
  <c r="C173" i="4"/>
  <c r="D174" i="4"/>
  <c r="E174" i="4"/>
  <c r="F174" i="4"/>
  <c r="C174" i="4"/>
  <c r="D175" i="4"/>
  <c r="E175" i="4"/>
  <c r="F175" i="4"/>
  <c r="C175" i="4"/>
  <c r="D176" i="4"/>
  <c r="E176" i="4"/>
  <c r="F176" i="4"/>
  <c r="E177" i="4"/>
  <c r="F178" i="4"/>
  <c r="C178" i="4"/>
  <c r="C176" i="4"/>
  <c r="C177" i="4"/>
  <c r="D178" i="4"/>
  <c r="D179" i="4"/>
  <c r="V177" i="4"/>
  <c r="W178" i="4"/>
  <c r="U178" i="4"/>
  <c r="X179" i="4"/>
  <c r="T154" i="4"/>
  <c r="V156" i="4"/>
  <c r="W156" i="4"/>
  <c r="X156" i="4"/>
  <c r="V157" i="4"/>
  <c r="W157" i="4"/>
  <c r="X157" i="4"/>
  <c r="U157" i="4"/>
  <c r="V158" i="4"/>
  <c r="W158" i="4"/>
  <c r="X158" i="4"/>
  <c r="U158" i="4"/>
  <c r="V159" i="4"/>
  <c r="W159" i="4"/>
  <c r="X159" i="4"/>
  <c r="U159" i="4"/>
  <c r="V160" i="4"/>
  <c r="W160" i="4"/>
  <c r="X160" i="4"/>
  <c r="U160" i="4"/>
  <c r="V161" i="4"/>
  <c r="W161" i="4"/>
  <c r="X161" i="4"/>
  <c r="U161" i="4"/>
  <c r="V162" i="4"/>
  <c r="W162" i="4"/>
  <c r="X162" i="4"/>
  <c r="U162" i="4"/>
  <c r="V163" i="4"/>
  <c r="W163" i="4"/>
  <c r="X163" i="4"/>
  <c r="U163" i="4"/>
  <c r="V164" i="4"/>
  <c r="W164" i="4"/>
  <c r="X164" i="4"/>
  <c r="U164" i="4"/>
  <c r="V165" i="4"/>
  <c r="W165" i="4"/>
  <c r="X165" i="4"/>
  <c r="U165" i="4"/>
  <c r="V166" i="4"/>
  <c r="W166" i="4"/>
  <c r="X166" i="4"/>
  <c r="U166" i="4"/>
  <c r="V167" i="4"/>
  <c r="W167" i="4"/>
  <c r="X167" i="4"/>
  <c r="U167" i="4"/>
  <c r="V168" i="4"/>
  <c r="W168" i="4"/>
  <c r="X168" i="4"/>
  <c r="U168" i="4"/>
  <c r="V169" i="4"/>
  <c r="W169" i="4"/>
  <c r="X169" i="4"/>
  <c r="U169" i="4"/>
  <c r="V170" i="4"/>
  <c r="W170" i="4"/>
  <c r="X170" i="4"/>
  <c r="U170" i="4"/>
  <c r="V171" i="4"/>
  <c r="W171" i="4"/>
  <c r="X171" i="4"/>
  <c r="U171" i="4"/>
  <c r="V172" i="4"/>
  <c r="W172" i="4"/>
  <c r="X172" i="4"/>
  <c r="U172" i="4"/>
  <c r="V173" i="4"/>
  <c r="W173" i="4"/>
  <c r="X173" i="4"/>
  <c r="U173" i="4"/>
  <c r="V174" i="4"/>
  <c r="W174" i="4"/>
  <c r="X174" i="4"/>
  <c r="U174" i="4"/>
  <c r="V175" i="4"/>
  <c r="W175" i="4"/>
  <c r="X175" i="4"/>
  <c r="U175" i="4"/>
  <c r="W176" i="4"/>
  <c r="X177" i="4"/>
  <c r="V176" i="4"/>
  <c r="W177" i="4"/>
  <c r="X178" i="4"/>
  <c r="V179" i="4"/>
  <c r="X176" i="4"/>
  <c r="U176" i="4"/>
  <c r="U177" i="4"/>
  <c r="V178" i="4"/>
  <c r="W179" i="4"/>
  <c r="U179" i="4"/>
  <c r="T98" i="4"/>
  <c r="X101" i="4"/>
  <c r="U101" i="4"/>
  <c r="V102" i="4"/>
  <c r="X103" i="4"/>
  <c r="V105" i="4"/>
  <c r="U107" i="4"/>
  <c r="V110" i="4"/>
  <c r="X110" i="4"/>
  <c r="U110" i="4"/>
  <c r="X111" i="4"/>
  <c r="U113" i="4"/>
  <c r="V114" i="4"/>
  <c r="W114" i="4"/>
  <c r="X114" i="4"/>
  <c r="U114" i="4"/>
  <c r="V115" i="4"/>
  <c r="W115" i="4"/>
  <c r="X115" i="4"/>
  <c r="U115" i="4"/>
  <c r="V116" i="4"/>
  <c r="W116" i="4"/>
  <c r="X116" i="4"/>
  <c r="U116" i="4"/>
  <c r="V117" i="4"/>
  <c r="W117" i="4"/>
  <c r="X117" i="4"/>
  <c r="U117" i="4"/>
  <c r="V118" i="4"/>
  <c r="W118" i="4"/>
  <c r="X118" i="4"/>
  <c r="U118" i="4"/>
  <c r="V119" i="4"/>
  <c r="W119" i="4"/>
  <c r="X119" i="4"/>
  <c r="U119" i="4"/>
  <c r="V120" i="4"/>
  <c r="W120" i="4"/>
  <c r="X120" i="4"/>
  <c r="U120" i="4"/>
  <c r="V121" i="4"/>
  <c r="W121" i="4"/>
  <c r="X121" i="4"/>
  <c r="U111" i="4"/>
  <c r="V112" i="4"/>
  <c r="W112" i="4"/>
  <c r="X112" i="4"/>
  <c r="U112" i="4"/>
  <c r="W113" i="4"/>
  <c r="U121" i="4"/>
  <c r="X122" i="4"/>
  <c r="V113" i="4"/>
  <c r="X113" i="4"/>
  <c r="V122" i="4"/>
  <c r="W122" i="4"/>
  <c r="U122" i="4"/>
  <c r="V123" i="4"/>
  <c r="W123" i="4"/>
  <c r="X123" i="4"/>
  <c r="U123" i="4"/>
  <c r="V101" i="4"/>
  <c r="X102" i="4"/>
  <c r="V103" i="4"/>
  <c r="U103" i="4"/>
  <c r="V104" i="4"/>
  <c r="W104" i="4"/>
  <c r="U108" i="4"/>
  <c r="V109" i="4"/>
  <c r="W109" i="4"/>
  <c r="X109" i="4"/>
  <c r="U109" i="4"/>
  <c r="W110" i="4"/>
  <c r="V111" i="4"/>
  <c r="V100" i="4"/>
  <c r="W100" i="4"/>
  <c r="X100" i="4"/>
  <c r="W101" i="4"/>
  <c r="U102" i="4"/>
  <c r="U106" i="4"/>
  <c r="V107" i="4"/>
  <c r="W107" i="4"/>
  <c r="X107" i="4"/>
  <c r="V108" i="4"/>
  <c r="W108" i="4"/>
  <c r="X108" i="4"/>
  <c r="W102" i="4"/>
  <c r="W103" i="4"/>
  <c r="X104" i="4"/>
  <c r="U104" i="4"/>
  <c r="W105" i="4"/>
  <c r="X105" i="4"/>
  <c r="U105" i="4"/>
  <c r="V106" i="4"/>
  <c r="W106" i="4"/>
  <c r="X106" i="4"/>
  <c r="W111" i="4"/>
  <c r="J178" i="4"/>
  <c r="K177" i="4"/>
  <c r="I178" i="4"/>
  <c r="J179" i="4"/>
  <c r="L179" i="4"/>
  <c r="H154" i="4"/>
  <c r="J156" i="4"/>
  <c r="K156" i="4"/>
  <c r="L156" i="4"/>
  <c r="J157" i="4"/>
  <c r="K157" i="4"/>
  <c r="L157" i="4"/>
  <c r="I157" i="4"/>
  <c r="J158" i="4"/>
  <c r="K158" i="4"/>
  <c r="L158" i="4"/>
  <c r="I158" i="4"/>
  <c r="J159" i="4"/>
  <c r="K159" i="4"/>
  <c r="L159" i="4"/>
  <c r="I159" i="4"/>
  <c r="J160" i="4"/>
  <c r="K160" i="4"/>
  <c r="L160" i="4"/>
  <c r="I160" i="4"/>
  <c r="J161" i="4"/>
  <c r="K161" i="4"/>
  <c r="L161" i="4"/>
  <c r="I161" i="4"/>
  <c r="J162" i="4"/>
  <c r="K162" i="4"/>
  <c r="L162" i="4"/>
  <c r="I162" i="4"/>
  <c r="J163" i="4"/>
  <c r="K163" i="4"/>
  <c r="L163" i="4"/>
  <c r="I163" i="4"/>
  <c r="J164" i="4"/>
  <c r="K164" i="4"/>
  <c r="L164" i="4"/>
  <c r="I164" i="4"/>
  <c r="J165" i="4"/>
  <c r="K165" i="4"/>
  <c r="L165" i="4"/>
  <c r="I165" i="4"/>
  <c r="J166" i="4"/>
  <c r="K166" i="4"/>
  <c r="L166" i="4"/>
  <c r="I166" i="4"/>
  <c r="J167" i="4"/>
  <c r="K167" i="4"/>
  <c r="L167" i="4"/>
  <c r="I167" i="4"/>
  <c r="J168" i="4"/>
  <c r="K168" i="4"/>
  <c r="L168" i="4"/>
  <c r="I168" i="4"/>
  <c r="J169" i="4"/>
  <c r="K169" i="4"/>
  <c r="L169" i="4"/>
  <c r="I169" i="4"/>
  <c r="J170" i="4"/>
  <c r="K170" i="4"/>
  <c r="L170" i="4"/>
  <c r="I170" i="4"/>
  <c r="J171" i="4"/>
  <c r="K171" i="4"/>
  <c r="L171" i="4"/>
  <c r="I171" i="4"/>
  <c r="J172" i="4"/>
  <c r="K172" i="4"/>
  <c r="L172" i="4"/>
  <c r="I172" i="4"/>
  <c r="J173" i="4"/>
  <c r="K173" i="4"/>
  <c r="L173" i="4"/>
  <c r="I173" i="4"/>
  <c r="J174" i="4"/>
  <c r="K174" i="4"/>
  <c r="L174" i="4"/>
  <c r="I174" i="4"/>
  <c r="J175" i="4"/>
  <c r="K175" i="4"/>
  <c r="L175" i="4"/>
  <c r="I175" i="4"/>
  <c r="J176" i="4"/>
  <c r="K176" i="4"/>
  <c r="L176" i="4"/>
  <c r="J177" i="4"/>
  <c r="I177" i="4"/>
  <c r="K178" i="4"/>
  <c r="K179" i="4"/>
  <c r="I176" i="4"/>
  <c r="L177" i="4"/>
  <c r="L178" i="4"/>
  <c r="I179" i="4"/>
  <c r="B92" i="11"/>
  <c r="B110" i="11"/>
  <c r="B7" i="11"/>
  <c r="B12" i="11"/>
  <c r="B102" i="11"/>
  <c r="B43" i="11"/>
  <c r="B103" i="11"/>
  <c r="B96" i="11"/>
  <c r="B115" i="11"/>
  <c r="B117" i="11"/>
  <c r="B93" i="11"/>
  <c r="B100" i="11"/>
  <c r="B97" i="11"/>
  <c r="B120" i="11"/>
  <c r="B8" i="11"/>
  <c r="B11" i="11"/>
  <c r="B95" i="11"/>
  <c r="B104" i="11"/>
  <c r="B111" i="11"/>
  <c r="B118" i="11"/>
  <c r="B105" i="11"/>
  <c r="B107" i="11"/>
  <c r="B121" i="11"/>
  <c r="B33" i="11"/>
  <c r="B10" i="11"/>
  <c r="B13" i="11"/>
  <c r="B14" i="11"/>
  <c r="B34" i="11"/>
  <c r="B99" i="11"/>
  <c r="B109" i="11"/>
  <c r="B101" i="11"/>
  <c r="B112" i="11"/>
  <c r="B98" i="11"/>
  <c r="B116" i="11"/>
  <c r="B108" i="11"/>
  <c r="B94" i="11"/>
  <c r="B114" i="11"/>
  <c r="B113" i="11"/>
  <c r="B119" i="11"/>
  <c r="B106" i="11"/>
  <c r="B15" i="11"/>
  <c r="B9" i="11"/>
  <c r="B32" i="11"/>
  <c r="B38" i="11"/>
  <c r="B39" i="11"/>
  <c r="B36" i="11"/>
  <c r="B35" i="11"/>
  <c r="B37" i="11"/>
  <c r="B63" i="11"/>
  <c r="B65" i="11"/>
  <c r="B67" i="11"/>
  <c r="B69" i="11"/>
  <c r="B71" i="11"/>
  <c r="B72" i="11"/>
  <c r="B73" i="11"/>
  <c r="B74" i="11"/>
  <c r="B76" i="11"/>
  <c r="B83" i="11"/>
  <c r="B86" i="11"/>
  <c r="B91" i="11"/>
  <c r="B81" i="11"/>
  <c r="B75" i="11"/>
  <c r="B57" i="11"/>
  <c r="B61" i="11"/>
  <c r="B68" i="11"/>
  <c r="B85" i="11"/>
  <c r="B44" i="11"/>
  <c r="B50" i="11"/>
  <c r="B54" i="11"/>
  <c r="B82" i="11"/>
  <c r="B55" i="11"/>
  <c r="B59" i="11"/>
  <c r="B66" i="11"/>
  <c r="B78" i="11"/>
  <c r="B31" i="11"/>
  <c r="B28" i="11"/>
  <c r="B40" i="11"/>
  <c r="B41" i="11"/>
  <c r="B19" i="11"/>
  <c r="B45" i="11"/>
  <c r="B48" i="11"/>
  <c r="B53" i="11"/>
  <c r="B24" i="11"/>
  <c r="B23" i="11"/>
  <c r="B27" i="11"/>
  <c r="B30" i="11"/>
  <c r="B47" i="11"/>
  <c r="B51" i="11"/>
  <c r="B29" i="11"/>
  <c r="B22" i="11"/>
  <c r="B46" i="11"/>
  <c r="B49" i="11"/>
  <c r="B52" i="11"/>
  <c r="B18" i="11"/>
  <c r="B25" i="11"/>
  <c r="B21" i="11"/>
  <c r="B26" i="11"/>
  <c r="B20" i="11"/>
  <c r="B42" i="11"/>
  <c r="B56" i="11"/>
  <c r="B60" i="11"/>
  <c r="B62" i="11"/>
  <c r="B64" i="11"/>
  <c r="B17" i="11"/>
  <c r="B16" i="11"/>
  <c r="B79" i="11"/>
  <c r="B58" i="11"/>
  <c r="B90" i="11"/>
  <c r="B87" i="11"/>
  <c r="B88" i="11"/>
  <c r="B70" i="11"/>
  <c r="B84" i="11"/>
  <c r="B77" i="11"/>
  <c r="B89" i="11"/>
  <c r="B80" i="11"/>
  <c r="BS13" i="8" l="1"/>
  <c r="O43" i="8" s="1"/>
  <c r="H70" i="8"/>
  <c r="B70" i="8"/>
  <c r="O13" i="8"/>
  <c r="C92" i="6"/>
  <c r="C79" i="6"/>
  <c r="C77" i="6"/>
  <c r="C73" i="6"/>
  <c r="C80" i="6"/>
  <c r="C78" i="6"/>
  <c r="C76" i="6"/>
  <c r="C95" i="5"/>
  <c r="C78" i="5"/>
  <c r="I94" i="5"/>
  <c r="I95" i="5"/>
  <c r="I89" i="5"/>
  <c r="I86" i="5"/>
  <c r="I88" i="5"/>
  <c r="I93" i="5"/>
  <c r="I87" i="5"/>
  <c r="I92" i="5"/>
  <c r="I91" i="5"/>
  <c r="I90" i="5"/>
  <c r="C85" i="5"/>
  <c r="C77" i="5"/>
  <c r="C81" i="5"/>
  <c r="C90" i="5"/>
  <c r="C80" i="5"/>
  <c r="C74" i="5"/>
  <c r="C86" i="5"/>
  <c r="C82" i="5"/>
  <c r="C89" i="5"/>
  <c r="C76" i="5"/>
  <c r="C91" i="5"/>
  <c r="C92" i="5"/>
  <c r="C79" i="5"/>
  <c r="C73" i="5"/>
  <c r="C87" i="5"/>
  <c r="C88" i="5"/>
  <c r="C83" i="5"/>
  <c r="C75" i="5"/>
  <c r="C84" i="5"/>
  <c r="C93" i="5"/>
  <c r="C94" i="5"/>
  <c r="BA112" i="8"/>
  <c r="AI112" i="2" s="1"/>
  <c r="AZ3" i="8"/>
  <c r="BR17" i="6"/>
  <c r="C100" i="6"/>
  <c r="BR25" i="6"/>
  <c r="C156" i="6"/>
  <c r="C128" i="6"/>
  <c r="BR21" i="6"/>
  <c r="BR26" i="6"/>
  <c r="I156" i="6"/>
  <c r="BR27" i="6"/>
  <c r="O156" i="6"/>
  <c r="AQ18" i="6"/>
  <c r="AQ19" i="6"/>
  <c r="AQ21" i="6"/>
  <c r="C72" i="6"/>
  <c r="BR13" i="6"/>
  <c r="BS13" i="6" s="1"/>
  <c r="AQ17" i="6"/>
  <c r="AQ20" i="6"/>
  <c r="AQ22" i="6"/>
  <c r="AQ23" i="6"/>
  <c r="AQ16" i="6"/>
  <c r="AQ4" i="6"/>
  <c r="BR14" i="6"/>
  <c r="I72" i="6"/>
  <c r="BR15" i="6"/>
  <c r="O72" i="6"/>
  <c r="BR19" i="6"/>
  <c r="O100" i="6"/>
  <c r="BR20" i="6"/>
  <c r="U100" i="6"/>
  <c r="BR22" i="6"/>
  <c r="I128" i="6"/>
  <c r="O128" i="6"/>
  <c r="BR23" i="6"/>
  <c r="BR24" i="6"/>
  <c r="U128" i="6"/>
  <c r="BR28" i="6"/>
  <c r="U156" i="6"/>
  <c r="U72" i="6"/>
  <c r="BR16" i="6"/>
  <c r="BR18" i="6"/>
  <c r="I100" i="6"/>
  <c r="I72" i="5"/>
  <c r="BR14" i="5"/>
  <c r="BR17" i="5"/>
  <c r="C100" i="5"/>
  <c r="BR24" i="5"/>
  <c r="U128" i="5"/>
  <c r="BR26" i="5"/>
  <c r="I156" i="5"/>
  <c r="BR27" i="5"/>
  <c r="O156" i="5"/>
  <c r="BR28" i="5"/>
  <c r="U156" i="5"/>
  <c r="BR15" i="5"/>
  <c r="BS14" i="5" s="1"/>
  <c r="O72" i="5"/>
  <c r="U72" i="5"/>
  <c r="BR16" i="5"/>
  <c r="BS15" i="5" s="1"/>
  <c r="BR18" i="5"/>
  <c r="I100" i="5"/>
  <c r="BR20" i="5"/>
  <c r="U100" i="5"/>
  <c r="BR23" i="5"/>
  <c r="O128" i="5"/>
  <c r="BR25" i="5"/>
  <c r="C156" i="5"/>
  <c r="BR13" i="5"/>
  <c r="AQ16" i="5"/>
  <c r="AQ18" i="5"/>
  <c r="AQ21" i="5"/>
  <c r="AQ19" i="5"/>
  <c r="C72" i="5"/>
  <c r="AQ4" i="5"/>
  <c r="AQ17" i="5"/>
  <c r="AQ20" i="5"/>
  <c r="AQ22" i="5"/>
  <c r="AQ23" i="5"/>
  <c r="BR22" i="5"/>
  <c r="I128" i="5"/>
  <c r="BR19" i="5"/>
  <c r="O100" i="5"/>
  <c r="BR21" i="5"/>
  <c r="C128" i="5"/>
  <c r="BR22" i="4"/>
  <c r="I128" i="4"/>
  <c r="O72" i="4"/>
  <c r="BR15" i="4"/>
  <c r="BS15" i="4" s="1"/>
  <c r="BR24" i="4"/>
  <c r="U128" i="4"/>
  <c r="BR27" i="4"/>
  <c r="O156" i="4"/>
  <c r="I72" i="4"/>
  <c r="BR14" i="4"/>
  <c r="BS14" i="4" s="1"/>
  <c r="BR19" i="4"/>
  <c r="O100" i="4"/>
  <c r="BR17" i="4"/>
  <c r="C100" i="4"/>
  <c r="U72" i="4"/>
  <c r="BR16" i="4"/>
  <c r="BS16" i="4" s="1"/>
  <c r="BR18" i="4"/>
  <c r="I100" i="4"/>
  <c r="BR21" i="4"/>
  <c r="C128" i="4"/>
  <c r="O128" i="4"/>
  <c r="BR23" i="4"/>
  <c r="AQ19" i="4"/>
  <c r="C72" i="4"/>
  <c r="BR13" i="4"/>
  <c r="BS13" i="4" s="1"/>
  <c r="AQ22" i="4"/>
  <c r="AQ4" i="4"/>
  <c r="AQ17" i="4"/>
  <c r="AQ18" i="4"/>
  <c r="AQ23" i="4"/>
  <c r="AQ20" i="4"/>
  <c r="AQ21" i="4"/>
  <c r="AQ16" i="4"/>
  <c r="BR25" i="4"/>
  <c r="C156" i="4"/>
  <c r="BR28" i="4"/>
  <c r="U156" i="4"/>
  <c r="U100" i="4"/>
  <c r="BR20" i="4"/>
  <c r="BR26" i="4"/>
  <c r="I156" i="4"/>
  <c r="C74" i="6"/>
  <c r="C75" i="6"/>
  <c r="C82" i="6"/>
  <c r="C93" i="6"/>
  <c r="C83" i="6"/>
  <c r="C84" i="6"/>
  <c r="C85" i="6"/>
  <c r="C86" i="6"/>
  <c r="C87" i="6"/>
  <c r="C88" i="6"/>
  <c r="C89" i="6"/>
  <c r="C90" i="6"/>
  <c r="C91" i="6"/>
  <c r="C81" i="6"/>
  <c r="C94" i="6"/>
  <c r="C95" i="6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O78" i="5"/>
  <c r="O82" i="5"/>
  <c r="O77" i="5"/>
  <c r="O80" i="5"/>
  <c r="O81" i="5"/>
  <c r="O83" i="5"/>
  <c r="O84" i="5"/>
  <c r="O73" i="5"/>
  <c r="O74" i="5"/>
  <c r="O75" i="5"/>
  <c r="O76" i="5"/>
  <c r="O79" i="5"/>
  <c r="O85" i="5"/>
  <c r="O86" i="5"/>
  <c r="O87" i="5"/>
  <c r="O88" i="5"/>
  <c r="O89" i="5"/>
  <c r="O90" i="5"/>
  <c r="O91" i="5"/>
  <c r="O92" i="5"/>
  <c r="O93" i="5"/>
  <c r="O94" i="5"/>
  <c r="O95" i="5"/>
  <c r="U95" i="5"/>
  <c r="U73" i="5"/>
  <c r="U74" i="5"/>
  <c r="U75" i="5"/>
  <c r="U76" i="5"/>
  <c r="U77" i="5"/>
  <c r="U78" i="5"/>
  <c r="U79" i="5"/>
  <c r="U80" i="5"/>
  <c r="U81" i="5"/>
  <c r="U82" i="5"/>
  <c r="U83" i="5"/>
  <c r="U84" i="5"/>
  <c r="U85" i="5"/>
  <c r="U86" i="5"/>
  <c r="U87" i="5"/>
  <c r="U88" i="5"/>
  <c r="U89" i="5"/>
  <c r="U90" i="5"/>
  <c r="U91" i="5"/>
  <c r="U92" i="5"/>
  <c r="U93" i="5"/>
  <c r="U94" i="5"/>
  <c r="BA3" i="8" l="1"/>
  <c r="C13" i="2" s="1" a="1"/>
  <c r="B70" i="6"/>
  <c r="O43" i="6"/>
  <c r="O14" i="6"/>
  <c r="AZ3" i="6"/>
  <c r="BA3" i="6" s="1"/>
  <c r="BA112" i="6"/>
  <c r="N70" i="5"/>
  <c r="O18" i="5"/>
  <c r="T70" i="5"/>
  <c r="O20" i="5"/>
  <c r="BA112" i="5"/>
  <c r="AZ3" i="5"/>
  <c r="BA3" i="5" s="1"/>
  <c r="N70" i="4"/>
  <c r="O28" i="4"/>
  <c r="H70" i="4"/>
  <c r="O24" i="4"/>
  <c r="T70" i="4"/>
  <c r="O31" i="4"/>
  <c r="B70" i="4"/>
  <c r="O43" i="4"/>
  <c r="O16" i="4"/>
  <c r="BA112" i="4"/>
  <c r="AZ3" i="4"/>
  <c r="BA3" i="4" s="1"/>
  <c r="BS13" i="5"/>
  <c r="O15" i="5" l="1"/>
  <c r="O43" i="5"/>
  <c r="H70" i="5"/>
  <c r="B70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<sst xmlns="http://schemas.openxmlformats.org/spreadsheetml/2006/main" count="1516" uniqueCount="506">
  <si>
    <t>ETIQUETADO DE SALIDAS Y ELEVACIÓN DE RACKS DE TELECOMUNICACIONES</t>
  </si>
  <si>
    <t>DATOS DEL PROYECTO</t>
  </si>
  <si>
    <t>/ Project data</t>
  </si>
  <si>
    <t>Nombre del proyecto</t>
  </si>
  <si>
    <t>Proyecto #</t>
  </si>
  <si>
    <t>Ubicación</t>
  </si>
  <si>
    <t>Fecha</t>
  </si>
  <si>
    <t>Elaboró</t>
  </si>
  <si>
    <t>Jack por defecto</t>
  </si>
  <si>
    <t>Jack Cat 6A UTP azul (Mini-Com TX6A)</t>
  </si>
  <si>
    <t>NOMENCLATURA DE TIPOS DE SALIDA</t>
  </si>
  <si>
    <t>/ Outlet types</t>
  </si>
  <si>
    <t>Código</t>
  </si>
  <si>
    <t>Tipo de salida</t>
  </si>
  <si>
    <t>D</t>
  </si>
  <si>
    <t>Datos</t>
  </si>
  <si>
    <t>V</t>
  </si>
  <si>
    <t>Voz</t>
  </si>
  <si>
    <t>C</t>
  </si>
  <si>
    <t>CCTV</t>
  </si>
  <si>
    <t>B</t>
  </si>
  <si>
    <t>BMS</t>
  </si>
  <si>
    <t>W</t>
  </si>
  <si>
    <t>Access point (WAP)</t>
  </si>
  <si>
    <t>T</t>
  </si>
  <si>
    <t>TV</t>
  </si>
  <si>
    <t>A</t>
  </si>
  <si>
    <t>Control de acceso</t>
  </si>
  <si>
    <t>S</t>
  </si>
  <si>
    <t>Audio / video IP</t>
  </si>
  <si>
    <t>-</t>
  </si>
  <si>
    <t>Puerto sin salida (anula el tipo del panel)</t>
  </si>
  <si>
    <t>INSTRUCCIONES</t>
  </si>
  <si>
    <t>1. Llene los datos del proyecto y la nomenclatura de tipos de salida (aplican a todos los cuartos).</t>
  </si>
  <si>
    <t>2. Cada cuarto de telecomunicaciones va en su propia pestaña (TR-01, TR-02…), ubicada entre INICIO_TR y FIN_TR.</t>
  </si>
  <si>
    <t>3. Para agregar un cuarto: Ctrl + arrastrar la pestaña TR-01 (vacía) o una MUESTRA (piso, gabinete o pared) hasta quedar entre INICIO_TR y FIN_TR, y cambiarle el nombre.</t>
  </si>
  <si>
    <t>4. En cada cuarto: elija el rack, los organizadores verticales y los equipos de arriba hacia abajo; la vista del rack y el etiquetado se generan solos.</t>
  </si>
  <si>
    <t>5. En la lista de equipos, asigne a cada patch panel su tipo de salida (D, C, W…) y cuántas salidas usa; el etiquetado se llena solo y se puede ajustar puerto por puerto.</t>
  </si>
  <si>
    <t>6. La pestaña Catalogo se puede ampliar con más equipos (filas libres al final).</t>
  </si>
  <si>
    <t>7. La pestaña Resumen consolida cuartos, salidas por tipo y lista de materiales.</t>
  </si>
  <si>
    <t>Formato de etiqueta: [Cuarto]-[Panel]-[Puerto], ej. 1A-AA-01. La etiqueta en la salida del puesto de trabajo es la misma que en el puerto del rack.</t>
  </si>
  <si>
    <t>MARCAS DE REFERENCIA POR SISTEMA</t>
  </si>
  <si>
    <t>/ Reference brands</t>
  </si>
  <si>
    <t>Sistema</t>
  </si>
  <si>
    <t>Marca</t>
  </si>
  <si>
    <t>Pasivo / racks</t>
  </si>
  <si>
    <t>Panduit (racks R2P, gabinetes FlexFusion, racks y gabinetes de pared WBH / PanZone, patch panels, jacks Mini-Com, organizadores, fibra Opticom)</t>
  </si>
  <si>
    <t>Switches</t>
  </si>
  <si>
    <t>Cisco Catalyst 9200L</t>
  </si>
  <si>
    <t>Axis (grabadores AXIS Camera Station S12)</t>
  </si>
  <si>
    <t>Kantech (KT-400) o Software House (iSTAR Ultra); fuentes Altronix Maximal R</t>
  </si>
  <si>
    <t>Audio</t>
  </si>
  <si>
    <t>Crown (amplificadores), BSS Soundweb (DSP), TOA VM-2000 (evacuación), Bose FreeSpace (parlantes), AMX SVSI (AV/IP)</t>
  </si>
  <si>
    <t>RESUMEN — ETIQUETADO Y RACKS DE TELECOMUNICACIONES</t>
  </si>
  <si>
    <t>Cuartos detectados</t>
  </si>
  <si>
    <t>CATÁLOGO DE EQUIPOS</t>
  </si>
  <si>
    <t>Panduit fabrica la infraestructura pasiva (racks, patch panels, jacks, organizadores, fibra). Equipo activo: switches Cisco, CCTV Axis, control de acceso Kantech / Software House. PDU, servidores y similares quedan "Por definir".</t>
  </si>
  <si>
    <t>EQUIPOS</t>
  </si>
  <si>
    <t>/ Equipment</t>
  </si>
  <si>
    <t>Categoría</t>
  </si>
  <si>
    <t>Descripción</t>
  </si>
  <si>
    <t>Número de parte</t>
  </si>
  <si>
    <t>RU</t>
  </si>
  <si>
    <t>Puertos</t>
  </si>
  <si>
    <t>Especificación / notas</t>
  </si>
  <si>
    <t>Rack</t>
  </si>
  <si>
    <t>Rack 2 postes 45RU aluminio, canal 3", rosca #12-24</t>
  </si>
  <si>
    <t>Panduit</t>
  </si>
  <si>
    <t>R2P</t>
  </si>
  <si>
    <t>EIA-310, 19"; 84" (2134 mm) alto; carga UL 1000 lb</t>
  </si>
  <si>
    <t>Rack 2 postes 45RU acero, canal 3"</t>
  </si>
  <si>
    <t>R2PS</t>
  </si>
  <si>
    <t>19"; 84" (2134 mm) alto</t>
  </si>
  <si>
    <t>Rack 2 postes 45RU acero, canal 6"</t>
  </si>
  <si>
    <t>R2P6S</t>
  </si>
  <si>
    <t>19"; canal 6"; carga UL 1500 lb</t>
  </si>
  <si>
    <t>Rack 2 postes 42RU aluminio, canal 3"</t>
  </si>
  <si>
    <t>R2P79</t>
  </si>
  <si>
    <t>79" (2007 mm) alto</t>
  </si>
  <si>
    <t>Organizador vertical</t>
  </si>
  <si>
    <t>Org. vertical 6" frontal (PatchRunner 2)</t>
  </si>
  <si>
    <t>PR2VFD06</t>
  </si>
  <si>
    <t>Para rack 2 postes, 45RU</t>
  </si>
  <si>
    <t>Org. vertical 8" frontal (PatchRunner 2)</t>
  </si>
  <si>
    <t>PR2VFD08</t>
  </si>
  <si>
    <t>Org. vertical 10" frontal (PatchRunner 2)</t>
  </si>
  <si>
    <t>PR2VFD10</t>
  </si>
  <si>
    <t>Org. vertical 12" frontal (PatchRunner 2)</t>
  </si>
  <si>
    <t>PR2VFD12</t>
  </si>
  <si>
    <t>Org. vertical 6" frontal/posterior (PatchRunner 2)</t>
  </si>
  <si>
    <t>PR2VD06</t>
  </si>
  <si>
    <t>Org. vertical 8" frontal/posterior (PatchRunner 2)</t>
  </si>
  <si>
    <t>PR2VD08</t>
  </si>
  <si>
    <t>Org. vertical 10" frontal/posterior (PatchRunner 2)</t>
  </si>
  <si>
    <t>PR2VD10</t>
  </si>
  <si>
    <t>Org. vertical 12" frontal/posterior (PatchRunner 2)</t>
  </si>
  <si>
    <t>PR2VD12</t>
  </si>
  <si>
    <t>Org. vertical 4.9" frontal/posterior (NetRunner)</t>
  </si>
  <si>
    <t>WMPV45E</t>
  </si>
  <si>
    <t>45RU</t>
  </si>
  <si>
    <t>Org. vertical 6.7" frontal/posterior (NetRunner)</t>
  </si>
  <si>
    <t>WMPVHC45E</t>
  </si>
  <si>
    <t>45RU, alta capacidad</t>
  </si>
  <si>
    <t>Patch panel cobre</t>
  </si>
  <si>
    <t>Patch panel plano 24 puertos 1RU</t>
  </si>
  <si>
    <t>CPP24FMWBLY</t>
  </si>
  <si>
    <t>Mini-Com modular, montaje al ras</t>
  </si>
  <si>
    <t>Patch panel plano 48 puertos 2RU</t>
  </si>
  <si>
    <t>CPP48FMWBLY</t>
  </si>
  <si>
    <t>Patch panel angulado 24 puertos 1RU</t>
  </si>
  <si>
    <t>CPPA24FMWBLY</t>
  </si>
  <si>
    <t>Mini-Com modular angulado</t>
  </si>
  <si>
    <t>Patch panel angulado 48 puertos 2RU</t>
  </si>
  <si>
    <t>CPPA48FMWBLY</t>
  </si>
  <si>
    <t>Patch panel alta densidad plano 48 puertos 1RU</t>
  </si>
  <si>
    <t>CPP48HDWBLY</t>
  </si>
  <si>
    <t>Mini-Com HD, 48 puertos por RU</t>
  </si>
  <si>
    <t>Patch panel alta densidad angulado 48 puertos 1RU</t>
  </si>
  <si>
    <t>CPPA48HDWBLY</t>
  </si>
  <si>
    <t>Mini-Com HD angulado</t>
  </si>
  <si>
    <t>Organizador horizontal</t>
  </si>
  <si>
    <t>Org. horizontal 1RU frontal</t>
  </si>
  <si>
    <t>NMF1</t>
  </si>
  <si>
    <t>NetManager</t>
  </si>
  <si>
    <t>Org. horizontal 1RU frontal/posterior</t>
  </si>
  <si>
    <t>NM1</t>
  </si>
  <si>
    <t>Org. horizontal 2RU frontal</t>
  </si>
  <si>
    <t>NMF2</t>
  </si>
  <si>
    <t>Org. horizontal 2RU frontal/posterior</t>
  </si>
  <si>
    <t>NM2</t>
  </si>
  <si>
    <t>Org. horizontal 1RU frontal (NetRunner)</t>
  </si>
  <si>
    <t>WMPFSE</t>
  </si>
  <si>
    <t>NetRunner</t>
  </si>
  <si>
    <t>Org. horizontal 2RU frontal (NetRunner)</t>
  </si>
  <si>
    <t>WMPF1E</t>
  </si>
  <si>
    <t>Org. horizontal 1RU frontal/posterior (NetRunner)</t>
  </si>
  <si>
    <t>WMPSE</t>
  </si>
  <si>
    <t>Org. horizontal 2RU frontal/posterior (NetRunner)</t>
  </si>
  <si>
    <t>WMP1E</t>
  </si>
  <si>
    <t>Fibra</t>
  </si>
  <si>
    <t>Bandeja de fibra 1RU (4 cassettes/FAP, 96 fibras)</t>
  </si>
  <si>
    <t>FCE1U</t>
  </si>
  <si>
    <t>Opticom QuickNet</t>
  </si>
  <si>
    <t>Bandeja de fibra 2RU (8 cassettes/FAP, 192 fibras)</t>
  </si>
  <si>
    <t>FCE2U</t>
  </si>
  <si>
    <t>Bandeja de fibra 4RU (12 cassettes/FAP, 288 fibras)</t>
  </si>
  <si>
    <t>FCE4U</t>
  </si>
  <si>
    <t>Switch</t>
  </si>
  <si>
    <t>Switch Cisco 24p 1G (C9200L-24T-4G)</t>
  </si>
  <si>
    <t>Cisco</t>
  </si>
  <si>
    <t>C9200L-24T-4G</t>
  </si>
  <si>
    <t>24×1G datos, 4×1G uplink</t>
  </si>
  <si>
    <t>Switch Cisco 24p 1G PoE+ (C9200L-24P-4G)</t>
  </si>
  <si>
    <t>C9200L-24P-4G</t>
  </si>
  <si>
    <t>24×1G PoE+, 4×1G uplink, PoE 370 W (740 W con 2 fuentes)</t>
  </si>
  <si>
    <t>Switch Cisco 48p 1G (C9200L-48T-4G)</t>
  </si>
  <si>
    <t>C9200L-48T-4G</t>
  </si>
  <si>
    <t>48×1G datos, 4×1G uplink</t>
  </si>
  <si>
    <t>Switch Cisco 48p 1G PoE+ (C9200L-48P-4G)</t>
  </si>
  <si>
    <t>C9200L-48P-4G</t>
  </si>
  <si>
    <t>48×1G PoE+, 4×1G uplink, PoE 740 W (1440 W con 2 fuentes)</t>
  </si>
  <si>
    <t>Switch Cisco 24p PoE+ 10G uplink (C9200L-24P-4X)</t>
  </si>
  <si>
    <t>C9200L-24P-4X</t>
  </si>
  <si>
    <t>24×1G PoE+, 4×10G uplink, PoE 370 W</t>
  </si>
  <si>
    <t>Switch Cisco 48p PoE+ 10G uplink (C9200L-48P-4X)</t>
  </si>
  <si>
    <t>C9200L-48P-4X</t>
  </si>
  <si>
    <t>48×1G PoE+, 4×10G uplink, PoE 740 W</t>
  </si>
  <si>
    <t>Switch Cisco 48p PoE+ mGig (C9200L-48PXG-4X)</t>
  </si>
  <si>
    <t>C9200L-48PXG-4X</t>
  </si>
  <si>
    <t>12×mGig 10G + 36×1G PoE+, 4×10G uplink, PoE 740 W</t>
  </si>
  <si>
    <t>Grabador AXIS S1224 Rack 1U (12 TB, 32 cámaras)</t>
  </si>
  <si>
    <t>Axis</t>
  </si>
  <si>
    <t>AXIS S1224 Rack</t>
  </si>
  <si>
    <t>AXIS Camera Station; confirmar código de pedido</t>
  </si>
  <si>
    <t>Grabador AXIS S1232 Rack 1U (16 TB, 64 cámaras)</t>
  </si>
  <si>
    <t>AXIS S1232 Rack</t>
  </si>
  <si>
    <t>Grabador AXIS S1264 Rack 2U (24 TB, 96 cámaras)</t>
  </si>
  <si>
    <t>AXIS S1264 Rack</t>
  </si>
  <si>
    <t>Grabador AXIS S1296 Rack 2U (96 TB, 150 cámaras)</t>
  </si>
  <si>
    <t>AXIS S1296 Rack</t>
  </si>
  <si>
    <t>iSTAR Ultra GCM en gabinete rack 2U</t>
  </si>
  <si>
    <t>Software House</t>
  </si>
  <si>
    <t>USTAR-GCM-2U</t>
  </si>
  <si>
    <t>Módulo de comunicaciones</t>
  </si>
  <si>
    <t>iSTAR Ultra ACM 8 lectoras en gabinete rack 4U</t>
  </si>
  <si>
    <t>USTAR-ACM-4U</t>
  </si>
  <si>
    <t>Hasta 32 lectoras por controlador</t>
  </si>
  <si>
    <t>Controlador iSTAR Ultra 8 lectoras (pared)</t>
  </si>
  <si>
    <t>USTAR008</t>
  </si>
  <si>
    <t>Montaje en pared, sin fuente</t>
  </si>
  <si>
    <t>Controlador iSTAR Ultra 16 lectoras (pared)</t>
  </si>
  <si>
    <t>USTAR016</t>
  </si>
  <si>
    <t>Controlador Kantech KT-400 4 puertas (pared)</t>
  </si>
  <si>
    <t>Kantech</t>
  </si>
  <si>
    <t>KT-400</t>
  </si>
  <si>
    <t>IP, con gabinete metálico</t>
  </si>
  <si>
    <t>Rack de pared</t>
  </si>
  <si>
    <t>Soporte de pared abatible 1RU</t>
  </si>
  <si>
    <t>WBH1</t>
  </si>
  <si>
    <t>Hinged wall mount bracket, 6.26" prof., carga 10 lb</t>
  </si>
  <si>
    <t>Soporte de pared abatible 2RU</t>
  </si>
  <si>
    <t>WBH2</t>
  </si>
  <si>
    <t>Hinged wall mount bracket, 6.26" prof., carga 20 lb</t>
  </si>
  <si>
    <t>Soporte de pared abatible 3RU</t>
  </si>
  <si>
    <t>WBH3</t>
  </si>
  <si>
    <t>Hinged wall mount bracket, 6.26" prof., carga 30 lb</t>
  </si>
  <si>
    <t>Soporte de pared abatible 4RU</t>
  </si>
  <si>
    <t>WBH4</t>
  </si>
  <si>
    <t>Hinged wall mount bracket, 6.26" prof., carga 40 lb</t>
  </si>
  <si>
    <t>Soporte de pared abatible 4RU profundo</t>
  </si>
  <si>
    <t>WBH4E</t>
  </si>
  <si>
    <t>Hinged wall mount bracket, 15.8" prof., carga 40 lb</t>
  </si>
  <si>
    <t>Soporte de pared abatible 6RU profundo</t>
  </si>
  <si>
    <t>WBH6E</t>
  </si>
  <si>
    <t>Hinged wall mount bracket, 15.8" prof., carga 60 lb</t>
  </si>
  <si>
    <t>Gabinete de pared</t>
  </si>
  <si>
    <t>Gabinete de pared PanZone 9RU, 25" prof., puerta con ventana</t>
  </si>
  <si>
    <t>PZWMC9W</t>
  </si>
  <si>
    <t>Negro</t>
  </si>
  <si>
    <t>Gabinete de pared PanZone 12RU, 25" prof., puerta con ventana</t>
  </si>
  <si>
    <t>PZWMC12W</t>
  </si>
  <si>
    <t>Gabinete de pared PanZone 12RU, 25" prof., puerta perforada</t>
  </si>
  <si>
    <t>PZWMC12P</t>
  </si>
  <si>
    <t>Gabinete de pared PanZone 12RU, 30" prof., puerta con ventana</t>
  </si>
  <si>
    <t>PZWMC1230W</t>
  </si>
  <si>
    <t>Gabinete de pared PanZone 18RU, 25" prof., puerta con ventana</t>
  </si>
  <si>
    <t>PZWMC18W</t>
  </si>
  <si>
    <t>Gabinete de pared PanZone 18RU, 30" prof., puerta con ventana</t>
  </si>
  <si>
    <t>PZWMC1830W</t>
  </si>
  <si>
    <t>Gabinete de pared PanZone 26RU, 25" prof., puerta con ventana</t>
  </si>
  <si>
    <t>PZWMC26W</t>
  </si>
  <si>
    <t>Gabinete de pared PanZone 26RU, 30" prof., puerta con ventana</t>
  </si>
  <si>
    <t>PZWMC2630W</t>
  </si>
  <si>
    <t>Fuente de poder</t>
  </si>
  <si>
    <t>Fuente control de acceso rack 2U, 8 salidas, 12 V 4 A / 24 V 3 A</t>
  </si>
  <si>
    <t>Altronix</t>
  </si>
  <si>
    <t>Maximal1RH</t>
  </si>
  <si>
    <t>Access power controller, salidas con fusible</t>
  </si>
  <si>
    <t>Fuente control de acceso rack 2U, 16 salidas, 12 V 4 A / 24 V 3 A</t>
  </si>
  <si>
    <t>Maximal1R</t>
  </si>
  <si>
    <t>Access power controller</t>
  </si>
  <si>
    <t>Fuente control de acceso rack 2U, 8 salidas, 12/24 V 6 A</t>
  </si>
  <si>
    <t>Maximal3RH</t>
  </si>
  <si>
    <t>Fuente control de acceso rack 2U, 16 salidas, 12/24 V 6 A</t>
  </si>
  <si>
    <t>Maximal3R</t>
  </si>
  <si>
    <t>Fuente control de acceso rack 2U, 16 salidas, doble fuente 12/24 V 6 A</t>
  </si>
  <si>
    <t>Maximal33R</t>
  </si>
  <si>
    <t>Access power controller, 2 fuentes</t>
  </si>
  <si>
    <t>Amplificador Crown CDi DriveCore 2|300 (2 × 300 W)</t>
  </si>
  <si>
    <t>Crown</t>
  </si>
  <si>
    <t>CDi DriveCore 2|300</t>
  </si>
  <si>
    <t>2 canales, 300 W/canal a 4-8 Ω y 70/100 V; versión BL con BLU link</t>
  </si>
  <si>
    <t>Amplificador Crown CDi DriveCore 4|300 (4 × 300 W)</t>
  </si>
  <si>
    <t>CDi DriveCore 4|300</t>
  </si>
  <si>
    <t>4 canales, 300 W/canal a 4-8 Ω y 70/100 V</t>
  </si>
  <si>
    <t>Amplificador Crown CDi DriveCore 2|600 (2 × 600 W)</t>
  </si>
  <si>
    <t>CDi DriveCore 2|600</t>
  </si>
  <si>
    <t>2 canales, 600 W/canal a 4-8 Ω y 70/100 V</t>
  </si>
  <si>
    <t>Amplificador Crown CDi DriveCore 4|600 (4 × 600 W)</t>
  </si>
  <si>
    <t>CDi DriveCore 4|600</t>
  </si>
  <si>
    <t>4 canales, 600 W/canal a 4-8 Ω y 70/100 V</t>
  </si>
  <si>
    <t>Amplificador Crown CDi DriveCore 2|1200 (2 × 1200 W)</t>
  </si>
  <si>
    <t>CDi DriveCore 2|1200</t>
  </si>
  <si>
    <t>2 canales, 1200 W/canal a 4-8 Ω y 70/100 V</t>
  </si>
  <si>
    <t>Amplificador Crown CDi DriveCore 4|1200 (4 × 1200 W)</t>
  </si>
  <si>
    <t>CDi DriveCore 4|1200</t>
  </si>
  <si>
    <t>4 canales, 1200 W/canal a 4-8 Ω y 70/100 V</t>
  </si>
  <si>
    <t>Procesador BSS Soundweb London BLU-100 (12 in / 8 out)</t>
  </si>
  <si>
    <t>BSS</t>
  </si>
  <si>
    <t>BLU-100</t>
  </si>
  <si>
    <t>DSP, BLU link 48 canales</t>
  </si>
  <si>
    <t>Interfaz BSS Soundweb London BLU-DA (Dante / AES67)</t>
  </si>
  <si>
    <t>BLU-DA</t>
  </si>
  <si>
    <t>1RU medio rack, 64×64 Dante, BLU link 256 canales</t>
  </si>
  <si>
    <t>Amplificador de evacuación TOA VM-2120 (120 W, 5 zonas)</t>
  </si>
  <si>
    <t>TOA</t>
  </si>
  <si>
    <t>VM-2120</t>
  </si>
  <si>
    <t>Requiere kit de rack MB-36 (3U)</t>
  </si>
  <si>
    <t>Amplificador de evacuación TOA VM-2240 (240 W, 5 zonas)</t>
  </si>
  <si>
    <t>VM-2240</t>
  </si>
  <si>
    <t>Audio (campo)</t>
  </si>
  <si>
    <t>Decodificador AV sobre IP AMX SVSI NMX-DEC-N3322D</t>
  </si>
  <si>
    <t>AMX</t>
  </si>
  <si>
    <t>NMX-DEC-N3322D</t>
  </si>
  <si>
    <t>4K60, Dante AV-H, PoE+</t>
  </si>
  <si>
    <t>Micrófono remoto TOA RM-200M</t>
  </si>
  <si>
    <t>RM-200M</t>
  </si>
  <si>
    <t>Para VM-2000</t>
  </si>
  <si>
    <t>Parlante Bose FreeSpace DS 100SE (superficie)</t>
  </si>
  <si>
    <t>Bose</t>
  </si>
  <si>
    <t>FreeSpace DS 100SE</t>
  </si>
  <si>
    <t>100 W, 70/100 V, interior/exterior</t>
  </si>
  <si>
    <t>Parlante Bose FreeSpace DS 100F (empotrado)</t>
  </si>
  <si>
    <t>FreeSpace DS 100F</t>
  </si>
  <si>
    <t>100 W, 70/100 V, cielo</t>
  </si>
  <si>
    <t>Parlante Bose FreeSpace DS 16F (empotrado)</t>
  </si>
  <si>
    <t>FreeSpace DS 16F</t>
  </si>
  <si>
    <t>16 W, 70/100 V, cielo</t>
  </si>
  <si>
    <t>Parlante paisajismo Bose FreeSpace 360P Series II</t>
  </si>
  <si>
    <t>FreeSpace 360P Series II</t>
  </si>
  <si>
    <t>Exterior, 360°</t>
  </si>
  <si>
    <t>Gabinete</t>
  </si>
  <si>
    <t>Gabinete FlexFusion 600 mm × 42RU × 1070 mm negro</t>
  </si>
  <si>
    <t>XGL64212B</t>
  </si>
  <si>
    <t>Panduit FlexFusion XGL</t>
  </si>
  <si>
    <t>Gabinete FlexFusion 600 mm × 42RU × 1200 mm negro</t>
  </si>
  <si>
    <t>XGL64222B</t>
  </si>
  <si>
    <t>Gabinete FlexFusion 600 mm × 48RU × 1070 mm negro</t>
  </si>
  <si>
    <t>XGL64812B</t>
  </si>
  <si>
    <t>Gabinete FlexFusion 800 mm × 42RU × 1070 mm negro</t>
  </si>
  <si>
    <t>XGL84212B</t>
  </si>
  <si>
    <t>Panduit FlexFusion XGL; ancho para gestión de cable</t>
  </si>
  <si>
    <t>Gabinete FlexFusion 800 mm × 42RU × 1200 mm negro</t>
  </si>
  <si>
    <t>XGL84222B</t>
  </si>
  <si>
    <t>Gabinete FlexFusion 800 mm × 48RU × 1070 mm negro</t>
  </si>
  <si>
    <t>XGL84812B</t>
  </si>
  <si>
    <t>PDU</t>
  </si>
  <si>
    <t>PDU horizontal 1RU 8 tomas 120 V 15 A</t>
  </si>
  <si>
    <t>Por definir</t>
  </si>
  <si>
    <t>NEMA 5-15R</t>
  </si>
  <si>
    <t>PDU horizontal 1RU 12 tomas 120 V 20 A</t>
  </si>
  <si>
    <t>NEMA 5-20R</t>
  </si>
  <si>
    <t>UPS</t>
  </si>
  <si>
    <t>UPS rack 2RU 1500 VA</t>
  </si>
  <si>
    <t>Online / interactiva según diseño</t>
  </si>
  <si>
    <t>UPS rack 3RU 3000 VA</t>
  </si>
  <si>
    <t>Tapa ciega</t>
  </si>
  <si>
    <t>Tapa ciega 1RU sin herramienta</t>
  </si>
  <si>
    <t>TLBP1S-V</t>
  </si>
  <si>
    <t>Tool-less blanking panel</t>
  </si>
  <si>
    <t>Bandeja</t>
  </si>
  <si>
    <t>Bandeja fija 2RU</t>
  </si>
  <si>
    <t>Para equipos no montables</t>
  </si>
  <si>
    <t>Bandeja de fibra 1RU FMD1 + adaptador LC FAP12WAQDLCZ</t>
  </si>
  <si>
    <t>FMD1 + FAP12WAQDLCZ</t>
  </si>
  <si>
    <t>Opticom fiber drawer 1RU + FAP 12 LC dúplex OM3/OM4 aqua</t>
  </si>
  <si>
    <t>Org. horizontal 2RU frontal/posterior con radio de curvatura (NetRunner)</t>
  </si>
  <si>
    <t>WMPH2E</t>
  </si>
  <si>
    <t>NetRunner con clips de radio de curvatura</t>
  </si>
  <si>
    <t>Espacio libre</t>
  </si>
  <si>
    <t>Espacio libre 1RU</t>
  </si>
  <si>
    <t>—</t>
  </si>
  <si>
    <t>No se compra</t>
  </si>
  <si>
    <t>Espacio reservado</t>
  </si>
  <si>
    <t>Espacio para switch 24 puertos 1RU</t>
  </si>
  <si>
    <t>Reserva; no entra en la lista de materiales</t>
  </si>
  <si>
    <t>Espacio para switch 48 puertos 1RU</t>
  </si>
  <si>
    <t>Espacio para fibra del proveedor (ICE) 1RU</t>
  </si>
  <si>
    <t>Reserva para el proveedor de servicio</t>
  </si>
  <si>
    <t>Servidor</t>
  </si>
  <si>
    <t>Servidor 1RU (disco 2 TB)</t>
  </si>
  <si>
    <t>Servidor 8RU</t>
  </si>
  <si>
    <t>Equipo activo</t>
  </si>
  <si>
    <t>Lector de discos DVD 1RU</t>
  </si>
  <si>
    <t>Equipo activo 2RU</t>
  </si>
  <si>
    <t>UPS 3 kVA 2RU, 120 V, 6 salidas (APC SMT3000RM2U)</t>
  </si>
  <si>
    <t>APC</t>
  </si>
  <si>
    <t>SMT3000RM2U</t>
  </si>
  <si>
    <t>Smart-UPS 3000 VA LCD RM 2U 120 V</t>
  </si>
  <si>
    <t>Puesta a tierra</t>
  </si>
  <si>
    <t>Barra de tierra para rack 19"</t>
  </si>
  <si>
    <t>RGRB19Y</t>
  </si>
  <si>
    <t>StructuredGround busbar kit, 14 perforaciones</t>
  </si>
  <si>
    <t>Jack</t>
  </si>
  <si>
    <t>CJ6X88TGBU</t>
  </si>
  <si>
    <t>RJ45, 10GBASE-T</t>
  </si>
  <si>
    <t>Jack Cat 6 UTP azul (Mini-Com TX6 PLUS)</t>
  </si>
  <si>
    <t>CJ688TGBU</t>
  </si>
  <si>
    <t>RJ45, Cat 6</t>
  </si>
  <si>
    <t>ETIQUETADO Y ELEVACIÓN DE RACK — CUARTO DE TELECOMUNICACIONES</t>
  </si>
  <si>
    <t>MUESTRA PISO — machote de referencia. Esta pestaña NO se incluye en el Resumen. Para usarla: Ctrl + arrastrar hasta quedar entre INICIO_TR y FIN_TR y renombrar.</t>
  </si>
  <si>
    <t>DATOS DEL CUARTO</t>
  </si>
  <si>
    <t>/ Room data</t>
  </si>
  <si>
    <t>Código del cuarto</t>
  </si>
  <si>
    <t>1A</t>
  </si>
  <si>
    <t>Rack de piso 2 postes 45RU (machote)</t>
  </si>
  <si>
    <t>Rack / gabinete</t>
  </si>
  <si>
    <t>Cant.</t>
  </si>
  <si>
    <t>Montaje</t>
  </si>
  <si>
    <t>Ambos lados</t>
  </si>
  <si>
    <t>Jack (Proyecto)</t>
  </si>
  <si>
    <t>Celdas amarillas = datos a llenar. En gabinete, use "Sin organizador" si el gabinete ya trae gestión vertical.</t>
  </si>
  <si>
    <t>EQUIPOS EN EL RACK</t>
  </si>
  <si>
    <t>(de arriba hacia abajo)</t>
  </si>
  <si>
    <t>VISTA DEL RACK</t>
  </si>
  <si>
    <t>#</t>
  </si>
  <si>
    <t>Equipo</t>
  </si>
  <si>
    <t>RU sup.</t>
  </si>
  <si>
    <t>RU inf.</t>
  </si>
  <si>
    <t>Panel</t>
  </si>
  <si>
    <t>Tipo salida</t>
  </si>
  <si>
    <t>Salidas</t>
  </si>
  <si>
    <t>% llenado</t>
  </si>
  <si>
    <t>Utilización / notas</t>
  </si>
  <si>
    <t>Org. V.</t>
  </si>
  <si>
    <t>Fibra óptica</t>
  </si>
  <si>
    <t>Fibra óptica desde búnker fase 2</t>
  </si>
  <si>
    <t>Barra de tierra</t>
  </si>
  <si>
    <t>RU ocupados / libres / % llenado del rack</t>
  </si>
  <si>
    <t>← % llenado patch panels</t>
  </si>
  <si>
    <t>Patch panels: en "Tipo salida" elija el uso del panel (D, C, W…) y en "Salidas" cuántos puertos se usan (vacío = todos).</t>
  </si>
  <si>
    <t>EQUIPOS FUERA DEL RACK</t>
  </si>
  <si>
    <t>(pared del cuarto o campo: control de acceso, audio, parlantes…)</t>
  </si>
  <si>
    <t>Notas</t>
  </si>
  <si>
    <t>Colores:</t>
  </si>
  <si>
    <t>Org. vertical</t>
  </si>
  <si>
    <t>ETIQUETADO DE PUERTOS</t>
  </si>
  <si>
    <t>(patch panels de cobre, en el orden del rack)</t>
  </si>
  <si>
    <t>Otro</t>
  </si>
  <si>
    <t>El tipo de salida viene del panel (lista de equipos). En "Tipo" puede cambiarlo puerto por puerto, o escribir "-" para dejar el puerto sin salida. Etiqueta = Cuarto-Panel-Puerto.</t>
  </si>
  <si>
    <t>Tipo</t>
  </si>
  <si>
    <t>Salida</t>
  </si>
  <si>
    <t>Puerto</t>
  </si>
  <si>
    <t>Etiqueta</t>
  </si>
  <si>
    <t>MUESTRA GABINETE — machote de referencia. Esta pestaña NO se incluye en el Resumen. Para usarla: Ctrl + arrastrar hasta quedar entre INICIO_TR y FIN_TR y renombrar.</t>
  </si>
  <si>
    <t>1B</t>
  </si>
  <si>
    <t>Gabinete de piso 42RU (machote)</t>
  </si>
  <si>
    <t>Sin organizador</t>
  </si>
  <si>
    <t>WAPs</t>
  </si>
  <si>
    <t>Cámaras</t>
  </si>
  <si>
    <t>Reserva</t>
  </si>
  <si>
    <t>Energía</t>
  </si>
  <si>
    <t>MUESTRA PARED — machote de referencia. Esta pestaña NO se incluye en el Resumen. Para usarla: Ctrl + arrastrar hasta quedar entre INICIO_TR y FIN_TR y renombrar.</t>
  </si>
  <si>
    <t>1C</t>
  </si>
  <si>
    <t>Gabinete de pared 12RU (machote)</t>
  </si>
  <si>
    <t>▶ INICIO DE CUARTOS</t>
  </si>
  <si>
    <t>Todas las pestañas de cuarto (TR-01, TR-02…) deben quedar ENTRE esta pestaña y FIN_TR.</t>
  </si>
  <si>
    <t>Para agregar un cuarto: Ctrl + arrastrar la pestaña TR-01 (vacía) o una MUESTRA (piso, gabinete o pared) hasta aquí y cambiarle el nombre.</t>
  </si>
  <si>
    <t>No cambie el nombre de esta pestaña ni de FIN_TR.</t>
  </si>
  <si>
    <t>◀ FIN DE CUARTOS</t>
  </si>
  <si>
    <t>Las pestañas después de esta NO se incluyen en el Resumen.</t>
  </si>
  <si>
    <t>REVISIONES / REVIEWS</t>
  </si>
  <si>
    <t>V1.0: primera revisión. Pestañas Proyecto, Catálogo, Resumen y un cuarto por pestaña (TR-01 entre INICIO_TR y FIN_TR). Rack machote por defecto; racks 2 postes, gabinetes FlexFusion y racks/gabinetes de pared Panduit; organizador vertical izquierdo, derecho o ambos; vista del rack con colores y alerta de capacidad; etiquetado automático por uso de patch panel con % de llenado; equipo activo Cisco, Axis, Kantech / Software House, Altronix y audio (Crown, BSS, TOA, Bose, AMX); lista de materiales consolidada.</t>
  </si>
  <si>
    <t>V1.1: TR-01 queda vacía para empezar a llenar; el rack de referencia (machote) pasa a la pestaña MUESTRA, fuera del Resumen. Para usarla como base: Ctrl + arrastrar MUESTRA entre INICIO_TR y FIN_TR y renombrar.</t>
  </si>
  <si>
    <t>V1.2: tres machotes de referencia fuera del Resumen: MUESTRA PISO (rack 2 postes 45RU), MUESTRA GABINETE (FlexFusion 42RU) y MUESTRA PARED (PanZone 12RU).</t>
  </si>
  <si>
    <t>Lado izquierdo</t>
  </si>
  <si>
    <t>Lado derecho</t>
  </si>
  <si>
    <t>Datos eléctricos y térmicos — valores típicos de planificación, NO de fabricante: confirmar con la hoja técnica</t>
  </si>
  <si>
    <t>Consumo típico (W)</t>
  </si>
  <si>
    <t>Calor (BTU/h)</t>
  </si>
  <si>
    <t>Peso (kg)</t>
  </si>
  <si>
    <t>Capacidad de suministro (W)</t>
  </si>
  <si>
    <t>POTENCIA Y CALOR</t>
  </si>
  <si>
    <t>(valores típicos del Catálogo, columnas N–Q: confirmar con hoja técnica)</t>
  </si>
  <si>
    <t>Consumo de equipos en el rack (sin PoE)</t>
  </si>
  <si>
    <t>Carga PoE entregada a dispositivos (dato)</t>
  </si>
  <si>
    <t>Dato de entrada: PoE total de los switches. Carga el UPS pero no calienta el cuarto.</t>
  </si>
  <si>
    <t>Carga total sobre UPS</t>
  </si>
  <si>
    <t>Consumo de equipos + carga PoE.</t>
  </si>
  <si>
    <t>Calor disipado en el cuarto</t>
  </si>
  <si>
    <t>BTU/h</t>
  </si>
  <si>
    <t>Peso estimado de los equipos</t>
  </si>
  <si>
    <t>kg</t>
  </si>
  <si>
    <t>Solo equipos de la lista; sin rack ni cableado.</t>
  </si>
  <si>
    <t>Capacidad UPS instalada (suma)</t>
  </si>
  <si>
    <t>Carga sobre UPS (todos en servicio)</t>
  </si>
  <si>
    <t>% UPS</t>
  </si>
  <si>
    <t>Carga sobre 1 UPS (si el otro falla)</t>
  </si>
  <si>
    <t>Revisión del plano</t>
  </si>
  <si>
    <t>V1.3: balance de potencia, calor y peso en los machotes (Catálogo cols. N–Q); tapas ciegas en los espacios libres; en MUESTRA PISO, PDU y 4 patch panels de 24 puertos (96 salidas); encabezado con proyecto, revisión, fecha y elaboró.</t>
  </si>
  <si>
    <t>Ese tipo se asigna solo a los puertos en el etiquetado; se puede cambiar puerto por puerto o anular con "-". Varios tipos en un panel: escriba tipo:cantidad separados por coma, ej. D:24,W:24 (en orden desde el puerto 1; "Salidas" se ignora).</t>
  </si>
  <si>
    <t>V1.4: varios tipos de salida en un mismo patch panel. En "Tipo salida" escriba tipo:cantidad separados por coma (ej. D:24,W:24); se asignan en orden desde el puerto 1 y "Salidas" se ignora. Con un solo tipo (ej. D) funciona igual que antes. Valido en MUESTRA PISO / GABINETE / PARED y TR-01.</t>
  </si>
  <si>
    <t>G</t>
  </si>
  <si>
    <t>Gateways</t>
  </si>
  <si>
    <t>R</t>
  </si>
  <si>
    <t>GRMS</t>
  </si>
  <si>
    <t>SERVICIOS, REDES LAN, CUARTOS Y FIBRA TRONCAL</t>
  </si>
  <si>
    <t>Celdas en verde claro = datos a llenar. Las salidas requeridas se comparan contra las salidas etiquetadas en las pestañas de cada cuarto (Resumen). La fibra es un estimado: valide por el ingeniero.</t>
  </si>
  <si>
    <t>PARÁMETROS</t>
  </si>
  <si>
    <t>Reserva de puertos</t>
  </si>
  <si>
    <t>Reserva de fibra</t>
  </si>
  <si>
    <t>¿Enlaces de fibra redundantes?</t>
  </si>
  <si>
    <t>No</t>
  </si>
  <si>
    <t>Distancia límite fibra multimodo (m)</t>
  </si>
  <si>
    <t>¿Todos los servicios comparten una misma red LAN?</t>
  </si>
  <si>
    <t>Sí</t>
  </si>
  <si>
    <t>Cantidad de redes LAN disponibles</t>
  </si>
  <si>
    <t>Redes LAN en uso (servicios activos)</t>
  </si>
  <si>
    <t>SERVICIOS</t>
  </si>
  <si>
    <t>Servicio</t>
  </si>
  <si>
    <t>Activo</t>
  </si>
  <si>
    <t>PoE</t>
  </si>
  <si>
    <t>Red LAN (1-4)</t>
  </si>
  <si>
    <t>Red LAN efectiva</t>
  </si>
  <si>
    <t>CUARTOS DE TELECOMUNICACIONES</t>
  </si>
  <si>
    <t>Nombre</t>
  </si>
  <si>
    <t>Distancia al principal (m)</t>
  </si>
  <si>
    <t>SALIDAS REQUERIDAS POR SERVICIO Y CUARTO (en los puestos de trabajo)</t>
  </si>
  <si>
    <t>Total</t>
  </si>
  <si>
    <t>Con reserva</t>
  </si>
  <si>
    <t>TOTAL</t>
  </si>
  <si>
    <t>COBERTURA: SALIDAS REQUERIDAS (CON RESERVA) CONTRA SALIDAS ETIQUETADAS EN LOS RACKS</t>
  </si>
  <si>
    <t>Requeridas c/reserva</t>
  </si>
  <si>
    <t>Etiquetadas en racks</t>
  </si>
  <si>
    <t>Diferencia</t>
  </si>
  <si>
    <t>Estado</t>
  </si>
  <si>
    <t>FIBRA TRONCAL ENTRE EL CUARTO PRINCIPAL Y LOS SECUNDARIOS (ESTIMADO)</t>
  </si>
  <si>
    <t>Cuarto secundario</t>
  </si>
  <si>
    <t>Distancia (m)</t>
  </si>
  <si>
    <t>Enlaces</t>
  </si>
  <si>
    <t>Fibras base</t>
  </si>
  <si>
    <t>Fibras con reserva</t>
  </si>
  <si>
    <t>Tipo sugerido</t>
  </si>
  <si>
    <t>Fibras troncales en el cuarto principal (suma de secundarios + 12 del proveedor)</t>
  </si>
  <si>
    <t>V1.5: servicios Gateways (G) y GRMS (R); nueva hoja "Servicios y fibra": servicios y redes LAN, cuartos principal/secundarios con distancia, salidas por servicio y cuarto con reserva, cobertura contra las salidas etiquetadas y estimado de fibra troncal. Celdas de entrada en verde claro.</t>
  </si>
  <si>
    <t>Version: 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</si>
</sst>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8" x14ac:knownFonts="1">
    <font>
      <sz val="11"/>
      <color theme="1"/>
      <name val="Calibri"/>
      <family val="2"/>
      <scheme val="minor"/>
    </font>
    <font>
      <b/>
      <sz val="14"/>
      <name val="Arial"/>
    </font>
    <font>
      <sz val="10"/>
      <name val="Arial"/>
    </font>
    <font>
      <b/>
      <sz val="10"/>
      <color rgb="FFFFFFFF"/>
      <name val="Arial"/>
    </font>
    <font>
      <b/>
      <sz val="10"/>
      <name val="Arial"/>
    </font>
    <font>
      <b/>
      <sz val="10"/>
      <color rgb="FFC00000"/>
      <name val="Arial"/>
    </font>
    <font>
      <i/>
      <sz val="9"/>
      <name val="Arial"/>
    </font>
    <font>
      <b/>
      <sz val="8"/>
      <color rgb="FFFFFFFF"/>
      <name val="Arial"/>
    </font>
    <font>
      <b/>
      <sz val="9"/>
      <name val="Arial"/>
    </font>
    <font>
      <sz val="8"/>
      <name val="Arial"/>
    </font>
    <font>
      <sz val="8"/>
      <color rgb="FF000000"/>
      <name val="Arial"/>
    </font>
    <font>
      <sz val="8"/>
      <color rgb="FF7F7F7F"/>
      <name val="Arial"/>
    </font>
    <font>
      <sz val="8"/>
      <color rgb="FFFFFFFF"/>
      <name val="Arial"/>
    </font>
    <font>
      <b/>
      <sz val="11"/>
      <color rgb="FFC00000"/>
      <name val="Arial"/>
    </font>
    <font>
      <sz val="9"/>
      <color theme="1"/>
      <name val="Arial"/>
      <family val="2"/>
    </font>
    <font>
      <b/>
      <sz val="14"/>
      <color theme="1"/>
      <name val="Arial"/>
      <family val="2"/>
    </font>
    <font>
      <b/>
      <sz val="9"/>
      <color theme="1"/>
      <name val="Arial"/>
      <family val="2"/>
    </font>
    <font>
      <b/>
      <sz val="10"/>
      <color rgb="FFFFFFFF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D9D9D9"/>
        <bgColor rgb="FFD9D9D9"/>
      </patternFill>
    </fill>
    <fill>
      <patternFill patternType="solid">
        <fgColor rgb="FFE2EFDA"/>
        <bgColor rgb="FFE2EFDA"/>
      </patternFill>
    </fill>
    <fill>
      <patternFill patternType="solid">
        <fgColor rgb="FF262626"/>
        <bgColor rgb="FF262626"/>
      </patternFill>
    </fill>
    <fill>
      <patternFill patternType="solid">
        <fgColor rgb="FF8EA9DB"/>
        <bgColor rgb="FF8EA9DB"/>
      </patternFill>
    </fill>
    <fill>
      <patternFill patternType="solid">
        <fgColor rgb="FFBDD7EE"/>
        <bgColor rgb="FFBDD7EE"/>
      </patternFill>
    </fill>
    <fill>
      <patternFill patternType="solid">
        <fgColor rgb="FFB4A7D6"/>
        <bgColor rgb="FFB4A7D6"/>
      </patternFill>
    </fill>
    <fill>
      <patternFill patternType="solid">
        <fgColor rgb="FFD9B3FF"/>
        <bgColor rgb="FFD9B3FF"/>
      </patternFill>
    </fill>
    <fill>
      <patternFill patternType="solid">
        <fgColor rgb="FFC6EFCE"/>
        <bgColor rgb="FFC6EFCE"/>
      </patternFill>
    </fill>
    <fill>
      <patternFill patternType="solid">
        <fgColor rgb="FFFFFF00"/>
        <bgColor rgb="FFFFFF00"/>
      </patternFill>
    </fill>
    <fill>
      <patternFill patternType="solid">
        <fgColor rgb="FFF8CBAD"/>
        <bgColor rgb="FFF8CBAD"/>
      </patternFill>
    </fill>
    <fill>
      <patternFill patternType="solid">
        <fgColor rgb="FFFFFFFF"/>
        <bgColor rgb="FFFFFFFF"/>
      </patternFill>
    </fill>
    <fill>
      <patternFill patternType="solid">
        <fgColor rgb="FF2F75B5"/>
        <bgColor rgb="FF2F75B5"/>
      </patternFill>
    </fill>
    <fill>
      <patternFill patternType="solid">
        <fgColor rgb="FFFFC000"/>
        <bgColor rgb="FFFFC000"/>
      </patternFill>
    </fill>
    <fill>
      <patternFill patternType="solid">
        <fgColor rgb="FF92D050"/>
        <bgColor rgb="FF92D050"/>
      </patternFill>
    </fill>
    <fill>
      <patternFill patternType="solid">
        <fgColor rgb="FFFFC7CE"/>
        <bgColor rgb="FFFFC7CE"/>
      </patternFill>
    </fill>
    <fill>
      <patternFill patternType="solid">
        <fgColor rgb="FFA6A6A6"/>
        <bgColor rgb="FFA6A6A6"/>
      </patternFill>
    </fill>
    <fill>
      <patternFill patternType="solid">
        <fgColor rgb="FFF4B6C2"/>
        <bgColor rgb="FFF4B6C2"/>
      </patternFill>
    </fill>
    <fill>
      <patternFill patternType="solid">
        <fgColor rgb="FFFFD966"/>
        <bgColor rgb="FFFFD966"/>
      </patternFill>
    </fill>
    <fill>
      <patternFill patternType="solid">
        <fgColor rgb="FF808080"/>
        <bgColor rgb="FF808080"/>
      </patternFill>
    </fill>
    <fill>
      <patternFill patternType="solid">
        <fgColor rgb="FF00B05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9D9D9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8C8C8C"/>
      </left>
      <right style="thin">
        <color rgb="FF8C8C8C"/>
      </right>
      <top style="thin">
        <color rgb="FF8C8C8C"/>
      </top>
      <bottom style="thin">
        <color rgb="FF8C8C8C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vertical="center"/>
    </xf>
    <xf numFmtId="0" fontId="4" fillId="3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5" fillId="0" borderId="0" xfId="0" applyFont="1"/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6" fillId="0" borderId="0" xfId="0" applyFont="1"/>
    <xf numFmtId="0" fontId="13" fillId="0" borderId="0" xfId="0" applyFont="1"/>
    <xf numFmtId="9" fontId="2" fillId="0" borderId="2" xfId="0" applyNumberFormat="1" applyFont="1" applyBorder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4" fillId="0" borderId="0" xfId="0" applyFont="1"/>
    <xf numFmtId="0" fontId="9" fillId="6" borderId="0" xfId="0" applyFont="1" applyFill="1"/>
    <xf numFmtId="0" fontId="10" fillId="7" borderId="2" xfId="0" applyFont="1" applyFill="1" applyBorder="1"/>
    <xf numFmtId="0" fontId="10" fillId="8" borderId="2" xfId="0" applyFont="1" applyFill="1" applyBorder="1"/>
    <xf numFmtId="0" fontId="10" fillId="9" borderId="2" xfId="0" applyFont="1" applyFill="1" applyBorder="1"/>
    <xf numFmtId="0" fontId="10" fillId="3" borderId="2" xfId="0" applyFont="1" applyFill="1" applyBorder="1"/>
    <xf numFmtId="0" fontId="10" fillId="10" borderId="2" xfId="0" applyFont="1" applyFill="1" applyBorder="1"/>
    <xf numFmtId="0" fontId="10" fillId="11" borderId="2" xfId="0" applyFont="1" applyFill="1" applyBorder="1"/>
    <xf numFmtId="0" fontId="10" fillId="12" borderId="2" xfId="0" applyFont="1" applyFill="1" applyBorder="1"/>
    <xf numFmtId="0" fontId="11" fillId="13" borderId="2" xfId="0" applyFont="1" applyFill="1" applyBorder="1"/>
    <xf numFmtId="0" fontId="12" fillId="14" borderId="2" xfId="0" applyFont="1" applyFill="1" applyBorder="1"/>
    <xf numFmtId="0" fontId="10" fillId="15" borderId="2" xfId="0" applyFont="1" applyFill="1" applyBorder="1"/>
    <xf numFmtId="0" fontId="10" fillId="16" borderId="2" xfId="0" applyFont="1" applyFill="1" applyBorder="1"/>
    <xf numFmtId="0" fontId="10" fillId="17" borderId="2" xfId="0" applyFont="1" applyFill="1" applyBorder="1"/>
    <xf numFmtId="0" fontId="10" fillId="18" borderId="2" xfId="0" applyFont="1" applyFill="1" applyBorder="1"/>
    <xf numFmtId="0" fontId="10" fillId="19" borderId="2" xfId="0" applyFont="1" applyFill="1" applyBorder="1"/>
    <xf numFmtId="0" fontId="10" fillId="20" borderId="2" xfId="0" applyFont="1" applyFill="1" applyBorder="1"/>
    <xf numFmtId="0" fontId="12" fillId="21" borderId="2" xfId="0" applyFont="1" applyFill="1" applyBorder="1"/>
    <xf numFmtId="0" fontId="3" fillId="2" borderId="2" xfId="0" applyFont="1" applyFill="1" applyBorder="1" applyAlignment="1">
      <alignment vertical="center"/>
    </xf>
    <xf numFmtId="0" fontId="1" fillId="0" borderId="0" xfId="0" applyFont="1"/>
    <xf numFmtId="164" fontId="2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164" fontId="2" fillId="0" borderId="2" xfId="0" applyNumberFormat="1" applyFont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0" fillId="0" borderId="3" xfId="0" applyBorder="1"/>
    <xf numFmtId="0" fontId="0" fillId="0" borderId="4" xfId="0" applyBorder="1"/>
    <xf numFmtId="0" fontId="0" fillId="0" borderId="0" xfId="0"/>
    <xf numFmtId="0" fontId="1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0" fontId="2" fillId="0" borderId="2" xfId="0" applyFont="1" applyBorder="1" applyAlignment="1">
      <alignment horizontal="left" vertical="center" wrapText="1"/>
    </xf>
    <xf numFmtId="0" fontId="4" fillId="0" borderId="0" xfId="0" applyFont="1" applyAlignment="1">
      <alignment horizontal="center"/>
    </xf>
    <xf numFmtId="0" fontId="2" fillId="4" borderId="2" xfId="0" applyFont="1" applyFill="1" applyBorder="1" applyAlignment="1">
      <alignment horizontal="left" vertical="center" shrinkToFit="1"/>
    </xf>
    <xf numFmtId="0" fontId="2" fillId="0" borderId="2" xfId="0" applyFont="1" applyBorder="1" applyAlignment="1">
      <alignment horizontal="left" vertical="center" shrinkToFit="1"/>
    </xf>
    <xf numFmtId="0" fontId="2" fillId="0" borderId="2" xfId="0" applyFont="1" applyBorder="1" applyAlignment="1">
      <alignment horizontal="center" vertical="center" shrinkToFit="1"/>
    </xf>
    <xf numFmtId="0" fontId="8" fillId="0" borderId="0" xfId="0" applyFont="1" applyAlignment="1">
      <alignment horizontal="center" vertical="center" textRotation="90"/>
    </xf>
    <xf numFmtId="0" fontId="3" fillId="2" borderId="0" xfId="0" applyFont="1" applyFill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22" borderId="0" xfId="0" applyFont="1" applyFill="1"/>
    <xf numFmtId="0" fontId="14" fillId="23" borderId="8" xfId="0" applyFont="1" applyFill="1" applyBorder="1"/>
    <xf numFmtId="9" fontId="14" fillId="23" borderId="8" xfId="0" applyNumberFormat="1" applyFont="1" applyFill="1" applyBorder="1" applyAlignment="1">
      <alignment horizontal="center"/>
    </xf>
    <xf numFmtId="0" fontId="14" fillId="23" borderId="8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0" fontId="16" fillId="24" borderId="7" xfId="0" applyFont="1" applyFill="1" applyBorder="1" applyAlignment="1">
      <alignment horizontal="center" wrapText="1"/>
    </xf>
    <xf numFmtId="0" fontId="14" fillId="0" borderId="7" xfId="0" applyFont="1" applyBorder="1"/>
    <xf numFmtId="0" fontId="16" fillId="0" borderId="7" xfId="0" applyFont="1" applyBorder="1" applyAlignment="1">
      <alignment horizontal="center"/>
    </xf>
    <xf numFmtId="0" fontId="14" fillId="0" borderId="7" xfId="0" applyFont="1" applyBorder="1" applyAlignment="1">
      <alignment horizontal="center"/>
    </xf>
    <xf numFmtId="0" fontId="16" fillId="23" borderId="8" xfId="0" applyFont="1" applyFill="1" applyBorder="1"/>
    <xf numFmtId="0" fontId="16" fillId="24" borderId="7" xfId="0" applyFont="1" applyFill="1" applyBorder="1"/>
    <xf numFmtId="0" fontId="16" fillId="24" borderId="7" xfId="0" applyFont="1" applyFill="1" applyBorder="1" applyAlignment="1">
      <alignment horizontal="center"/>
    </xf>
  </cellXfs>
  <cellStyles count="1">
    <cellStyle name="Normal" xfId="0" builtinId="0"/>
  </cellStyles>
  <dxfs count="175">
    <dxf>
      <fill>
        <patternFill patternType="solid">
          <fgColor rgb="FF8EA9DB"/>
          <bgColor rgb="FF8EA9DB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BFBFBF"/>
      </font>
      <fill>
        <patternFill patternType="solid">
          <fgColor rgb="FFF2F2F2"/>
          <bgColor rgb="FFF2F2F2"/>
        </patternFill>
      </fill>
    </dxf>
    <dxf>
      <font>
        <color rgb="FFBFBFBF"/>
      </font>
      <fill>
        <patternFill patternType="solid">
          <fgColor rgb="FFF2F2F2"/>
          <bgColor rgb="FFF2F2F2"/>
        </patternFill>
      </fill>
    </dxf>
    <dxf>
      <font>
        <color rgb="FFBFBFBF"/>
      </font>
      <fill>
        <patternFill patternType="solid">
          <fgColor rgb="FFF2F2F2"/>
          <bgColor rgb="FFF2F2F2"/>
        </patternFill>
      </fill>
    </dxf>
    <dxf>
      <font>
        <color rgb="FFBFBFBF"/>
      </font>
      <fill>
        <patternFill patternType="solid">
          <fgColor rgb="FFF2F2F2"/>
          <bgColor rgb="FFF2F2F2"/>
        </patternFill>
      </fill>
    </dxf>
    <dxf>
      <font>
        <b/>
        <color rgb="FF000000"/>
      </font>
      <fill>
        <patternFill patternType="solid">
          <fgColor rgb="FFF4B6C2"/>
          <bgColor rgb="FFF4B6C2"/>
        </patternFill>
      </fill>
    </dxf>
    <dxf>
      <font>
        <b/>
        <color rgb="FF000000"/>
      </font>
      <fill>
        <patternFill patternType="solid">
          <fgColor rgb="FFA6A6A6"/>
          <bgColor rgb="FFA6A6A6"/>
        </patternFill>
      </fill>
    </dxf>
    <dxf>
      <font>
        <b/>
        <color rgb="FF000000"/>
      </font>
      <fill>
        <patternFill patternType="solid">
          <fgColor rgb="FF92D050"/>
          <bgColor rgb="FF92D050"/>
        </patternFill>
      </fill>
    </dxf>
    <dxf>
      <font>
        <b/>
        <color rgb="FF000000"/>
      </font>
      <fill>
        <patternFill patternType="solid">
          <fgColor rgb="FFFFC7CE"/>
          <bgColor rgb="FFFFC7CE"/>
        </patternFill>
      </fill>
    </dxf>
    <dxf>
      <font>
        <b/>
        <color rgb="FF000000"/>
      </font>
      <fill>
        <patternFill patternType="solid">
          <fgColor rgb="FFFFC000"/>
          <bgColor rgb="FFFFC000"/>
        </patternFill>
      </fill>
    </dxf>
    <dxf>
      <font>
        <b/>
        <color rgb="FFFFFFFF"/>
      </font>
      <fill>
        <patternFill patternType="solid">
          <fgColor rgb="FF2F75B5"/>
          <bgColor rgb="FF2F75B5"/>
        </patternFill>
      </fill>
    </dxf>
    <dxf>
      <font>
        <b/>
        <color rgb="FF7F7F7F"/>
      </font>
      <fill>
        <patternFill patternType="solid">
          <fgColor rgb="FFFFFFFF"/>
          <bgColor rgb="FFFFFFFF"/>
        </patternFill>
      </fill>
    </dxf>
    <dxf>
      <font>
        <b/>
        <color rgb="FF000000"/>
      </font>
      <fill>
        <patternFill patternType="solid">
          <fgColor rgb="FFF8CBAD"/>
          <bgColor rgb="FFF8CBAD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C6EFCE"/>
          <bgColor rgb="FFC6EFCE"/>
        </patternFill>
      </fill>
    </dxf>
    <dxf>
      <font>
        <b/>
        <color rgb="FF000000"/>
      </font>
      <fill>
        <patternFill patternType="solid">
          <fgColor rgb="FFD9D9D9"/>
          <bgColor rgb="FFD9D9D9"/>
        </patternFill>
      </fill>
    </dxf>
    <dxf>
      <font>
        <b/>
        <color rgb="FF000000"/>
      </font>
      <fill>
        <patternFill patternType="solid">
          <fgColor rgb="FFD9B3FF"/>
          <bgColor rgb="FFD9B3FF"/>
        </patternFill>
      </fill>
    </dxf>
    <dxf>
      <font>
        <b/>
        <color rgb="FF000000"/>
      </font>
      <fill>
        <patternFill patternType="solid">
          <fgColor rgb="FFE2EFDA"/>
          <bgColor rgb="FFE2EFDA"/>
        </patternFill>
      </fill>
    </dxf>
    <dxf>
      <font>
        <b/>
        <color rgb="FF000000"/>
      </font>
      <fill>
        <patternFill patternType="solid">
          <fgColor rgb="FFB4A7D6"/>
          <bgColor rgb="FFB4A7D6"/>
        </patternFill>
      </fill>
    </dxf>
    <dxf>
      <font>
        <b/>
        <color rgb="FF595959"/>
      </font>
      <fill>
        <patternFill patternType="solid">
          <fgColor rgb="FF595959"/>
          <bgColor rgb="FF595959"/>
        </patternFill>
      </fill>
    </dxf>
    <dxf>
      <font>
        <b/>
        <color rgb="FF000000"/>
      </font>
      <fill>
        <patternFill patternType="solid">
          <fgColor rgb="FFE2EFDA"/>
          <bgColor rgb="FFE2EFDA"/>
        </patternFill>
      </fill>
    </dxf>
    <dxf>
      <font>
        <b/>
        <color rgb="FF000000"/>
      </font>
      <fill>
        <patternFill patternType="solid">
          <fgColor rgb="FFBDD7EE"/>
          <bgColor rgb="FFBDD7EE"/>
        </patternFill>
      </fill>
    </dxf>
    <dxf>
      <font>
        <b/>
        <color rgb="FFFFFFFF"/>
      </font>
      <fill>
        <patternFill patternType="solid">
          <fgColor rgb="FF808080"/>
          <bgColor rgb="FF808080"/>
        </patternFill>
      </fill>
    </dxf>
    <dxf>
      <font>
        <b/>
        <color rgb="FF000000"/>
      </font>
      <fill>
        <patternFill patternType="solid">
          <fgColor rgb="FFFFD966"/>
          <bgColor rgb="FFFFD966"/>
        </patternFill>
      </fill>
    </dxf>
    <dxf>
      <fill>
        <patternFill patternType="solid">
          <fgColor rgb="FF8EA9DB"/>
          <bgColor rgb="FF8EA9DB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BFBFBF"/>
      </font>
      <fill>
        <patternFill patternType="solid">
          <fgColor rgb="FFF2F2F2"/>
          <bgColor rgb="FFF2F2F2"/>
        </patternFill>
      </fill>
    </dxf>
    <dxf>
      <font>
        <color rgb="FFBFBFBF"/>
      </font>
      <fill>
        <patternFill patternType="solid">
          <fgColor rgb="FFF2F2F2"/>
          <bgColor rgb="FFF2F2F2"/>
        </patternFill>
      </fill>
    </dxf>
    <dxf>
      <font>
        <color rgb="FFBFBFBF"/>
      </font>
      <fill>
        <patternFill patternType="solid">
          <fgColor rgb="FFF2F2F2"/>
          <bgColor rgb="FFF2F2F2"/>
        </patternFill>
      </fill>
    </dxf>
    <dxf>
      <font>
        <color rgb="FFBFBFBF"/>
      </font>
      <fill>
        <patternFill patternType="solid">
          <fgColor rgb="FFF2F2F2"/>
          <bgColor rgb="FFF2F2F2"/>
        </patternFill>
      </fill>
    </dxf>
    <dxf>
      <font>
        <b/>
        <color rgb="FFFFFFFF"/>
      </font>
      <fill>
        <patternFill patternType="solid">
          <fgColor rgb="FF00B050"/>
          <bgColor rgb="FF00B050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00B050"/>
          <bgColor rgb="FF00B050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color rgb="FFBFBFBF"/>
      </font>
      <fill>
        <patternFill patternType="solid">
          <fgColor rgb="FFF2F2F2"/>
          <bgColor rgb="FFF2F2F2"/>
        </patternFill>
      </fill>
    </dxf>
    <dxf>
      <font>
        <color rgb="FFBFBFBF"/>
      </font>
      <fill>
        <patternFill patternType="solid">
          <fgColor rgb="FFF2F2F2"/>
          <bgColor rgb="FFF2F2F2"/>
        </patternFill>
      </fill>
    </dxf>
    <dxf>
      <font>
        <color rgb="FFBFBFBF"/>
      </font>
      <fill>
        <patternFill patternType="solid">
          <fgColor rgb="FFF2F2F2"/>
          <bgColor rgb="FFF2F2F2"/>
        </patternFill>
      </fill>
    </dxf>
    <dxf>
      <font>
        <color rgb="FFBFBFBF"/>
      </font>
      <fill>
        <patternFill patternType="solid">
          <fgColor rgb="FFF2F2F2"/>
          <bgColor rgb="FFF2F2F2"/>
        </patternFill>
      </fill>
    </dxf>
    <dxf>
      <font>
        <b/>
        <color rgb="FFC00000"/>
      </font>
      <fill>
        <patternFill patternType="solid">
          <fgColor rgb="FFFFC7CE"/>
          <bgColor rgb="FFFFC7CE"/>
        </patternFill>
      </fill>
    </dxf>
    <dxf>
      <font>
        <color rgb="FFBFBFBF"/>
      </font>
      <fill>
        <patternFill patternType="solid">
          <fgColor rgb="FFF2F2F2"/>
          <bgColor rgb="FFF2F2F2"/>
        </patternFill>
      </fill>
    </dxf>
    <dxf>
      <font>
        <color rgb="FFBFBFBF"/>
      </font>
      <fill>
        <patternFill patternType="solid">
          <fgColor rgb="FFF2F2F2"/>
          <bgColor rgb="FFF2F2F2"/>
        </patternFill>
      </fill>
    </dxf>
    <dxf>
      <font>
        <color rgb="FFBFBFBF"/>
      </font>
      <fill>
        <patternFill patternType="solid">
          <fgColor rgb="FFF2F2F2"/>
          <bgColor rgb="FFF2F2F2"/>
        </patternFill>
      </fill>
    </dxf>
    <dxf>
      <font>
        <color rgb="FFBFBFBF"/>
      </font>
      <fill>
        <patternFill patternType="solid">
          <fgColor rgb="FFF2F2F2"/>
          <bgColor rgb="FFF2F2F2"/>
        </patternFill>
      </fill>
    </dxf>
    <dxf>
      <fill>
        <patternFill patternType="solid">
          <fgColor rgb="FF8EA9DB"/>
          <bgColor rgb="FF8EA9DB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BFBFBF"/>
      </font>
      <fill>
        <patternFill patternType="solid">
          <fgColor rgb="FFF2F2F2"/>
          <bgColor rgb="FFF2F2F2"/>
        </patternFill>
      </fill>
    </dxf>
    <dxf>
      <font>
        <color rgb="FFBFBFBF"/>
      </font>
      <fill>
        <patternFill patternType="solid">
          <fgColor rgb="FFF2F2F2"/>
          <bgColor rgb="FFF2F2F2"/>
        </patternFill>
      </fill>
    </dxf>
    <dxf>
      <font>
        <color rgb="FFBFBFBF"/>
      </font>
      <fill>
        <patternFill patternType="solid">
          <fgColor rgb="FFF2F2F2"/>
          <bgColor rgb="FFF2F2F2"/>
        </patternFill>
      </fill>
    </dxf>
    <dxf>
      <font>
        <color rgb="FFBFBFBF"/>
      </font>
      <fill>
        <patternFill patternType="solid">
          <fgColor rgb="FFF2F2F2"/>
          <bgColor rgb="FFF2F2F2"/>
        </patternFill>
      </fill>
    </dxf>
    <dxf>
      <font>
        <b/>
        <color rgb="FF000000"/>
      </font>
      <fill>
        <patternFill patternType="solid">
          <fgColor rgb="FFF4B6C2"/>
          <bgColor rgb="FFF4B6C2"/>
        </patternFill>
      </fill>
    </dxf>
    <dxf>
      <font>
        <b/>
        <color rgb="FF000000"/>
      </font>
      <fill>
        <patternFill patternType="solid">
          <fgColor rgb="FFA6A6A6"/>
          <bgColor rgb="FFA6A6A6"/>
        </patternFill>
      </fill>
    </dxf>
    <dxf>
      <font>
        <b/>
        <color rgb="FF000000"/>
      </font>
      <fill>
        <patternFill patternType="solid">
          <fgColor rgb="FF92D050"/>
          <bgColor rgb="FF92D050"/>
        </patternFill>
      </fill>
    </dxf>
    <dxf>
      <font>
        <b/>
        <color rgb="FF000000"/>
      </font>
      <fill>
        <patternFill patternType="solid">
          <fgColor rgb="FFFFC7CE"/>
          <bgColor rgb="FFFFC7CE"/>
        </patternFill>
      </fill>
    </dxf>
    <dxf>
      <font>
        <b/>
        <color rgb="FF000000"/>
      </font>
      <fill>
        <patternFill patternType="solid">
          <fgColor rgb="FFFFC000"/>
          <bgColor rgb="FFFFC000"/>
        </patternFill>
      </fill>
    </dxf>
    <dxf>
      <font>
        <b/>
        <color rgb="FFFFFFFF"/>
      </font>
      <fill>
        <patternFill patternType="solid">
          <fgColor rgb="FF2F75B5"/>
          <bgColor rgb="FF2F75B5"/>
        </patternFill>
      </fill>
    </dxf>
    <dxf>
      <font>
        <b/>
        <color rgb="FF7F7F7F"/>
      </font>
      <fill>
        <patternFill patternType="solid">
          <fgColor rgb="FFFFFFFF"/>
          <bgColor rgb="FFFFFFFF"/>
        </patternFill>
      </fill>
    </dxf>
    <dxf>
      <font>
        <b/>
        <color rgb="FF000000"/>
      </font>
      <fill>
        <patternFill patternType="solid">
          <fgColor rgb="FFF8CBAD"/>
          <bgColor rgb="FFF8CBAD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C6EFCE"/>
          <bgColor rgb="FFC6EFCE"/>
        </patternFill>
      </fill>
    </dxf>
    <dxf>
      <font>
        <b/>
        <color rgb="FF000000"/>
      </font>
      <fill>
        <patternFill patternType="solid">
          <fgColor rgb="FFD9D9D9"/>
          <bgColor rgb="FFD9D9D9"/>
        </patternFill>
      </fill>
    </dxf>
    <dxf>
      <font>
        <b/>
        <color rgb="FF000000"/>
      </font>
      <fill>
        <patternFill patternType="solid">
          <fgColor rgb="FFD9B3FF"/>
          <bgColor rgb="FFD9B3FF"/>
        </patternFill>
      </fill>
    </dxf>
    <dxf>
      <font>
        <b/>
        <color rgb="FF000000"/>
      </font>
      <fill>
        <patternFill patternType="solid">
          <fgColor rgb="FFE2EFDA"/>
          <bgColor rgb="FFE2EFDA"/>
        </patternFill>
      </fill>
    </dxf>
    <dxf>
      <font>
        <b/>
        <color rgb="FF000000"/>
      </font>
      <fill>
        <patternFill patternType="solid">
          <fgColor rgb="FFB4A7D6"/>
          <bgColor rgb="FFB4A7D6"/>
        </patternFill>
      </fill>
    </dxf>
    <dxf>
      <font>
        <b/>
        <color rgb="FF595959"/>
      </font>
      <fill>
        <patternFill patternType="solid">
          <fgColor rgb="FF595959"/>
          <bgColor rgb="FF595959"/>
        </patternFill>
      </fill>
    </dxf>
    <dxf>
      <font>
        <b/>
        <color rgb="FF000000"/>
      </font>
      <fill>
        <patternFill patternType="solid">
          <fgColor rgb="FFE2EFDA"/>
          <bgColor rgb="FFE2EFDA"/>
        </patternFill>
      </fill>
    </dxf>
    <dxf>
      <font>
        <b/>
        <color rgb="FF000000"/>
      </font>
      <fill>
        <patternFill patternType="solid">
          <fgColor rgb="FFBDD7EE"/>
          <bgColor rgb="FFBDD7EE"/>
        </patternFill>
      </fill>
    </dxf>
    <dxf>
      <font>
        <b/>
        <color rgb="FFFFFFFF"/>
      </font>
      <fill>
        <patternFill patternType="solid">
          <fgColor rgb="FF808080"/>
          <bgColor rgb="FF808080"/>
        </patternFill>
      </fill>
    </dxf>
    <dxf>
      <font>
        <b/>
        <color rgb="FF000000"/>
      </font>
      <fill>
        <patternFill patternType="solid">
          <fgColor rgb="FFFFD966"/>
          <bgColor rgb="FFFFD966"/>
        </patternFill>
      </fill>
    </dxf>
    <dxf>
      <fill>
        <patternFill patternType="solid">
          <fgColor rgb="FF8EA9DB"/>
          <bgColor rgb="FF8EA9DB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BFBFBF"/>
      </font>
      <fill>
        <patternFill patternType="solid">
          <fgColor rgb="FFF2F2F2"/>
          <bgColor rgb="FFF2F2F2"/>
        </patternFill>
      </fill>
    </dxf>
    <dxf>
      <font>
        <color rgb="FFBFBFBF"/>
      </font>
      <fill>
        <patternFill patternType="solid">
          <fgColor rgb="FFF2F2F2"/>
          <bgColor rgb="FFF2F2F2"/>
        </patternFill>
      </fill>
    </dxf>
    <dxf>
      <font>
        <color rgb="FFBFBFBF"/>
      </font>
      <fill>
        <patternFill patternType="solid">
          <fgColor rgb="FFF2F2F2"/>
          <bgColor rgb="FFF2F2F2"/>
        </patternFill>
      </fill>
    </dxf>
    <dxf>
      <font>
        <color rgb="FFBFBFBF"/>
      </font>
      <fill>
        <patternFill patternType="solid">
          <fgColor rgb="FFF2F2F2"/>
          <bgColor rgb="FFF2F2F2"/>
        </patternFill>
      </fill>
    </dxf>
    <dxf>
      <font>
        <b/>
        <color rgb="FFFFFFFF"/>
      </font>
      <fill>
        <patternFill patternType="solid">
          <fgColor rgb="FF00B050"/>
          <bgColor rgb="FF00B050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00B050"/>
          <bgColor rgb="FF00B050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color rgb="FFBFBFBF"/>
      </font>
      <fill>
        <patternFill patternType="solid">
          <fgColor rgb="FFF2F2F2"/>
          <bgColor rgb="FFF2F2F2"/>
        </patternFill>
      </fill>
    </dxf>
    <dxf>
      <font>
        <color rgb="FFBFBFBF"/>
      </font>
      <fill>
        <patternFill patternType="solid">
          <fgColor rgb="FFF2F2F2"/>
          <bgColor rgb="FFF2F2F2"/>
        </patternFill>
      </fill>
    </dxf>
    <dxf>
      <font>
        <color rgb="FFBFBFBF"/>
      </font>
      <fill>
        <patternFill patternType="solid">
          <fgColor rgb="FFF2F2F2"/>
          <bgColor rgb="FFF2F2F2"/>
        </patternFill>
      </fill>
    </dxf>
    <dxf>
      <font>
        <color rgb="FFBFBFBF"/>
      </font>
      <fill>
        <patternFill patternType="solid">
          <fgColor rgb="FFF2F2F2"/>
          <bgColor rgb="FFF2F2F2"/>
        </patternFill>
      </fill>
    </dxf>
    <dxf>
      <font>
        <b/>
        <color rgb="FFC00000"/>
      </font>
      <fill>
        <patternFill patternType="solid">
          <fgColor rgb="FFFFC7CE"/>
          <bgColor rgb="FFFFC7CE"/>
        </patternFill>
      </fill>
    </dxf>
    <dxf>
      <font>
        <color rgb="FFBFBFBF"/>
      </font>
      <fill>
        <patternFill patternType="solid">
          <fgColor rgb="FFF2F2F2"/>
          <bgColor rgb="FFF2F2F2"/>
        </patternFill>
      </fill>
    </dxf>
    <dxf>
      <font>
        <color rgb="FFBFBFBF"/>
      </font>
      <fill>
        <patternFill patternType="solid">
          <fgColor rgb="FFF2F2F2"/>
          <bgColor rgb="FFF2F2F2"/>
        </patternFill>
      </fill>
    </dxf>
    <dxf>
      <font>
        <color rgb="FFBFBFBF"/>
      </font>
      <fill>
        <patternFill patternType="solid">
          <fgColor rgb="FFF2F2F2"/>
          <bgColor rgb="FFF2F2F2"/>
        </patternFill>
      </fill>
    </dxf>
    <dxf>
      <font>
        <color rgb="FFBFBFBF"/>
      </font>
      <fill>
        <patternFill patternType="solid">
          <fgColor rgb="FFF2F2F2"/>
          <bgColor rgb="FFF2F2F2"/>
        </patternFill>
      </fill>
    </dxf>
    <dxf>
      <fill>
        <patternFill patternType="solid">
          <fgColor rgb="FF8EA9DB"/>
          <bgColor rgb="FF8EA9DB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BFBFBF"/>
      </font>
      <fill>
        <patternFill patternType="solid">
          <fgColor rgb="FFF2F2F2"/>
          <bgColor rgb="FFF2F2F2"/>
        </patternFill>
      </fill>
    </dxf>
    <dxf>
      <font>
        <color rgb="FFBFBFBF"/>
      </font>
      <fill>
        <patternFill patternType="solid">
          <fgColor rgb="FFF2F2F2"/>
          <bgColor rgb="FFF2F2F2"/>
        </patternFill>
      </fill>
    </dxf>
    <dxf>
      <font>
        <color rgb="FFBFBFBF"/>
      </font>
      <fill>
        <patternFill patternType="solid">
          <fgColor rgb="FFF2F2F2"/>
          <bgColor rgb="FFF2F2F2"/>
        </patternFill>
      </fill>
    </dxf>
    <dxf>
      <font>
        <color rgb="FFBFBFBF"/>
      </font>
      <fill>
        <patternFill patternType="solid">
          <fgColor rgb="FFF2F2F2"/>
          <bgColor rgb="FFF2F2F2"/>
        </patternFill>
      </fill>
    </dxf>
    <dxf>
      <font>
        <b/>
        <color rgb="FF000000"/>
      </font>
      <fill>
        <patternFill patternType="solid">
          <fgColor rgb="FFF4B6C2"/>
          <bgColor rgb="FFF4B6C2"/>
        </patternFill>
      </fill>
    </dxf>
    <dxf>
      <font>
        <b/>
        <color rgb="FF000000"/>
      </font>
      <fill>
        <patternFill patternType="solid">
          <fgColor rgb="FFA6A6A6"/>
          <bgColor rgb="FFA6A6A6"/>
        </patternFill>
      </fill>
    </dxf>
    <dxf>
      <font>
        <b/>
        <color rgb="FF000000"/>
      </font>
      <fill>
        <patternFill patternType="solid">
          <fgColor rgb="FF92D050"/>
          <bgColor rgb="FF92D050"/>
        </patternFill>
      </fill>
    </dxf>
    <dxf>
      <font>
        <b/>
        <color rgb="FF000000"/>
      </font>
      <fill>
        <patternFill patternType="solid">
          <fgColor rgb="FFFFC7CE"/>
          <bgColor rgb="FFFFC7CE"/>
        </patternFill>
      </fill>
    </dxf>
    <dxf>
      <font>
        <b/>
        <color rgb="FF000000"/>
      </font>
      <fill>
        <patternFill patternType="solid">
          <fgColor rgb="FFFFC000"/>
          <bgColor rgb="FFFFC000"/>
        </patternFill>
      </fill>
    </dxf>
    <dxf>
      <font>
        <b/>
        <color rgb="FFFFFFFF"/>
      </font>
      <fill>
        <patternFill patternType="solid">
          <fgColor rgb="FF2F75B5"/>
          <bgColor rgb="FF2F75B5"/>
        </patternFill>
      </fill>
    </dxf>
    <dxf>
      <font>
        <b/>
        <color rgb="FF7F7F7F"/>
      </font>
      <fill>
        <patternFill patternType="solid">
          <fgColor rgb="FFFFFFFF"/>
          <bgColor rgb="FFFFFFFF"/>
        </patternFill>
      </fill>
    </dxf>
    <dxf>
      <font>
        <b/>
        <color rgb="FF000000"/>
      </font>
      <fill>
        <patternFill patternType="solid">
          <fgColor rgb="FFF8CBAD"/>
          <bgColor rgb="FFF8CBAD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C6EFCE"/>
          <bgColor rgb="FFC6EFCE"/>
        </patternFill>
      </fill>
    </dxf>
    <dxf>
      <font>
        <b/>
        <color rgb="FF000000"/>
      </font>
      <fill>
        <patternFill patternType="solid">
          <fgColor rgb="FFD9D9D9"/>
          <bgColor rgb="FFD9D9D9"/>
        </patternFill>
      </fill>
    </dxf>
    <dxf>
      <font>
        <b/>
        <color rgb="FF000000"/>
      </font>
      <fill>
        <patternFill patternType="solid">
          <fgColor rgb="FFD9B3FF"/>
          <bgColor rgb="FFD9B3FF"/>
        </patternFill>
      </fill>
    </dxf>
    <dxf>
      <font>
        <b/>
        <color rgb="FF000000"/>
      </font>
      <fill>
        <patternFill patternType="solid">
          <fgColor rgb="FFE2EFDA"/>
          <bgColor rgb="FFE2EFDA"/>
        </patternFill>
      </fill>
    </dxf>
    <dxf>
      <font>
        <b/>
        <color rgb="FF000000"/>
      </font>
      <fill>
        <patternFill patternType="solid">
          <fgColor rgb="FFB4A7D6"/>
          <bgColor rgb="FFB4A7D6"/>
        </patternFill>
      </fill>
    </dxf>
    <dxf>
      <font>
        <b/>
        <color rgb="FF595959"/>
      </font>
      <fill>
        <patternFill patternType="solid">
          <fgColor rgb="FF595959"/>
          <bgColor rgb="FF595959"/>
        </patternFill>
      </fill>
    </dxf>
    <dxf>
      <font>
        <b/>
        <color rgb="FF000000"/>
      </font>
      <fill>
        <patternFill patternType="solid">
          <fgColor rgb="FFE2EFDA"/>
          <bgColor rgb="FFE2EFDA"/>
        </patternFill>
      </fill>
    </dxf>
    <dxf>
      <font>
        <b/>
        <color rgb="FF000000"/>
      </font>
      <fill>
        <patternFill patternType="solid">
          <fgColor rgb="FFBDD7EE"/>
          <bgColor rgb="FFBDD7EE"/>
        </patternFill>
      </fill>
    </dxf>
    <dxf>
      <font>
        <b/>
        <color rgb="FFFFFFFF"/>
      </font>
      <fill>
        <patternFill patternType="solid">
          <fgColor rgb="FF808080"/>
          <bgColor rgb="FF808080"/>
        </patternFill>
      </fill>
    </dxf>
    <dxf>
      <font>
        <b/>
        <color rgb="FF000000"/>
      </font>
      <fill>
        <patternFill patternType="solid">
          <fgColor rgb="FFFFD966"/>
          <bgColor rgb="FFFFD966"/>
        </patternFill>
      </fill>
    </dxf>
    <dxf>
      <fill>
        <patternFill patternType="solid">
          <fgColor rgb="FF8EA9DB"/>
          <bgColor rgb="FF8EA9DB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BFBFBF"/>
      </font>
      <fill>
        <patternFill patternType="solid">
          <fgColor rgb="FFF2F2F2"/>
          <bgColor rgb="FFF2F2F2"/>
        </patternFill>
      </fill>
    </dxf>
    <dxf>
      <font>
        <color rgb="FFBFBFBF"/>
      </font>
      <fill>
        <patternFill patternType="solid">
          <fgColor rgb="FFF2F2F2"/>
          <bgColor rgb="FFF2F2F2"/>
        </patternFill>
      </fill>
    </dxf>
    <dxf>
      <font>
        <color rgb="FFBFBFBF"/>
      </font>
      <fill>
        <patternFill patternType="solid">
          <fgColor rgb="FFF2F2F2"/>
          <bgColor rgb="FFF2F2F2"/>
        </patternFill>
      </fill>
    </dxf>
    <dxf>
      <font>
        <color rgb="FFBFBFBF"/>
      </font>
      <fill>
        <patternFill patternType="solid">
          <fgColor rgb="FFF2F2F2"/>
          <bgColor rgb="FFF2F2F2"/>
        </patternFill>
      </fill>
    </dxf>
    <dxf>
      <font>
        <b/>
        <color rgb="FFFFFFFF"/>
      </font>
      <fill>
        <patternFill patternType="solid">
          <fgColor rgb="FF00B050"/>
          <bgColor rgb="FF00B050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00B050"/>
          <bgColor rgb="FF00B050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color rgb="FFBFBFBF"/>
      </font>
      <fill>
        <patternFill patternType="solid">
          <fgColor rgb="FFF2F2F2"/>
          <bgColor rgb="FFF2F2F2"/>
        </patternFill>
      </fill>
    </dxf>
    <dxf>
      <font>
        <color rgb="FFBFBFBF"/>
      </font>
      <fill>
        <patternFill patternType="solid">
          <fgColor rgb="FFF2F2F2"/>
          <bgColor rgb="FFF2F2F2"/>
        </patternFill>
      </fill>
    </dxf>
    <dxf>
      <font>
        <color rgb="FFBFBFBF"/>
      </font>
      <fill>
        <patternFill patternType="solid">
          <fgColor rgb="FFF2F2F2"/>
          <bgColor rgb="FFF2F2F2"/>
        </patternFill>
      </fill>
    </dxf>
    <dxf>
      <font>
        <color rgb="FFBFBFBF"/>
      </font>
      <fill>
        <patternFill patternType="solid">
          <fgColor rgb="FFF2F2F2"/>
          <bgColor rgb="FFF2F2F2"/>
        </patternFill>
      </fill>
    </dxf>
    <dxf>
      <font>
        <b/>
        <color rgb="FFC00000"/>
      </font>
      <fill>
        <patternFill patternType="solid">
          <fgColor rgb="FFFFC7CE"/>
          <bgColor rgb="FFFFC7CE"/>
        </patternFill>
      </fill>
    </dxf>
    <dxf>
      <font>
        <color rgb="FFBFBFBF"/>
      </font>
      <fill>
        <patternFill patternType="solid">
          <fgColor rgb="FFF2F2F2"/>
          <bgColor rgb="FFF2F2F2"/>
        </patternFill>
      </fill>
    </dxf>
    <dxf>
      <font>
        <color rgb="FFBFBFBF"/>
      </font>
      <fill>
        <patternFill patternType="solid">
          <fgColor rgb="FFF2F2F2"/>
          <bgColor rgb="FFF2F2F2"/>
        </patternFill>
      </fill>
    </dxf>
    <dxf>
      <font>
        <color rgb="FFBFBFBF"/>
      </font>
      <fill>
        <patternFill patternType="solid">
          <fgColor rgb="FFF2F2F2"/>
          <bgColor rgb="FFF2F2F2"/>
        </patternFill>
      </fill>
    </dxf>
    <dxf>
      <font>
        <color rgb="FFBFBFBF"/>
      </font>
      <fill>
        <patternFill patternType="solid">
          <fgColor rgb="FFF2F2F2"/>
          <bgColor rgb="FFF2F2F2"/>
        </patternFill>
      </fill>
    </dxf>
    <dxf>
      <fill>
        <patternFill patternType="solid">
          <fgColor rgb="FF8EA9DB"/>
          <bgColor rgb="FF8EA9DB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BFBFBF"/>
      </font>
      <fill>
        <patternFill patternType="solid">
          <fgColor rgb="FFF2F2F2"/>
          <bgColor rgb="FFF2F2F2"/>
        </patternFill>
      </fill>
    </dxf>
    <dxf>
      <font>
        <color rgb="FFBFBFBF"/>
      </font>
      <fill>
        <patternFill patternType="solid">
          <fgColor rgb="FFF2F2F2"/>
          <bgColor rgb="FFF2F2F2"/>
        </patternFill>
      </fill>
    </dxf>
    <dxf>
      <font>
        <color rgb="FFBFBFBF"/>
      </font>
      <fill>
        <patternFill patternType="solid">
          <fgColor rgb="FFF2F2F2"/>
          <bgColor rgb="FFF2F2F2"/>
        </patternFill>
      </fill>
    </dxf>
    <dxf>
      <font>
        <color rgb="FFBFBFBF"/>
      </font>
      <fill>
        <patternFill patternType="solid">
          <fgColor rgb="FFF2F2F2"/>
          <bgColor rgb="FFF2F2F2"/>
        </patternFill>
      </fill>
    </dxf>
    <dxf>
      <font>
        <b/>
        <color rgb="FF000000"/>
      </font>
      <fill>
        <patternFill patternType="solid">
          <fgColor rgb="FFF4B6C2"/>
          <bgColor rgb="FFF4B6C2"/>
        </patternFill>
      </fill>
    </dxf>
    <dxf>
      <font>
        <b/>
        <color rgb="FF000000"/>
      </font>
      <fill>
        <patternFill patternType="solid">
          <fgColor rgb="FFA6A6A6"/>
          <bgColor rgb="FFA6A6A6"/>
        </patternFill>
      </fill>
    </dxf>
    <dxf>
      <font>
        <b/>
        <color rgb="FF000000"/>
      </font>
      <fill>
        <patternFill patternType="solid">
          <fgColor rgb="FF92D050"/>
          <bgColor rgb="FF92D050"/>
        </patternFill>
      </fill>
    </dxf>
    <dxf>
      <font>
        <b/>
        <color rgb="FF000000"/>
      </font>
      <fill>
        <patternFill patternType="solid">
          <fgColor rgb="FFFFC7CE"/>
          <bgColor rgb="FFFFC7CE"/>
        </patternFill>
      </fill>
    </dxf>
    <dxf>
      <font>
        <b/>
        <color rgb="FF000000"/>
      </font>
      <fill>
        <patternFill patternType="solid">
          <fgColor rgb="FFFFC000"/>
          <bgColor rgb="FFFFC000"/>
        </patternFill>
      </fill>
    </dxf>
    <dxf>
      <font>
        <b/>
        <color rgb="FFFFFFFF"/>
      </font>
      <fill>
        <patternFill patternType="solid">
          <fgColor rgb="FF2F75B5"/>
          <bgColor rgb="FF2F75B5"/>
        </patternFill>
      </fill>
    </dxf>
    <dxf>
      <font>
        <b/>
        <color rgb="FF7F7F7F"/>
      </font>
      <fill>
        <patternFill patternType="solid">
          <fgColor rgb="FFFFFFFF"/>
          <bgColor rgb="FFFFFFFF"/>
        </patternFill>
      </fill>
    </dxf>
    <dxf>
      <font>
        <b/>
        <color rgb="FF000000"/>
      </font>
      <fill>
        <patternFill patternType="solid">
          <fgColor rgb="FFF8CBAD"/>
          <bgColor rgb="FFF8CBAD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000000"/>
      </font>
      <fill>
        <patternFill patternType="solid">
          <fgColor rgb="FFC6EFCE"/>
          <bgColor rgb="FFC6EFCE"/>
        </patternFill>
      </fill>
    </dxf>
    <dxf>
      <font>
        <b/>
        <color rgb="FF000000"/>
      </font>
      <fill>
        <patternFill patternType="solid">
          <fgColor rgb="FFD9D9D9"/>
          <bgColor rgb="FFD9D9D9"/>
        </patternFill>
      </fill>
    </dxf>
    <dxf>
      <font>
        <b/>
        <color rgb="FF000000"/>
      </font>
      <fill>
        <patternFill patternType="solid">
          <fgColor rgb="FFD9B3FF"/>
          <bgColor rgb="FFD9B3FF"/>
        </patternFill>
      </fill>
    </dxf>
    <dxf>
      <font>
        <b/>
        <color rgb="FF000000"/>
      </font>
      <fill>
        <patternFill patternType="solid">
          <fgColor rgb="FFE2EFDA"/>
          <bgColor rgb="FFE2EFDA"/>
        </patternFill>
      </fill>
    </dxf>
    <dxf>
      <font>
        <b/>
        <color rgb="FF000000"/>
      </font>
      <fill>
        <patternFill patternType="solid">
          <fgColor rgb="FFB4A7D6"/>
          <bgColor rgb="FFB4A7D6"/>
        </patternFill>
      </fill>
    </dxf>
    <dxf>
      <font>
        <b/>
        <color rgb="FF595959"/>
      </font>
      <fill>
        <patternFill patternType="solid">
          <fgColor rgb="FF595959"/>
          <bgColor rgb="FF595959"/>
        </patternFill>
      </fill>
    </dxf>
    <dxf>
      <font>
        <b/>
        <color rgb="FF000000"/>
      </font>
      <fill>
        <patternFill patternType="solid">
          <fgColor rgb="FFE2EFDA"/>
          <bgColor rgb="FFE2EFDA"/>
        </patternFill>
      </fill>
    </dxf>
    <dxf>
      <font>
        <b/>
        <color rgb="FF000000"/>
      </font>
      <fill>
        <patternFill patternType="solid">
          <fgColor rgb="FFBDD7EE"/>
          <bgColor rgb="FFBDD7EE"/>
        </patternFill>
      </fill>
    </dxf>
    <dxf>
      <font>
        <b/>
        <color rgb="FFFFFFFF"/>
      </font>
      <fill>
        <patternFill patternType="solid">
          <fgColor rgb="FF808080"/>
          <bgColor rgb="FF808080"/>
        </patternFill>
      </fill>
    </dxf>
    <dxf>
      <font>
        <b/>
        <color rgb="FF000000"/>
      </font>
      <fill>
        <patternFill patternType="solid">
          <fgColor rgb="FFFFD966"/>
          <bgColor rgb="FFFFD966"/>
        </patternFill>
      </fill>
    </dxf>
    <dxf>
      <fill>
        <patternFill patternType="solid">
          <fgColor rgb="FF8EA9DB"/>
          <bgColor rgb="FF8EA9DB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BFBFBF"/>
      </font>
      <fill>
        <patternFill patternType="solid">
          <fgColor rgb="FFF2F2F2"/>
          <bgColor rgb="FFF2F2F2"/>
        </patternFill>
      </fill>
    </dxf>
    <dxf>
      <font>
        <color rgb="FFBFBFBF"/>
      </font>
      <fill>
        <patternFill patternType="solid">
          <fgColor rgb="FFF2F2F2"/>
          <bgColor rgb="FFF2F2F2"/>
        </patternFill>
      </fill>
    </dxf>
    <dxf>
      <font>
        <color rgb="FFBFBFBF"/>
      </font>
      <fill>
        <patternFill patternType="solid">
          <fgColor rgb="FFF2F2F2"/>
          <bgColor rgb="FFF2F2F2"/>
        </patternFill>
      </fill>
    </dxf>
    <dxf>
      <font>
        <color rgb="FFBFBFBF"/>
      </font>
      <fill>
        <patternFill patternType="solid">
          <fgColor rgb="FFF2F2F2"/>
          <bgColor rgb="FFF2F2F2"/>
        </patternFill>
      </fill>
    </dxf>
    <dxf>
      <font>
        <b/>
        <color rgb="FFFFFFFF"/>
      </font>
      <fill>
        <patternFill patternType="solid">
          <fgColor rgb="FF00B050"/>
          <bgColor rgb="FF00B050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00B050"/>
          <bgColor rgb="FF00B050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color rgb="FFBFBFBF"/>
      </font>
      <fill>
        <patternFill patternType="solid">
          <fgColor rgb="FFF2F2F2"/>
          <bgColor rgb="FFF2F2F2"/>
        </patternFill>
      </fill>
    </dxf>
    <dxf>
      <font>
        <color rgb="FFBFBFBF"/>
      </font>
      <fill>
        <patternFill patternType="solid">
          <fgColor rgb="FFF2F2F2"/>
          <bgColor rgb="FFF2F2F2"/>
        </patternFill>
      </fill>
    </dxf>
    <dxf>
      <font>
        <color rgb="FFBFBFBF"/>
      </font>
      <fill>
        <patternFill patternType="solid">
          <fgColor rgb="FFF2F2F2"/>
          <bgColor rgb="FFF2F2F2"/>
        </patternFill>
      </fill>
    </dxf>
    <dxf>
      <font>
        <color rgb="FFBFBFBF"/>
      </font>
      <fill>
        <patternFill patternType="solid">
          <fgColor rgb="FFF2F2F2"/>
          <bgColor rgb="FFF2F2F2"/>
        </patternFill>
      </fill>
    </dxf>
    <dxf>
      <font>
        <b/>
        <color rgb="FFC00000"/>
      </font>
      <fill>
        <patternFill patternType="solid">
          <fgColor rgb="FFFFC7CE"/>
          <bgColor rgb="FFFFC7CE"/>
        </patternFill>
      </fill>
    </dxf>
    <dxf>
      <font>
        <color rgb="FFBFBFBF"/>
      </font>
      <fill>
        <patternFill patternType="solid">
          <fgColor rgb="FFF2F2F2"/>
          <bgColor rgb="FFF2F2F2"/>
        </patternFill>
      </fill>
    </dxf>
    <dxf>
      <font>
        <color rgb="FFBFBFBF"/>
      </font>
      <fill>
        <patternFill patternType="solid">
          <fgColor rgb="FFF2F2F2"/>
          <bgColor rgb="FFF2F2F2"/>
        </patternFill>
      </fill>
    </dxf>
    <dxf>
      <font>
        <color rgb="FFBFBFBF"/>
      </font>
      <fill>
        <patternFill patternType="solid">
          <fgColor rgb="FFF2F2F2"/>
          <bgColor rgb="FFF2F2F2"/>
        </patternFill>
      </fill>
    </dxf>
    <dxf>
      <font>
        <color rgb="FFBFBFBF"/>
      </font>
      <fill>
        <patternFill patternType="solid">
          <fgColor rgb="FFF2F2F2"/>
          <bgColor rgb="FFF2F2F2"/>
        </patternFill>
      </fill>
    </dxf>
    <dxf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/>
      </font>
      <fill>
        <patternFill patternType="solid">
          <fgColor rgb="FFD9D9D9"/>
          <bgColor rgb="FFD9D9D9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color rgb="FFFFFFFF"/>
      </font>
      <fill>
        <patternFill patternType="solid">
          <fgColor rgb="FF00B050"/>
          <bgColor rgb="FF00B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C2:H46"/>
  <sheetViews>
    <sheetView showGridLines="0" workbookViewId="0">
      <selection activeCell="C24" sqref="C24:H25"/>
    </sheetView>
  </sheetViews>
  <sheetFormatPr defaultRowHeight="14.25" x14ac:dyDescent="0.45"/>
  <cols>
    <col min="1" max="2" width="2" customWidth="1"/>
    <col min="3" max="3" width="14" customWidth="1"/>
    <col min="4" max="4" width="40" customWidth="1"/>
    <col min="5" max="9" width="14" customWidth="1"/>
  </cols>
  <sheetData>
    <row r="2" spans="3:8" ht="22.05" customHeight="1" x14ac:dyDescent="0.45">
      <c r="C2" s="41" t="s">
        <v>0</v>
      </c>
      <c r="D2" s="40"/>
      <c r="E2" s="40"/>
      <c r="F2" s="40"/>
      <c r="G2" s="40"/>
      <c r="H2" s="40"/>
    </row>
    <row r="3" spans="3:8" x14ac:dyDescent="0.45">
      <c r="C3" s="1" t="s">
        <v>505</v>
      </c>
    </row>
    <row r="5" spans="3:8" ht="18" customHeight="1" x14ac:dyDescent="0.45">
      <c r="C5" s="2" t="s">
        <v>1</v>
      </c>
      <c r="D5" s="2"/>
      <c r="E5" s="2" t="s">
        <v>2</v>
      </c>
      <c r="F5" s="2"/>
      <c r="G5" s="2"/>
      <c r="H5" s="2"/>
    </row>
    <row r="6" spans="3:8" ht="26.25" x14ac:dyDescent="0.45">
      <c r="C6" s="3" t="s">
        <v>3</v>
      </c>
      <c r="D6" s="37"/>
      <c r="E6" s="38"/>
      <c r="F6" s="38"/>
      <c r="G6" s="38"/>
      <c r="H6" s="39"/>
    </row>
    <row r="7" spans="3:8" x14ac:dyDescent="0.45">
      <c r="C7" s="3" t="s">
        <v>4</v>
      </c>
      <c r="D7" s="37"/>
      <c r="E7" s="38"/>
      <c r="F7" s="38"/>
      <c r="G7" s="38"/>
      <c r="H7" s="39"/>
    </row>
    <row r="8" spans="3:8" x14ac:dyDescent="0.45">
      <c r="C8" s="3" t="s">
        <v>5</v>
      </c>
      <c r="D8" s="37"/>
      <c r="E8" s="38"/>
      <c r="F8" s="38"/>
      <c r="G8" s="38"/>
      <c r="H8" s="39"/>
    </row>
    <row r="9" spans="3:8" x14ac:dyDescent="0.45">
      <c r="C9" s="3" t="s">
        <v>6</v>
      </c>
      <c r="D9" s="37"/>
      <c r="E9" s="38"/>
      <c r="F9" s="38"/>
      <c r="G9" s="38"/>
      <c r="H9" s="39"/>
    </row>
    <row r="10" spans="3:8" x14ac:dyDescent="0.45">
      <c r="C10" s="3" t="s">
        <v>7</v>
      </c>
      <c r="D10" s="37"/>
      <c r="E10" s="38"/>
      <c r="F10" s="38"/>
      <c r="G10" s="38"/>
      <c r="H10" s="39"/>
    </row>
    <row r="11" spans="3:8" ht="26.25" x14ac:dyDescent="0.45">
      <c r="C11" s="3" t="s">
        <v>458</v>
      </c>
      <c r="D11" s="37"/>
      <c r="E11" s="40"/>
      <c r="F11" s="40"/>
      <c r="G11" s="40"/>
      <c r="H11" s="40"/>
    </row>
    <row r="12" spans="3:8" ht="26.25" x14ac:dyDescent="0.45">
      <c r="C12" s="3" t="s">
        <v>8</v>
      </c>
      <c r="D12" s="37" t="s">
        <v>9</v>
      </c>
      <c r="E12" s="38"/>
      <c r="F12" s="38"/>
      <c r="G12" s="38"/>
      <c r="H12" s="39"/>
    </row>
    <row r="14" spans="3:8" ht="18" customHeight="1" x14ac:dyDescent="0.45">
      <c r="C14" s="2" t="s">
        <v>10</v>
      </c>
      <c r="D14" s="2"/>
      <c r="E14" s="2" t="s">
        <v>11</v>
      </c>
      <c r="F14" s="2"/>
      <c r="G14" s="2"/>
      <c r="H14" s="2"/>
    </row>
    <row r="15" spans="3:8" x14ac:dyDescent="0.45">
      <c r="C15" s="5" t="s">
        <v>12</v>
      </c>
      <c r="D15" s="42" t="s">
        <v>13</v>
      </c>
      <c r="E15" s="43"/>
      <c r="F15" s="43"/>
      <c r="G15" s="43"/>
      <c r="H15" s="44"/>
    </row>
    <row r="16" spans="3:8" x14ac:dyDescent="0.45">
      <c r="C16" s="6" t="s">
        <v>14</v>
      </c>
      <c r="D16" s="37" t="s">
        <v>15</v>
      </c>
      <c r="E16" s="38"/>
      <c r="F16" s="38"/>
      <c r="G16" s="38"/>
      <c r="H16" s="39"/>
    </row>
    <row r="17" spans="3:8" x14ac:dyDescent="0.45">
      <c r="C17" s="6" t="s">
        <v>16</v>
      </c>
      <c r="D17" s="37" t="s">
        <v>17</v>
      </c>
      <c r="E17" s="38"/>
      <c r="F17" s="38"/>
      <c r="G17" s="38"/>
      <c r="H17" s="39"/>
    </row>
    <row r="18" spans="3:8" x14ac:dyDescent="0.45">
      <c r="C18" s="6" t="s">
        <v>18</v>
      </c>
      <c r="D18" s="37" t="s">
        <v>19</v>
      </c>
      <c r="E18" s="38"/>
      <c r="F18" s="38"/>
      <c r="G18" s="38"/>
      <c r="H18" s="39"/>
    </row>
    <row r="19" spans="3:8" x14ac:dyDescent="0.45">
      <c r="C19" s="6" t="s">
        <v>20</v>
      </c>
      <c r="D19" s="37" t="s">
        <v>21</v>
      </c>
      <c r="E19" s="38"/>
      <c r="F19" s="38"/>
      <c r="G19" s="38"/>
      <c r="H19" s="39"/>
    </row>
    <row r="20" spans="3:8" x14ac:dyDescent="0.45">
      <c r="C20" s="6" t="s">
        <v>22</v>
      </c>
      <c r="D20" s="37" t="s">
        <v>23</v>
      </c>
      <c r="E20" s="38"/>
      <c r="F20" s="38"/>
      <c r="G20" s="38"/>
      <c r="H20" s="39"/>
    </row>
    <row r="21" spans="3:8" x14ac:dyDescent="0.45">
      <c r="C21" s="6" t="s">
        <v>24</v>
      </c>
      <c r="D21" s="37" t="s">
        <v>25</v>
      </c>
      <c r="E21" s="38"/>
      <c r="F21" s="38"/>
      <c r="G21" s="38"/>
      <c r="H21" s="39"/>
    </row>
    <row r="22" spans="3:8" x14ac:dyDescent="0.45">
      <c r="C22" s="6" t="s">
        <v>26</v>
      </c>
      <c r="D22" s="37" t="s">
        <v>27</v>
      </c>
      <c r="E22" s="38"/>
      <c r="F22" s="38"/>
      <c r="G22" s="38"/>
      <c r="H22" s="39"/>
    </row>
    <row r="23" spans="3:8" x14ac:dyDescent="0.45">
      <c r="C23" s="6" t="s">
        <v>28</v>
      </c>
      <c r="D23" s="37" t="s">
        <v>29</v>
      </c>
      <c r="E23" s="38"/>
      <c r="F23" s="38"/>
      <c r="G23" s="38"/>
      <c r="H23" s="39"/>
    </row>
    <row r="24" spans="3:8" x14ac:dyDescent="0.45">
      <c r="C24" s="6" t="s">
        <v>462</v>
      </c>
      <c r="D24" s="37" t="s">
        <v>463</v>
      </c>
      <c r="E24" s="6"/>
      <c r="F24" s="37"/>
      <c r="G24" s="6"/>
      <c r="H24" s="4"/>
    </row>
    <row r="25" spans="3:8" x14ac:dyDescent="0.45">
      <c r="C25" s="6" t="s">
        <v>464</v>
      </c>
      <c r="D25" s="37" t="s">
        <v>465</v>
      </c>
      <c r="E25" s="6"/>
      <c r="F25" s="37"/>
      <c r="G25" s="6"/>
      <c r="H25" s="4"/>
    </row>
    <row r="26" spans="3:8" x14ac:dyDescent="0.45">
      <c r="C26" s="6"/>
      <c r="D26" s="37"/>
      <c r="E26" s="38"/>
      <c r="F26" s="38"/>
      <c r="G26" s="38"/>
      <c r="H26" s="39"/>
    </row>
    <row r="27" spans="3:8" x14ac:dyDescent="0.45">
      <c r="C27" s="6" t="s">
        <v>30</v>
      </c>
      <c r="D27" s="37" t="s">
        <v>31</v>
      </c>
      <c r="E27" s="38"/>
      <c r="F27" s="38"/>
      <c r="G27" s="38"/>
      <c r="H27" s="39"/>
    </row>
    <row r="29" spans="3:8" ht="18" customHeight="1" x14ac:dyDescent="0.45">
      <c r="C29" s="2" t="s">
        <v>32</v>
      </c>
      <c r="D29" s="2"/>
      <c r="E29" s="2"/>
      <c r="F29" s="2"/>
      <c r="G29" s="2"/>
      <c r="H29" s="2"/>
    </row>
    <row r="30" spans="3:8" x14ac:dyDescent="0.45">
      <c r="C30" s="1" t="s">
        <v>33</v>
      </c>
    </row>
    <row r="31" spans="3:8" x14ac:dyDescent="0.45">
      <c r="C31" s="1" t="s">
        <v>34</v>
      </c>
    </row>
    <row r="32" spans="3:8" x14ac:dyDescent="0.45">
      <c r="C32" s="1" t="s">
        <v>35</v>
      </c>
    </row>
    <row r="33" spans="3:8" x14ac:dyDescent="0.45">
      <c r="C33" s="1" t="s">
        <v>36</v>
      </c>
    </row>
    <row r="34" spans="3:8" x14ac:dyDescent="0.45">
      <c r="C34" s="1" t="s">
        <v>37</v>
      </c>
    </row>
    <row r="35" spans="3:8" x14ac:dyDescent="0.45">
      <c r="C35" s="1" t="s">
        <v>38</v>
      </c>
    </row>
    <row r="36" spans="3:8" x14ac:dyDescent="0.45">
      <c r="C36" s="1" t="s">
        <v>39</v>
      </c>
    </row>
    <row r="38" spans="3:8" x14ac:dyDescent="0.45">
      <c r="C38" s="7" t="s">
        <v>40</v>
      </c>
    </row>
    <row r="40" spans="3:8" ht="18" customHeight="1" x14ac:dyDescent="0.45">
      <c r="C40" s="2" t="s">
        <v>41</v>
      </c>
      <c r="D40" s="2"/>
      <c r="E40" s="2" t="s">
        <v>42</v>
      </c>
      <c r="F40" s="2"/>
      <c r="G40" s="2"/>
      <c r="H40" s="2"/>
    </row>
    <row r="41" spans="3:8" x14ac:dyDescent="0.45">
      <c r="C41" s="5" t="s">
        <v>43</v>
      </c>
      <c r="D41" s="42" t="s">
        <v>44</v>
      </c>
      <c r="E41" s="43"/>
      <c r="F41" s="43"/>
      <c r="G41" s="43"/>
      <c r="H41" s="44"/>
    </row>
    <row r="42" spans="3:8" x14ac:dyDescent="0.45">
      <c r="C42" s="8" t="s">
        <v>45</v>
      </c>
      <c r="D42" s="37" t="s">
        <v>46</v>
      </c>
      <c r="E42" s="38"/>
      <c r="F42" s="38"/>
      <c r="G42" s="38"/>
      <c r="H42" s="39"/>
    </row>
    <row r="43" spans="3:8" x14ac:dyDescent="0.45">
      <c r="C43" s="8" t="s">
        <v>47</v>
      </c>
      <c r="D43" s="37" t="s">
        <v>48</v>
      </c>
      <c r="E43" s="38"/>
      <c r="F43" s="38"/>
      <c r="G43" s="38"/>
      <c r="H43" s="39"/>
    </row>
    <row r="44" spans="3:8" x14ac:dyDescent="0.45">
      <c r="C44" s="8" t="s">
        <v>19</v>
      </c>
      <c r="D44" s="37" t="s">
        <v>49</v>
      </c>
      <c r="E44" s="38"/>
      <c r="F44" s="38"/>
      <c r="G44" s="38"/>
      <c r="H44" s="39"/>
    </row>
    <row r="45" spans="3:8" ht="25.5" x14ac:dyDescent="0.45">
      <c r="C45" s="8" t="s">
        <v>27</v>
      </c>
      <c r="D45" s="37" t="s">
        <v>50</v>
      </c>
      <c r="E45" s="38"/>
      <c r="F45" s="38"/>
      <c r="G45" s="38"/>
      <c r="H45" s="39"/>
    </row>
    <row r="46" spans="3:8" x14ac:dyDescent="0.45">
      <c r="C46" s="8" t="s">
        <v>51</v>
      </c>
      <c r="D46" s="37" t="s">
        <v>52</v>
      </c>
      <c r="E46" s="38"/>
      <c r="F46" s="38"/>
      <c r="G46" s="38"/>
      <c r="H46" s="39"/>
    </row>
  </sheetData>
  <mergeCells count="29">
    <mergeCell ref="C2:H2"/>
    <mergeCell ref="D6:H6"/>
    <mergeCell ref="D27:H27"/>
    <mergeCell ref="D41:H41"/>
    <mergeCell ref="D17:H17"/>
    <mergeCell ref="D7:H7"/>
    <mergeCell ref="D16:H16"/>
    <mergeCell ref="D18:H18"/>
    <mergeCell ref="D9:H9"/>
    <mergeCell ref="D12:H12"/>
    <mergeCell ref="D8:H8"/>
    <mergeCell ref="D25:H25"/>
    <mergeCell ref="D15:H15"/>
    <mergeCell ref="D24:H24"/>
    <mergeCell ref="D23:H23"/>
    <mergeCell ref="D26:H26"/>
    <mergeCell ref="D20:H20"/>
    <mergeCell ref="D10:H10"/>
    <mergeCell ref="D19:H19"/>
    <mergeCell ref="D46:H46"/>
    <mergeCell ref="D22:H22"/>
    <mergeCell ref="D45:H45"/>
    <mergeCell ref="D21:H21"/>
    <mergeCell ref="D43:H43"/>
    <mergeCell ref="D42:H42"/>
    <mergeCell ref="D44:H44"/>
    <mergeCell ref="D11:H11"/>
    <mergeCell ref="F24:H24"/>
    <mergeCell ref="F25:H25"/>
  </mergeCells>
  <pageMargins left="0.75" right="0.75" top="1" bottom="1" header="0.5" footer="0.5"/>
  <pageSetup fitToHeight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000-000000000000}">
          <x14:formula1>
            <xm:f>listas!$E$2:$E$21</xm:f>
          </x14:formula1>
          <xm:sqref>D12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0CAE2-B8C2-446A-9229-670F8D6DBE24}">
  <dimension ref="B2:M79"/>
  <sheetViews>
    <sheetView showGridLines="0" tabSelected="1" workbookViewId="0"/>
  </sheetViews>
  <sheetFormatPr defaultRowHeight="11.65" x14ac:dyDescent="0.35"/>
  <cols>
    <col min="1" max="1" width="2.59765625" style="54" customWidth="1"/>
    <col min="2" max="2" width="34.59765625" style="54" customWidth="1"/>
    <col min="3" max="3" width="30.59765625" style="54" customWidth="1"/>
    <col min="4" max="13" width="14.59765625" style="54" customWidth="1"/>
    <col min="14" max="16384" width="9.06640625" style="54"/>
  </cols>
  <sheetData>
    <row r="2" spans="2:7" ht="17.649999999999999" x14ac:dyDescent="0.5">
      <c r="B2" s="55" t="s">
        <v>466</v>
      </c>
    </row>
    <row r="3" spans="2:7" x14ac:dyDescent="0.35">
      <c r="B3" s="54" t="s">
        <v>467</v>
      </c>
    </row>
    <row r="5" spans="2:7" ht="13.15" x14ac:dyDescent="0.4">
      <c r="B5" s="57" t="s">
        <v>468</v>
      </c>
      <c r="C5" s="57"/>
      <c r="D5" s="57"/>
      <c r="E5" s="57"/>
      <c r="F5" s="57"/>
      <c r="G5" s="57"/>
    </row>
    <row r="6" spans="2:7" x14ac:dyDescent="0.35">
      <c r="B6" s="54" t="s">
        <v>469</v>
      </c>
      <c r="C6" s="59">
        <v>0.3</v>
      </c>
    </row>
    <row r="7" spans="2:7" x14ac:dyDescent="0.35">
      <c r="B7" s="54" t="s">
        <v>470</v>
      </c>
      <c r="C7" s="59">
        <v>0.2</v>
      </c>
    </row>
    <row r="8" spans="2:7" x14ac:dyDescent="0.35">
      <c r="B8" s="54" t="s">
        <v>471</v>
      </c>
      <c r="C8" s="60" t="s">
        <v>472</v>
      </c>
    </row>
    <row r="9" spans="2:7" x14ac:dyDescent="0.35">
      <c r="B9" s="54" t="s">
        <v>473</v>
      </c>
      <c r="C9" s="60">
        <v>300</v>
      </c>
    </row>
    <row r="10" spans="2:7" x14ac:dyDescent="0.35">
      <c r="B10" s="54" t="s">
        <v>474</v>
      </c>
      <c r="C10" s="60" t="s">
        <v>475</v>
      </c>
    </row>
    <row r="11" spans="2:7" x14ac:dyDescent="0.35">
      <c r="B11" s="54" t="s">
        <v>476</v>
      </c>
      <c r="C11" s="60">
        <v>1</v>
      </c>
    </row>
    <row r="12" spans="2:7" x14ac:dyDescent="0.35">
      <c r="B12" s="54" t="s">
        <v>477</v>
      </c>
      <c r="C12" s="61">
        <f>SUMPRODUCT(--(COUNTIFS($D$15:$D$24,"Sí",$G$15:$G$24,{1,2,3,4})&gt;0))</f>
        <v>1</v>
      </c>
    </row>
    <row r="13" spans="2:7" ht="13.15" x14ac:dyDescent="0.4">
      <c r="B13" s="57" t="s">
        <v>478</v>
      </c>
      <c r="C13" s="57"/>
      <c r="D13" s="57"/>
      <c r="E13" s="57"/>
      <c r="F13" s="57"/>
      <c r="G13" s="57"/>
    </row>
    <row r="14" spans="2:7" ht="23.25" x14ac:dyDescent="0.35">
      <c r="B14" s="62" t="s">
        <v>12</v>
      </c>
      <c r="C14" s="62" t="s">
        <v>479</v>
      </c>
      <c r="D14" s="62" t="s">
        <v>480</v>
      </c>
      <c r="E14" s="62" t="s">
        <v>481</v>
      </c>
      <c r="F14" s="62" t="s">
        <v>482</v>
      </c>
      <c r="G14" s="62" t="s">
        <v>483</v>
      </c>
    </row>
    <row r="15" spans="2:7" x14ac:dyDescent="0.35">
      <c r="B15" s="64" t="str">
        <f>Proyecto!C16</f>
        <v>D</v>
      </c>
      <c r="C15" s="63" t="str">
        <f>Proyecto!D16</f>
        <v>Datos</v>
      </c>
      <c r="D15" s="60" t="s">
        <v>475</v>
      </c>
      <c r="E15" s="60" t="s">
        <v>472</v>
      </c>
      <c r="F15" s="60">
        <v>1</v>
      </c>
      <c r="G15" s="65">
        <f>IF(OR($C$10="Sí",F15&gt;$C$11),1,F15)</f>
        <v>1</v>
      </c>
    </row>
    <row r="16" spans="2:7" x14ac:dyDescent="0.35">
      <c r="B16" s="64" t="str">
        <f>Proyecto!C17</f>
        <v>V</v>
      </c>
      <c r="C16" s="63" t="str">
        <f>Proyecto!D17</f>
        <v>Voz</v>
      </c>
      <c r="D16" s="60" t="s">
        <v>475</v>
      </c>
      <c r="E16" s="60" t="s">
        <v>472</v>
      </c>
      <c r="F16" s="60">
        <v>1</v>
      </c>
      <c r="G16" s="65">
        <f>IF(OR($C$10="Sí",F16&gt;$C$11),1,F16)</f>
        <v>1</v>
      </c>
    </row>
    <row r="17" spans="2:7" x14ac:dyDescent="0.35">
      <c r="B17" s="64" t="str">
        <f>Proyecto!C18</f>
        <v>C</v>
      </c>
      <c r="C17" s="63" t="str">
        <f>Proyecto!D18</f>
        <v>CCTV</v>
      </c>
      <c r="D17" s="60" t="s">
        <v>475</v>
      </c>
      <c r="E17" s="60" t="s">
        <v>475</v>
      </c>
      <c r="F17" s="60">
        <v>1</v>
      </c>
      <c r="G17" s="65">
        <f>IF(OR($C$10="Sí",F17&gt;$C$11),1,F17)</f>
        <v>1</v>
      </c>
    </row>
    <row r="18" spans="2:7" x14ac:dyDescent="0.35">
      <c r="B18" s="64" t="str">
        <f>Proyecto!C19</f>
        <v>B</v>
      </c>
      <c r="C18" s="63" t="str">
        <f>Proyecto!D19</f>
        <v>BMS</v>
      </c>
      <c r="D18" s="60" t="s">
        <v>475</v>
      </c>
      <c r="E18" s="60" t="s">
        <v>475</v>
      </c>
      <c r="F18" s="60">
        <v>1</v>
      </c>
      <c r="G18" s="65">
        <f>IF(OR($C$10="Sí",F18&gt;$C$11),1,F18)</f>
        <v>1</v>
      </c>
    </row>
    <row r="19" spans="2:7" x14ac:dyDescent="0.35">
      <c r="B19" s="64" t="str">
        <f>Proyecto!C20</f>
        <v>W</v>
      </c>
      <c r="C19" s="63" t="str">
        <f>Proyecto!D20</f>
        <v>Access point (WAP)</v>
      </c>
      <c r="D19" s="60" t="s">
        <v>475</v>
      </c>
      <c r="E19" s="60" t="s">
        <v>475</v>
      </c>
      <c r="F19" s="60">
        <v>1</v>
      </c>
      <c r="G19" s="65">
        <f>IF(OR($C$10="Sí",F19&gt;$C$11),1,F19)</f>
        <v>1</v>
      </c>
    </row>
    <row r="20" spans="2:7" x14ac:dyDescent="0.35">
      <c r="B20" s="64" t="str">
        <f>Proyecto!C21</f>
        <v>T</v>
      </c>
      <c r="C20" s="63" t="str">
        <f>Proyecto!D21</f>
        <v>TV</v>
      </c>
      <c r="D20" s="60" t="s">
        <v>472</v>
      </c>
      <c r="E20" s="60" t="s">
        <v>472</v>
      </c>
      <c r="F20" s="60">
        <v>1</v>
      </c>
      <c r="G20" s="65">
        <f>IF(OR($C$10="Sí",F20&gt;$C$11),1,F20)</f>
        <v>1</v>
      </c>
    </row>
    <row r="21" spans="2:7" x14ac:dyDescent="0.35">
      <c r="B21" s="64" t="str">
        <f>Proyecto!C22</f>
        <v>A</v>
      </c>
      <c r="C21" s="63" t="str">
        <f>Proyecto!D22</f>
        <v>Control de acceso</v>
      </c>
      <c r="D21" s="60" t="s">
        <v>475</v>
      </c>
      <c r="E21" s="60" t="s">
        <v>475</v>
      </c>
      <c r="F21" s="60">
        <v>1</v>
      </c>
      <c r="G21" s="65">
        <f>IF(OR($C$10="Sí",F21&gt;$C$11),1,F21)</f>
        <v>1</v>
      </c>
    </row>
    <row r="22" spans="2:7" x14ac:dyDescent="0.35">
      <c r="B22" s="64" t="str">
        <f>Proyecto!C23</f>
        <v>S</v>
      </c>
      <c r="C22" s="63" t="str">
        <f>Proyecto!D23</f>
        <v>Audio / video IP</v>
      </c>
      <c r="D22" s="60" t="s">
        <v>472</v>
      </c>
      <c r="E22" s="60" t="s">
        <v>472</v>
      </c>
      <c r="F22" s="60">
        <v>1</v>
      </c>
      <c r="G22" s="65">
        <f>IF(OR($C$10="Sí",F22&gt;$C$11),1,F22)</f>
        <v>1</v>
      </c>
    </row>
    <row r="23" spans="2:7" x14ac:dyDescent="0.35">
      <c r="B23" s="64" t="str">
        <f>Proyecto!C24</f>
        <v>G</v>
      </c>
      <c r="C23" s="63" t="str">
        <f>Proyecto!D24</f>
        <v>Gateways</v>
      </c>
      <c r="D23" s="60" t="s">
        <v>472</v>
      </c>
      <c r="E23" s="60" t="s">
        <v>475</v>
      </c>
      <c r="F23" s="60">
        <v>1</v>
      </c>
      <c r="G23" s="65">
        <f>IF(OR($C$10="Sí",F23&gt;$C$11),1,F23)</f>
        <v>1</v>
      </c>
    </row>
    <row r="24" spans="2:7" x14ac:dyDescent="0.35">
      <c r="B24" s="64" t="str">
        <f>Proyecto!C25</f>
        <v>R</v>
      </c>
      <c r="C24" s="63" t="str">
        <f>Proyecto!D25</f>
        <v>GRMS</v>
      </c>
      <c r="D24" s="60" t="s">
        <v>472</v>
      </c>
      <c r="E24" s="60" t="s">
        <v>475</v>
      </c>
      <c r="F24" s="60">
        <v>1</v>
      </c>
      <c r="G24" s="65">
        <f>IF(OR($C$10="Sí",F24&gt;$C$11),1,F24)</f>
        <v>1</v>
      </c>
    </row>
    <row r="27" spans="2:7" ht="13.15" x14ac:dyDescent="0.4">
      <c r="B27" s="57" t="s">
        <v>484</v>
      </c>
      <c r="C27" s="57"/>
      <c r="D27" s="57"/>
      <c r="E27" s="57"/>
      <c r="F27" s="57"/>
      <c r="G27" s="57"/>
    </row>
    <row r="28" spans="2:7" ht="46.5" x14ac:dyDescent="0.35">
      <c r="B28" s="62" t="s">
        <v>12</v>
      </c>
      <c r="C28" s="62" t="s">
        <v>485</v>
      </c>
      <c r="D28" s="62" t="s">
        <v>410</v>
      </c>
      <c r="E28" s="62" t="s">
        <v>486</v>
      </c>
    </row>
    <row r="29" spans="2:7" x14ac:dyDescent="0.35">
      <c r="B29" s="66"/>
      <c r="C29" s="58"/>
      <c r="D29" s="58"/>
      <c r="E29" s="58"/>
    </row>
    <row r="30" spans="2:7" x14ac:dyDescent="0.35">
      <c r="B30" s="66"/>
      <c r="C30" s="58"/>
      <c r="D30" s="58"/>
      <c r="E30" s="58"/>
    </row>
    <row r="31" spans="2:7" x14ac:dyDescent="0.35">
      <c r="B31" s="66"/>
      <c r="C31" s="58"/>
      <c r="D31" s="58"/>
      <c r="E31" s="58"/>
    </row>
    <row r="32" spans="2:7" x14ac:dyDescent="0.35">
      <c r="B32" s="66"/>
      <c r="C32" s="58"/>
      <c r="D32" s="58"/>
      <c r="E32" s="58"/>
    </row>
    <row r="33" spans="2:13" x14ac:dyDescent="0.35">
      <c r="B33" s="66"/>
      <c r="C33" s="58"/>
      <c r="D33" s="58"/>
      <c r="E33" s="58"/>
    </row>
    <row r="34" spans="2:13" x14ac:dyDescent="0.35">
      <c r="B34" s="66"/>
      <c r="C34" s="58"/>
      <c r="D34" s="58"/>
      <c r="E34" s="58"/>
    </row>
    <row r="35" spans="2:13" x14ac:dyDescent="0.35">
      <c r="B35" s="66"/>
      <c r="C35" s="58"/>
      <c r="D35" s="58"/>
      <c r="E35" s="58"/>
    </row>
    <row r="36" spans="2:13" x14ac:dyDescent="0.35">
      <c r="B36" s="66"/>
      <c r="C36" s="58"/>
      <c r="D36" s="58"/>
      <c r="E36" s="58"/>
    </row>
    <row r="39" spans="2:13" ht="13.15" x14ac:dyDescent="0.4">
      <c r="B39" s="57" t="s">
        <v>487</v>
      </c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</row>
    <row r="40" spans="2:13" ht="23.25" x14ac:dyDescent="0.35">
      <c r="B40" s="62" t="s">
        <v>12</v>
      </c>
      <c r="C40" s="62" t="s">
        <v>479</v>
      </c>
      <c r="D40" s="62" t="str">
        <f>IF($B$29="","",$B$29)</f>
        <v/>
      </c>
      <c r="E40" s="62" t="str">
        <f>IF($B$30="","",$B$30)</f>
        <v/>
      </c>
      <c r="F40" s="62" t="str">
        <f>IF($B$31="","",$B$31)</f>
        <v/>
      </c>
      <c r="G40" s="62" t="str">
        <f>IF($B$32="","",$B$32)</f>
        <v/>
      </c>
      <c r="H40" s="62" t="str">
        <f>IF($B$33="","",$B$33)</f>
        <v/>
      </c>
      <c r="I40" s="62" t="str">
        <f>IF($B$34="","",$B$34)</f>
        <v/>
      </c>
      <c r="J40" s="62" t="str">
        <f>IF($B$35="","",$B$35)</f>
        <v/>
      </c>
      <c r="K40" s="62" t="str">
        <f>IF($B$36="","",$B$36)</f>
        <v/>
      </c>
      <c r="L40" s="62" t="s">
        <v>488</v>
      </c>
      <c r="M40" s="62" t="s">
        <v>489</v>
      </c>
    </row>
    <row r="41" spans="2:13" x14ac:dyDescent="0.35">
      <c r="B41" s="64" t="str">
        <f>B15</f>
        <v>D</v>
      </c>
      <c r="C41" s="63" t="str">
        <f>C15</f>
        <v>Datos</v>
      </c>
      <c r="D41" s="60"/>
      <c r="E41" s="60"/>
      <c r="F41" s="60"/>
      <c r="G41" s="60"/>
      <c r="H41" s="60"/>
      <c r="I41" s="60"/>
      <c r="J41" s="60"/>
      <c r="K41" s="60"/>
      <c r="L41" s="65">
        <f>SUM(D41:K41)</f>
        <v>0</v>
      </c>
      <c r="M41" s="65">
        <f>ROUNDUP(L41*(1+$C$6),0)</f>
        <v>0</v>
      </c>
    </row>
    <row r="42" spans="2:13" x14ac:dyDescent="0.35">
      <c r="B42" s="64" t="str">
        <f>B16</f>
        <v>V</v>
      </c>
      <c r="C42" s="63" t="str">
        <f>C16</f>
        <v>Voz</v>
      </c>
      <c r="D42" s="60"/>
      <c r="E42" s="60"/>
      <c r="F42" s="60"/>
      <c r="G42" s="60"/>
      <c r="H42" s="60"/>
      <c r="I42" s="60"/>
      <c r="J42" s="60"/>
      <c r="K42" s="60"/>
      <c r="L42" s="65">
        <f>SUM(D42:K42)</f>
        <v>0</v>
      </c>
      <c r="M42" s="65">
        <f>ROUNDUP(L42*(1+$C$6),0)</f>
        <v>0</v>
      </c>
    </row>
    <row r="43" spans="2:13" x14ac:dyDescent="0.35">
      <c r="B43" s="64" t="str">
        <f>B17</f>
        <v>C</v>
      </c>
      <c r="C43" s="63" t="str">
        <f>C17</f>
        <v>CCTV</v>
      </c>
      <c r="D43" s="60"/>
      <c r="E43" s="60"/>
      <c r="F43" s="60"/>
      <c r="G43" s="60"/>
      <c r="H43" s="60"/>
      <c r="I43" s="60"/>
      <c r="J43" s="60"/>
      <c r="K43" s="60"/>
      <c r="L43" s="65">
        <f>SUM(D43:K43)</f>
        <v>0</v>
      </c>
      <c r="M43" s="65">
        <f>ROUNDUP(L43*(1+$C$6),0)</f>
        <v>0</v>
      </c>
    </row>
    <row r="44" spans="2:13" x14ac:dyDescent="0.35">
      <c r="B44" s="64" t="str">
        <f>B18</f>
        <v>B</v>
      </c>
      <c r="C44" s="63" t="str">
        <f>C18</f>
        <v>BMS</v>
      </c>
      <c r="D44" s="60"/>
      <c r="E44" s="60"/>
      <c r="F44" s="60"/>
      <c r="G44" s="60"/>
      <c r="H44" s="60"/>
      <c r="I44" s="60"/>
      <c r="J44" s="60"/>
      <c r="K44" s="60"/>
      <c r="L44" s="65">
        <f>SUM(D44:K44)</f>
        <v>0</v>
      </c>
      <c r="M44" s="65">
        <f>ROUNDUP(L44*(1+$C$6),0)</f>
        <v>0</v>
      </c>
    </row>
    <row r="45" spans="2:13" x14ac:dyDescent="0.35">
      <c r="B45" s="64" t="str">
        <f>B19</f>
        <v>W</v>
      </c>
      <c r="C45" s="63" t="str">
        <f>C19</f>
        <v>Access point (WAP)</v>
      </c>
      <c r="D45" s="60"/>
      <c r="E45" s="60"/>
      <c r="F45" s="60"/>
      <c r="G45" s="60"/>
      <c r="H45" s="60"/>
      <c r="I45" s="60"/>
      <c r="J45" s="60"/>
      <c r="K45" s="60"/>
      <c r="L45" s="65">
        <f>SUM(D45:K45)</f>
        <v>0</v>
      </c>
      <c r="M45" s="65">
        <f>ROUNDUP(L45*(1+$C$6),0)</f>
        <v>0</v>
      </c>
    </row>
    <row r="46" spans="2:13" x14ac:dyDescent="0.35">
      <c r="B46" s="64" t="str">
        <f>B20</f>
        <v>T</v>
      </c>
      <c r="C46" s="63" t="str">
        <f>C20</f>
        <v>TV</v>
      </c>
      <c r="D46" s="60"/>
      <c r="E46" s="60"/>
      <c r="F46" s="60"/>
      <c r="G46" s="60"/>
      <c r="H46" s="60"/>
      <c r="I46" s="60"/>
      <c r="J46" s="60"/>
      <c r="K46" s="60"/>
      <c r="L46" s="65">
        <f>SUM(D46:K46)</f>
        <v>0</v>
      </c>
      <c r="M46" s="65">
        <f>ROUNDUP(L46*(1+$C$6),0)</f>
        <v>0</v>
      </c>
    </row>
    <row r="47" spans="2:13" x14ac:dyDescent="0.35">
      <c r="B47" s="64" t="str">
        <f>B21</f>
        <v>A</v>
      </c>
      <c r="C47" s="63" t="str">
        <f>C21</f>
        <v>Control de acceso</v>
      </c>
      <c r="D47" s="60"/>
      <c r="E47" s="60"/>
      <c r="F47" s="60"/>
      <c r="G47" s="60"/>
      <c r="H47" s="60"/>
      <c r="I47" s="60"/>
      <c r="J47" s="60"/>
      <c r="K47" s="60"/>
      <c r="L47" s="65">
        <f>SUM(D47:K47)</f>
        <v>0</v>
      </c>
      <c r="M47" s="65">
        <f>ROUNDUP(L47*(1+$C$6),0)</f>
        <v>0</v>
      </c>
    </row>
    <row r="48" spans="2:13" x14ac:dyDescent="0.35">
      <c r="B48" s="64" t="str">
        <f>B22</f>
        <v>S</v>
      </c>
      <c r="C48" s="63" t="str">
        <f>C22</f>
        <v>Audio / video IP</v>
      </c>
      <c r="D48" s="60"/>
      <c r="E48" s="60"/>
      <c r="F48" s="60"/>
      <c r="G48" s="60"/>
      <c r="H48" s="60"/>
      <c r="I48" s="60"/>
      <c r="J48" s="60"/>
      <c r="K48" s="60"/>
      <c r="L48" s="65">
        <f>SUM(D48:K48)</f>
        <v>0</v>
      </c>
      <c r="M48" s="65">
        <f>ROUNDUP(L48*(1+$C$6),0)</f>
        <v>0</v>
      </c>
    </row>
    <row r="49" spans="2:13" x14ac:dyDescent="0.35">
      <c r="B49" s="64" t="str">
        <f>B23</f>
        <v>G</v>
      </c>
      <c r="C49" s="63" t="str">
        <f>C23</f>
        <v>Gateways</v>
      </c>
      <c r="D49" s="60"/>
      <c r="E49" s="60"/>
      <c r="F49" s="60"/>
      <c r="G49" s="60"/>
      <c r="H49" s="60"/>
      <c r="I49" s="60"/>
      <c r="J49" s="60"/>
      <c r="K49" s="60"/>
      <c r="L49" s="65">
        <f>SUM(D49:K49)</f>
        <v>0</v>
      </c>
      <c r="M49" s="65">
        <f>ROUNDUP(L49*(1+$C$6),0)</f>
        <v>0</v>
      </c>
    </row>
    <row r="50" spans="2:13" x14ac:dyDescent="0.35">
      <c r="B50" s="64" t="str">
        <f>B24</f>
        <v>R</v>
      </c>
      <c r="C50" s="63" t="str">
        <f>C24</f>
        <v>GRMS</v>
      </c>
      <c r="D50" s="60"/>
      <c r="E50" s="60"/>
      <c r="F50" s="60"/>
      <c r="G50" s="60"/>
      <c r="H50" s="60"/>
      <c r="I50" s="60"/>
      <c r="J50" s="60"/>
      <c r="K50" s="60"/>
      <c r="L50" s="65">
        <f>SUM(D50:K50)</f>
        <v>0</v>
      </c>
      <c r="M50" s="65">
        <f>ROUNDUP(L50*(1+$C$6),0)</f>
        <v>0</v>
      </c>
    </row>
    <row r="51" spans="2:13" x14ac:dyDescent="0.35">
      <c r="B51" s="67" t="s">
        <v>490</v>
      </c>
      <c r="C51" s="67"/>
      <c r="D51" s="68">
        <f>SUM(D41:D50)</f>
        <v>0</v>
      </c>
      <c r="E51" s="68">
        <f>SUM(E41:E50)</f>
        <v>0</v>
      </c>
      <c r="F51" s="68">
        <f>SUM(F41:F50)</f>
        <v>0</v>
      </c>
      <c r="G51" s="68">
        <f>SUM(G41:G50)</f>
        <v>0</v>
      </c>
      <c r="H51" s="68">
        <f>SUM(H41:H50)</f>
        <v>0</v>
      </c>
      <c r="I51" s="68">
        <f>SUM(I41:I50)</f>
        <v>0</v>
      </c>
      <c r="J51" s="68">
        <f>SUM(J41:J50)</f>
        <v>0</v>
      </c>
      <c r="K51" s="68">
        <f>SUM(K41:K50)</f>
        <v>0</v>
      </c>
      <c r="L51" s="68">
        <f>SUM(L41:L50)</f>
        <v>0</v>
      </c>
      <c r="M51" s="68">
        <f>SUM(M41:M50)</f>
        <v>0</v>
      </c>
    </row>
    <row r="54" spans="2:13" ht="13.15" x14ac:dyDescent="0.4">
      <c r="B54" s="57" t="s">
        <v>491</v>
      </c>
      <c r="C54" s="57"/>
      <c r="D54" s="57"/>
      <c r="E54" s="57"/>
      <c r="F54" s="57"/>
      <c r="G54" s="57"/>
    </row>
    <row r="55" spans="2:13" ht="23.25" x14ac:dyDescent="0.35">
      <c r="B55" s="62" t="s">
        <v>12</v>
      </c>
      <c r="C55" s="62" t="s">
        <v>479</v>
      </c>
      <c r="D55" s="62" t="s">
        <v>492</v>
      </c>
      <c r="E55" s="62" t="s">
        <v>493</v>
      </c>
      <c r="F55" s="62" t="s">
        <v>494</v>
      </c>
      <c r="G55" s="62" t="s">
        <v>495</v>
      </c>
    </row>
    <row r="56" spans="2:13" x14ac:dyDescent="0.35">
      <c r="B56" s="64" t="str">
        <f>B41</f>
        <v>D</v>
      </c>
      <c r="C56" s="63" t="str">
        <f>C41</f>
        <v>Datos</v>
      </c>
      <c r="D56" s="65">
        <f>M41</f>
        <v>0</v>
      </c>
      <c r="E56" s="65">
        <f>SUMIF(Resumen!$AA$16:$AA$27,B56,Resumen!$AC$16:$AC$27)</f>
        <v>0</v>
      </c>
      <c r="F56" s="65">
        <f>E56-D56</f>
        <v>0</v>
      </c>
      <c r="G56" s="65" t="str">
        <f>IF(D56=0,"",IF(F56&gt;=0,"✓ Cubierto","⚠ Faltan "&amp;-F56&amp;" puertos"))</f>
        <v/>
      </c>
    </row>
    <row r="57" spans="2:13" x14ac:dyDescent="0.35">
      <c r="B57" s="64" t="str">
        <f>B42</f>
        <v>V</v>
      </c>
      <c r="C57" s="63" t="str">
        <f>C42</f>
        <v>Voz</v>
      </c>
      <c r="D57" s="65">
        <f>M42</f>
        <v>0</v>
      </c>
      <c r="E57" s="65">
        <f>SUMIF(Resumen!$AA$16:$AA$27,B57,Resumen!$AC$16:$AC$27)</f>
        <v>0</v>
      </c>
      <c r="F57" s="65">
        <f>E57-D57</f>
        <v>0</v>
      </c>
      <c r="G57" s="65" t="str">
        <f>IF(D57=0,"",IF(F57&gt;=0,"✓ Cubierto","⚠ Faltan "&amp;-F57&amp;" puertos"))</f>
        <v/>
      </c>
    </row>
    <row r="58" spans="2:13" x14ac:dyDescent="0.35">
      <c r="B58" s="64" t="str">
        <f>B43</f>
        <v>C</v>
      </c>
      <c r="C58" s="63" t="str">
        <f>C43</f>
        <v>CCTV</v>
      </c>
      <c r="D58" s="65">
        <f>M43</f>
        <v>0</v>
      </c>
      <c r="E58" s="65">
        <f>SUMIF(Resumen!$AA$16:$AA$27,B58,Resumen!$AC$16:$AC$27)</f>
        <v>1</v>
      </c>
      <c r="F58" s="65">
        <f>E58-D58</f>
        <v>1</v>
      </c>
      <c r="G58" s="65" t="str">
        <f>IF(D58=0,"",IF(F58&gt;=0,"✓ Cubierto","⚠ Faltan "&amp;-F58&amp;" puertos"))</f>
        <v/>
      </c>
    </row>
    <row r="59" spans="2:13" x14ac:dyDescent="0.35">
      <c r="B59" s="64" t="str">
        <f>B44</f>
        <v>B</v>
      </c>
      <c r="C59" s="63" t="str">
        <f>C44</f>
        <v>BMS</v>
      </c>
      <c r="D59" s="65">
        <f>M44</f>
        <v>0</v>
      </c>
      <c r="E59" s="65">
        <f>SUMIF(Resumen!$AA$16:$AA$27,B59,Resumen!$AC$16:$AC$27)</f>
        <v>0</v>
      </c>
      <c r="F59" s="65">
        <f>E59-D59</f>
        <v>0</v>
      </c>
      <c r="G59" s="65" t="str">
        <f>IF(D59=0,"",IF(F59&gt;=0,"✓ Cubierto","⚠ Faltan "&amp;-F59&amp;" puertos"))</f>
        <v/>
      </c>
    </row>
    <row r="60" spans="2:13" x14ac:dyDescent="0.35">
      <c r="B60" s="64" t="str">
        <f>B45</f>
        <v>W</v>
      </c>
      <c r="C60" s="63" t="str">
        <f>C45</f>
        <v>Access point (WAP)</v>
      </c>
      <c r="D60" s="65">
        <f>M45</f>
        <v>0</v>
      </c>
      <c r="E60" s="65">
        <f>SUMIF(Resumen!$AA$16:$AA$27,B60,Resumen!$AC$16:$AC$27)</f>
        <v>1</v>
      </c>
      <c r="F60" s="65">
        <f>E60-D60</f>
        <v>1</v>
      </c>
      <c r="G60" s="65" t="str">
        <f>IF(D60=0,"",IF(F60&gt;=0,"✓ Cubierto","⚠ Faltan "&amp;-F60&amp;" puertos"))</f>
        <v/>
      </c>
    </row>
    <row r="61" spans="2:13" x14ac:dyDescent="0.35">
      <c r="B61" s="64" t="str">
        <f>B46</f>
        <v>T</v>
      </c>
      <c r="C61" s="63" t="str">
        <f>C46</f>
        <v>TV</v>
      </c>
      <c r="D61" s="65">
        <f>M46</f>
        <v>0</v>
      </c>
      <c r="E61" s="65">
        <f>SUMIF(Resumen!$AA$16:$AA$27,B61,Resumen!$AC$16:$AC$27)</f>
        <v>0</v>
      </c>
      <c r="F61" s="65">
        <f>E61-D61</f>
        <v>0</v>
      </c>
      <c r="G61" s="65" t="str">
        <f>IF(D61=0,"",IF(F61&gt;=0,"✓ Cubierto","⚠ Faltan "&amp;-F61&amp;" puertos"))</f>
        <v/>
      </c>
    </row>
    <row r="62" spans="2:13" x14ac:dyDescent="0.35">
      <c r="B62" s="64" t="str">
        <f>B47</f>
        <v>A</v>
      </c>
      <c r="C62" s="63" t="str">
        <f>C47</f>
        <v>Control de acceso</v>
      </c>
      <c r="D62" s="65">
        <f>M47</f>
        <v>0</v>
      </c>
      <c r="E62" s="65">
        <f>SUMIF(Resumen!$AA$16:$AA$27,B62,Resumen!$AC$16:$AC$27)</f>
        <v>0</v>
      </c>
      <c r="F62" s="65">
        <f>E62-D62</f>
        <v>0</v>
      </c>
      <c r="G62" s="65" t="str">
        <f>IF(D62=0,"",IF(F62&gt;=0,"✓ Cubierto","⚠ Faltan "&amp;-F62&amp;" puertos"))</f>
        <v/>
      </c>
    </row>
    <row r="63" spans="2:13" x14ac:dyDescent="0.35">
      <c r="B63" s="64" t="str">
        <f>B48</f>
        <v>S</v>
      </c>
      <c r="C63" s="63" t="str">
        <f>C48</f>
        <v>Audio / video IP</v>
      </c>
      <c r="D63" s="65">
        <f>M48</f>
        <v>0</v>
      </c>
      <c r="E63" s="65">
        <f>SUMIF(Resumen!$AA$16:$AA$27,B63,Resumen!$AC$16:$AC$27)</f>
        <v>0</v>
      </c>
      <c r="F63" s="65">
        <f>E63-D63</f>
        <v>0</v>
      </c>
      <c r="G63" s="65" t="str">
        <f>IF(D63=0,"",IF(F63&gt;=0,"✓ Cubierto","⚠ Faltan "&amp;-F63&amp;" puertos"))</f>
        <v/>
      </c>
    </row>
    <row r="64" spans="2:13" x14ac:dyDescent="0.35">
      <c r="B64" s="64" t="str">
        <f>B49</f>
        <v>G</v>
      </c>
      <c r="C64" s="63" t="str">
        <f>C49</f>
        <v>Gateways</v>
      </c>
      <c r="D64" s="65">
        <f>M49</f>
        <v>0</v>
      </c>
      <c r="E64" s="65">
        <f>SUMIF(Resumen!$AA$16:$AA$27,B64,Resumen!$AC$16:$AC$27)</f>
        <v>0</v>
      </c>
      <c r="F64" s="65">
        <f>E64-D64</f>
        <v>0</v>
      </c>
      <c r="G64" s="65" t="str">
        <f>IF(D64=0,"",IF(F64&gt;=0,"✓ Cubierto","⚠ Faltan "&amp;-F64&amp;" puertos"))</f>
        <v/>
      </c>
    </row>
    <row r="65" spans="2:7" x14ac:dyDescent="0.35">
      <c r="B65" s="64" t="str">
        <f>B50</f>
        <v>R</v>
      </c>
      <c r="C65" s="63" t="str">
        <f>C50</f>
        <v>GRMS</v>
      </c>
      <c r="D65" s="65">
        <f>M50</f>
        <v>0</v>
      </c>
      <c r="E65" s="65">
        <f>SUMIF(Resumen!$AA$16:$AA$27,B65,Resumen!$AC$16:$AC$27)</f>
        <v>0</v>
      </c>
      <c r="F65" s="65">
        <f>E65-D65</f>
        <v>0</v>
      </c>
      <c r="G65" s="65" t="str">
        <f>IF(D65=0,"",IF(F65&gt;=0,"✓ Cubierto","⚠ Faltan "&amp;-F65&amp;" puertos"))</f>
        <v/>
      </c>
    </row>
    <row r="68" spans="2:7" ht="13.15" x14ac:dyDescent="0.4">
      <c r="B68" s="57" t="s">
        <v>496</v>
      </c>
      <c r="C68" s="57"/>
      <c r="D68" s="57"/>
      <c r="E68" s="57"/>
      <c r="F68" s="57"/>
      <c r="G68" s="57"/>
    </row>
    <row r="69" spans="2:7" ht="34.9" x14ac:dyDescent="0.35">
      <c r="B69" s="62" t="s">
        <v>497</v>
      </c>
      <c r="C69" s="62" t="s">
        <v>498</v>
      </c>
      <c r="D69" s="62" t="s">
        <v>499</v>
      </c>
      <c r="E69" s="62" t="s">
        <v>500</v>
      </c>
      <c r="F69" s="62" t="s">
        <v>501</v>
      </c>
      <c r="G69" s="62" t="s">
        <v>502</v>
      </c>
    </row>
    <row r="70" spans="2:7" x14ac:dyDescent="0.35">
      <c r="B70" s="64" t="str">
        <f>IF($D29="Secundario",$B29,"")</f>
        <v/>
      </c>
      <c r="C70" s="65" t="str">
        <f>IF(B70="","",E29)</f>
        <v/>
      </c>
      <c r="D70" s="65" t="str">
        <f>IF(B70="","",$C$12*IF($C$8="Sí",2,1))</f>
        <v/>
      </c>
      <c r="E70" s="65" t="str">
        <f>IF(B70="","",D70*2)</f>
        <v/>
      </c>
      <c r="F70" s="65" t="str">
        <f>IF(B70="","",CEILING(ROUNDUP(E70*(1+$C$7),0),2))</f>
        <v/>
      </c>
      <c r="G70" s="65" t="str">
        <f>IF(B70="","",IF(N(C70)=0,"Falta la distancia",IF(C70&gt;$C$9,"OS2 monomodo","OM4 multimodo")))</f>
        <v/>
      </c>
    </row>
    <row r="71" spans="2:7" x14ac:dyDescent="0.35">
      <c r="B71" s="64" t="str">
        <f>IF($D30="Secundario",$B30,"")</f>
        <v/>
      </c>
      <c r="C71" s="65" t="str">
        <f>IF(B71="","",E30)</f>
        <v/>
      </c>
      <c r="D71" s="65" t="str">
        <f>IF(B71="","",$C$12*IF($C$8="Sí",2,1))</f>
        <v/>
      </c>
      <c r="E71" s="65" t="str">
        <f>IF(B71="","",D71*2)</f>
        <v/>
      </c>
      <c r="F71" s="65" t="str">
        <f>IF(B71="","",CEILING(ROUNDUP(E71*(1+$C$7),0),2))</f>
        <v/>
      </c>
      <c r="G71" s="65" t="str">
        <f>IF(B71="","",IF(N(C71)=0,"Falta la distancia",IF(C71&gt;$C$9,"OS2 monomodo","OM4 multimodo")))</f>
        <v/>
      </c>
    </row>
    <row r="72" spans="2:7" x14ac:dyDescent="0.35">
      <c r="B72" s="64" t="str">
        <f>IF($D31="Secundario",$B31,"")</f>
        <v/>
      </c>
      <c r="C72" s="65" t="str">
        <f>IF(B72="","",E31)</f>
        <v/>
      </c>
      <c r="D72" s="65" t="str">
        <f>IF(B72="","",$C$12*IF($C$8="Sí",2,1))</f>
        <v/>
      </c>
      <c r="E72" s="65" t="str">
        <f>IF(B72="","",D72*2)</f>
        <v/>
      </c>
      <c r="F72" s="65" t="str">
        <f>IF(B72="","",CEILING(ROUNDUP(E72*(1+$C$7),0),2))</f>
        <v/>
      </c>
      <c r="G72" s="65" t="str">
        <f>IF(B72="","",IF(N(C72)=0,"Falta la distancia",IF(C72&gt;$C$9,"OS2 monomodo","OM4 multimodo")))</f>
        <v/>
      </c>
    </row>
    <row r="73" spans="2:7" x14ac:dyDescent="0.35">
      <c r="B73" s="64" t="str">
        <f>IF($D32="Secundario",$B32,"")</f>
        <v/>
      </c>
      <c r="C73" s="65" t="str">
        <f>IF(B73="","",E32)</f>
        <v/>
      </c>
      <c r="D73" s="65" t="str">
        <f>IF(B73="","",$C$12*IF($C$8="Sí",2,1))</f>
        <v/>
      </c>
      <c r="E73" s="65" t="str">
        <f>IF(B73="","",D73*2)</f>
        <v/>
      </c>
      <c r="F73" s="65" t="str">
        <f>IF(B73="","",CEILING(ROUNDUP(E73*(1+$C$7),0),2))</f>
        <v/>
      </c>
      <c r="G73" s="65" t="str">
        <f>IF(B73="","",IF(N(C73)=0,"Falta la distancia",IF(C73&gt;$C$9,"OS2 monomodo","OM4 multimodo")))</f>
        <v/>
      </c>
    </row>
    <row r="74" spans="2:7" x14ac:dyDescent="0.35">
      <c r="B74" s="64" t="str">
        <f>IF($D33="Secundario",$B33,"")</f>
        <v/>
      </c>
      <c r="C74" s="65" t="str">
        <f>IF(B74="","",E33)</f>
        <v/>
      </c>
      <c r="D74" s="65" t="str">
        <f>IF(B74="","",$C$12*IF($C$8="Sí",2,1))</f>
        <v/>
      </c>
      <c r="E74" s="65" t="str">
        <f>IF(B74="","",D74*2)</f>
        <v/>
      </c>
      <c r="F74" s="65" t="str">
        <f>IF(B74="","",CEILING(ROUNDUP(E74*(1+$C$7),0),2))</f>
        <v/>
      </c>
      <c r="G74" s="65" t="str">
        <f>IF(B74="","",IF(N(C74)=0,"Falta la distancia",IF(C74&gt;$C$9,"OS2 monomodo","OM4 multimodo")))</f>
        <v/>
      </c>
    </row>
    <row r="75" spans="2:7" x14ac:dyDescent="0.35">
      <c r="B75" s="64" t="str">
        <f>IF($D34="Secundario",$B34,"")</f>
        <v/>
      </c>
      <c r="C75" s="65" t="str">
        <f>IF(B75="","",E34)</f>
        <v/>
      </c>
      <c r="D75" s="65" t="str">
        <f>IF(B75="","",$C$12*IF($C$8="Sí",2,1))</f>
        <v/>
      </c>
      <c r="E75" s="65" t="str">
        <f>IF(B75="","",D75*2)</f>
        <v/>
      </c>
      <c r="F75" s="65" t="str">
        <f>IF(B75="","",CEILING(ROUNDUP(E75*(1+$C$7),0),2))</f>
        <v/>
      </c>
      <c r="G75" s="65" t="str">
        <f>IF(B75="","",IF(N(C75)=0,"Falta la distancia",IF(C75&gt;$C$9,"OS2 monomodo","OM4 multimodo")))</f>
        <v/>
      </c>
    </row>
    <row r="76" spans="2:7" x14ac:dyDescent="0.35">
      <c r="B76" s="64" t="str">
        <f>IF($D35="Secundario",$B35,"")</f>
        <v/>
      </c>
      <c r="C76" s="65" t="str">
        <f>IF(B76="","",E35)</f>
        <v/>
      </c>
      <c r="D76" s="65" t="str">
        <f>IF(B76="","",$C$12*IF($C$8="Sí",2,1))</f>
        <v/>
      </c>
      <c r="E76" s="65" t="str">
        <f>IF(B76="","",D76*2)</f>
        <v/>
      </c>
      <c r="F76" s="65" t="str">
        <f>IF(B76="","",CEILING(ROUNDUP(E76*(1+$C$7),0),2))</f>
        <v/>
      </c>
      <c r="G76" s="65" t="str">
        <f>IF(B76="","",IF(N(C76)=0,"Falta la distancia",IF(C76&gt;$C$9,"OS2 monomodo","OM4 multimodo")))</f>
        <v/>
      </c>
    </row>
    <row r="77" spans="2:7" x14ac:dyDescent="0.35">
      <c r="B77" s="64" t="str">
        <f>IF($D36="Secundario",$B36,"")</f>
        <v/>
      </c>
      <c r="C77" s="65" t="str">
        <f>IF(B77="","",E36)</f>
        <v/>
      </c>
      <c r="D77" s="65" t="str">
        <f>IF(B77="","",$C$12*IF($C$8="Sí",2,1))</f>
        <v/>
      </c>
      <c r="E77" s="65" t="str">
        <f>IF(B77="","",D77*2)</f>
        <v/>
      </c>
      <c r="F77" s="65" t="str">
        <f>IF(B77="","",CEILING(ROUNDUP(E77*(1+$C$7),0),2))</f>
        <v/>
      </c>
      <c r="G77" s="65" t="str">
        <f>IF(B77="","",IF(N(C77)=0,"Falta la distancia",IF(C77&gt;$C$9,"OS2 monomodo","OM4 multimodo")))</f>
        <v/>
      </c>
    </row>
    <row r="79" spans="2:7" x14ac:dyDescent="0.35">
      <c r="B79" s="56" t="s">
        <v>503</v>
      </c>
      <c r="C79" s="56"/>
      <c r="D79" s="56"/>
      <c r="E79" s="56"/>
      <c r="F79" s="61" t="str">
        <f>IF(SUM(F70:F77)=0,"",SUM(F70:F77)+12)</f>
        <v/>
      </c>
    </row>
  </sheetData>
  <dataValidations count="3">
    <dataValidation type="list" allowBlank="1" showInputMessage="1" showErrorMessage="1" sqref="C8 C10 D15:E24" xr:uid="{6BA52C2C-277C-4406-9AC5-EAB91D64EF22}">
      <mc:AlternateContent xmlns:x12ac="http://schemas.microsoft.com/office/spreadsheetml/2011/1/ac" xmlns:mc="http://schemas.openxmlformats.org/markup-compatibility/2006">
        <mc:Choice Requires="x12ac">
          <x12ac:list>"Sí,No"</x12ac:list>
        </mc:Choice>
        <mc:Fallback>
          <formula1>"Sí,No"</formula1>
        </mc:Fallback>
      </mc:AlternateContent>
    </dataValidation>
    <dataValidation type="list" allowBlank="1" showInputMessage="1" showErrorMessage="1" sqref="C11 F15:F24" xr:uid="{D320C5D3-2243-4B22-AA68-DED395DFB38C}">
      <mc:AlternateContent xmlns:x12ac="http://schemas.microsoft.com/office/spreadsheetml/2011/1/ac" xmlns:mc="http://schemas.openxmlformats.org/markup-compatibility/2006">
        <mc:Choice Requires="x12ac">
          <x12ac:list>"1,2,3,4"</x12ac:list>
        </mc:Choice>
        <mc:Fallback>
          <formula1>"1,2,3,4"</formula1>
        </mc:Fallback>
      </mc:AlternateContent>
    </dataValidation>
    <dataValidation type="list" allowBlank="1" showInputMessage="1" showErrorMessage="1" sqref="D29:D36" xr:uid="{A29B1CC5-3471-469A-9A1A-3C8DF2062E98}">
      <mc:AlternateContent xmlns:x12ac="http://schemas.microsoft.com/office/spreadsheetml/2011/1/ac" xmlns:mc="http://schemas.openxmlformats.org/markup-compatibility/2006">
        <mc:Choice Requires="x12ac">
          <x12ac:list>"Principal,Secundario"</x12ac:list>
        </mc:Choice>
        <mc:Fallback>
          <formula1>"Principal,Secundario"</formula1>
        </mc:Fallback>
      </mc:AlternateContent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  <pageSetUpPr fitToPage="1"/>
  </sheetPr>
  <dimension ref="C2:AI125"/>
  <sheetViews>
    <sheetView showGridLines="0" zoomScale="70" zoomScaleNormal="70" workbookViewId="0"/>
  </sheetViews>
  <sheetFormatPr defaultRowHeight="14.25" x14ac:dyDescent="0.45"/>
  <cols>
    <col min="1" max="2" width="2" customWidth="1"/>
    <col min="3" max="3" width="22" customWidth="1"/>
    <col min="4" max="4" width="46" customWidth="1"/>
    <col min="5" max="5" width="16" customWidth="1"/>
    <col min="6" max="6" width="18" customWidth="1"/>
    <col min="7" max="11" width="14" customWidth="1"/>
    <col min="27" max="35" width="13" hidden="1" customWidth="1"/>
  </cols>
  <sheetData>
    <row r="2" spans="3:35" ht="22.05" customHeight="1" x14ac:dyDescent="0.45">
      <c r="C2" s="41" t="s">
        <v>53</v>
      </c>
      <c r="D2" s="40"/>
      <c r="E2" s="40"/>
      <c r="F2" s="40"/>
      <c r="G2" s="40"/>
      <c r="H2" s="40"/>
      <c r="I2" s="40"/>
      <c r="J2" s="40"/>
    </row>
    <row r="4" spans="3:35" ht="18" customHeight="1" x14ac:dyDescent="0.45">
      <c r="C4" s="2" t="s">
        <v>1</v>
      </c>
      <c r="D4" s="2"/>
      <c r="E4" s="2"/>
      <c r="F4" s="2" t="s">
        <v>2</v>
      </c>
      <c r="G4" s="2"/>
      <c r="H4" s="2"/>
      <c r="I4" s="2"/>
      <c r="J4" s="2"/>
    </row>
    <row r="5" spans="3:35" x14ac:dyDescent="0.45">
      <c r="C5" s="3" t="s">
        <v>3</v>
      </c>
      <c r="D5" s="45" t="str">
        <f>Proyecto!D6&amp;""</f>
        <v/>
      </c>
      <c r="E5" s="38"/>
      <c r="F5" s="38"/>
      <c r="G5" s="38"/>
      <c r="H5" s="38"/>
      <c r="I5" s="38"/>
      <c r="J5" s="39"/>
    </row>
    <row r="6" spans="3:35" x14ac:dyDescent="0.45">
      <c r="C6" s="3" t="s">
        <v>4</v>
      </c>
      <c r="D6" s="45" t="str">
        <f>Proyecto!D7&amp;""</f>
        <v/>
      </c>
      <c r="E6" s="38"/>
      <c r="F6" s="38"/>
      <c r="G6" s="38"/>
      <c r="H6" s="38"/>
      <c r="I6" s="38"/>
      <c r="J6" s="39"/>
      <c r="AE6" t="str">
        <f>Catalogo!$B6&amp;""</f>
        <v>Rack</v>
      </c>
      <c r="AF6" t="str">
        <f>Catalogo!$C6&amp;""</f>
        <v>Rack 2 postes 45RU aluminio, canal 3", rosca #12-24</v>
      </c>
      <c r="AG6" t="str">
        <f>Catalogo!$D6&amp;""</f>
        <v>Panduit</v>
      </c>
      <c r="AH6" t="str">
        <f>Catalogo!$E6&amp;""</f>
        <v>R2P</v>
      </c>
      <c r="AI6">
        <f>SUM(INICIO_TR:FIN_TR!$BA$6)</f>
        <v>1</v>
      </c>
    </row>
    <row r="7" spans="3:35" x14ac:dyDescent="0.45">
      <c r="C7" s="3" t="s">
        <v>5</v>
      </c>
      <c r="D7" s="45" t="str">
        <f>Proyecto!D8&amp;""</f>
        <v/>
      </c>
      <c r="E7" s="38"/>
      <c r="F7" s="38"/>
      <c r="G7" s="38"/>
      <c r="H7" s="38"/>
      <c r="I7" s="38"/>
      <c r="J7" s="39"/>
      <c r="AE7" t="str">
        <f>Catalogo!$B7&amp;""</f>
        <v>Rack</v>
      </c>
      <c r="AF7" t="str">
        <f>Catalogo!$C7&amp;""</f>
        <v>Rack 2 postes 45RU acero, canal 3"</v>
      </c>
      <c r="AG7" t="str">
        <f>Catalogo!$D7&amp;""</f>
        <v>Panduit</v>
      </c>
      <c r="AH7" t="str">
        <f>Catalogo!$E7&amp;""</f>
        <v>R2PS</v>
      </c>
      <c r="AI7">
        <f>SUM(INICIO_TR:FIN_TR!$BA$7)</f>
        <v>0</v>
      </c>
    </row>
    <row r="8" spans="3:35" x14ac:dyDescent="0.45">
      <c r="C8" s="3" t="s">
        <v>6</v>
      </c>
      <c r="D8" s="45" t="str">
        <f>Proyecto!D9&amp;""</f>
        <v/>
      </c>
      <c r="E8" s="38"/>
      <c r="F8" s="38"/>
      <c r="G8" s="38"/>
      <c r="H8" s="38"/>
      <c r="I8" s="38"/>
      <c r="J8" s="39"/>
      <c r="AE8" t="str">
        <f>Catalogo!$B8&amp;""</f>
        <v>Rack</v>
      </c>
      <c r="AF8" t="str">
        <f>Catalogo!$C8&amp;""</f>
        <v>Rack 2 postes 45RU acero, canal 6"</v>
      </c>
      <c r="AG8" t="str">
        <f>Catalogo!$D8&amp;""</f>
        <v>Panduit</v>
      </c>
      <c r="AH8" t="str">
        <f>Catalogo!$E8&amp;""</f>
        <v>R2P6S</v>
      </c>
      <c r="AI8">
        <f>SUM(INICIO_TR:FIN_TR!$BA$8)</f>
        <v>0</v>
      </c>
    </row>
    <row r="9" spans="3:35" x14ac:dyDescent="0.45">
      <c r="C9" s="3" t="s">
        <v>7</v>
      </c>
      <c r="D9" s="45" t="str">
        <f>Proyecto!D10&amp;""</f>
        <v/>
      </c>
      <c r="E9" s="38"/>
      <c r="F9" s="38"/>
      <c r="G9" s="38"/>
      <c r="H9" s="38"/>
      <c r="I9" s="38"/>
      <c r="J9" s="39"/>
      <c r="AE9" t="str">
        <f>Catalogo!$B9&amp;""</f>
        <v>Rack</v>
      </c>
      <c r="AF9" t="str">
        <f>Catalogo!$C9&amp;""</f>
        <v>Rack 2 postes 42RU aluminio, canal 3"</v>
      </c>
      <c r="AG9" t="str">
        <f>Catalogo!$D9&amp;""</f>
        <v>Panduit</v>
      </c>
      <c r="AH9" t="str">
        <f>Catalogo!$E9&amp;""</f>
        <v>R2P79</v>
      </c>
      <c r="AI9">
        <f>SUM(INICIO_TR:FIN_TR!$BA$9)</f>
        <v>0</v>
      </c>
    </row>
    <row r="10" spans="3:35" x14ac:dyDescent="0.45">
      <c r="AE10" t="str">
        <f>Catalogo!$B10&amp;""</f>
        <v>Organizador vertical</v>
      </c>
      <c r="AF10" t="str">
        <f>Catalogo!$C10&amp;""</f>
        <v>Org. vertical 6" frontal (PatchRunner 2)</v>
      </c>
      <c r="AG10" t="str">
        <f>Catalogo!$D10&amp;""</f>
        <v>Panduit</v>
      </c>
      <c r="AH10" t="str">
        <f>Catalogo!$E10&amp;""</f>
        <v>PR2VFD06</v>
      </c>
      <c r="AI10">
        <f>SUM(INICIO_TR:FIN_TR!$BA$10)</f>
        <v>0</v>
      </c>
    </row>
    <row r="11" spans="3:35" x14ac:dyDescent="0.45">
      <c r="C11" s="5" t="s">
        <v>54</v>
      </c>
      <c r="D11" s="9">
        <f ca="1">_xlfn.SHEETS(INICIO_TR:FIN_TR!$A$1)-2</f>
        <v>1</v>
      </c>
      <c r="AE11" t="str">
        <f>Catalogo!$B11&amp;""</f>
        <v>Organizador vertical</v>
      </c>
      <c r="AF11" t="str">
        <f>Catalogo!$C11&amp;""</f>
        <v>Org. vertical 8" frontal (PatchRunner 2)</v>
      </c>
      <c r="AG11" t="str">
        <f>Catalogo!$D11&amp;""</f>
        <v>Panduit</v>
      </c>
      <c r="AH11" t="str">
        <f>Catalogo!$E11&amp;""</f>
        <v>PR2VFD08</v>
      </c>
      <c r="AI11">
        <f>SUM(INICIO_TR:FIN_TR!$BA$11)</f>
        <v>0</v>
      </c>
    </row>
    <row r="12" spans="3:35" x14ac:dyDescent="0.45">
      <c r="AE12" t="str">
        <f>Catalogo!$B12&amp;""</f>
        <v>Organizador vertical</v>
      </c>
      <c r="AF12" t="str">
        <f>Catalogo!$C12&amp;""</f>
        <v>Org. vertical 10" frontal (PatchRunner 2)</v>
      </c>
      <c r="AG12" t="str">
        <f>Catalogo!$D12&amp;""</f>
        <v>Panduit</v>
      </c>
      <c r="AH12" t="str">
        <f>Catalogo!$E12&amp;""</f>
        <v>PR2VFD10</v>
      </c>
      <c r="AI12">
        <f>SUM(INICIO_TR:FIN_TR!$BA$12)</f>
        <v>0</v>
      </c>
    </row>
    <row r="13" spans="3:35" x14ac:dyDescent="0.45">
      <c r="C13" t="str" cm="1">
        <f t="array" ref="C13:K28">_xlfn.LET(_xlpm.d,_xlfn.VSTACK(INICIO_TR:FIN_TR!$AS$3:$BA$3),_xlpm.f,_xlfn._xlws.FILTER(_xlpm.d,ISTEXT(_xlfn.CHOOSECOLS(_xlpm.d,1))),_xlpm.tot,_xlfn.HSTACK("TOTAL","",SUM(_xlfn.CHOOSECOLS(_xlpm.f,3)),SUM(_xlfn.CHOOSECOLS(_xlpm.f,4)),IFERROR(TEXT(SUM(_xlfn.CHOOSECOLS(_xlpm.f,3))/(SUM(_xlfn.CHOOSECOLS(_xlpm.f,3))+SUM(_xlfn.CHOOSECOLS(_xlpm.f,4))),"0%"),"-"),SUM(_xlfn.CHOOSECOLS(_xlpm.f,6)),SUM(_xlfn.CHOOSECOLS(_xlpm.f,7)),SUM(_xlfn.CHOOSECOLS(_xlpm.f,8)),IFERROR(TEXT(SUM(_xlfn.CHOOSECOLS(_xlpm.f,8))/SUM(_xlfn.CHOOSECOLS(_xlpm.f,7)),"0%"),"-")),_xlpm.c,AA16:AC27,_xlpm.b,AE6:AI125,IFERROR(_xlfn.VSTACK({"CUARTOS DE TELECOMUNICACIONES"},{"Cuarto","Descripción","RU ocupados","RU libres","% llenado rack","Patch panels","Puertos","Salidas","% llenado PP"},_xlpm.f,_xlpm.tot,{""},{"SALIDAS POR TIPO"},{"Código","Tipo de salida","Cantidad"},_xlfn._xlws.FILTER(_xlpm.c,(_xlfn.CHOOSECOLS(_xlpm.c,1)&lt;&gt;"")*(_xlfn.CHOOSECOLS(_xlpm.c,3)&gt;0),"Sin salidas asignadas"),{""},{"LISTA DE MATERIALES"},{"Categoría","Descripción","Marca","Número de parte","Cantidad"},_xlfn._xlws.FILTER(_xlpm.b,_xlfn.CHOOSECOLS(_xlpm.b,5)&gt;0,"Sin materiales")),""))</f>
        <v>CUARTOS DE TELECOMUNICACIONES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AE13" t="str">
        <f>Catalogo!$B13&amp;""</f>
        <v>Organizador vertical</v>
      </c>
      <c r="AF13" t="str">
        <f>Catalogo!$C13&amp;""</f>
        <v>Org. vertical 12" frontal (PatchRunner 2)</v>
      </c>
      <c r="AG13" t="str">
        <f>Catalogo!$D13&amp;""</f>
        <v>Panduit</v>
      </c>
      <c r="AH13" t="str">
        <f>Catalogo!$E13&amp;""</f>
        <v>PR2VFD12</v>
      </c>
      <c r="AI13">
        <f>SUM(INICIO_TR:FIN_TR!$BA$13)</f>
        <v>0</v>
      </c>
    </row>
    <row r="14" spans="3:35" x14ac:dyDescent="0.45">
      <c r="C14" t="str">
        <v>Cuarto</v>
      </c>
      <c r="D14" t="str">
        <v>Descripción</v>
      </c>
      <c r="E14" t="str">
        <v>RU ocupados</v>
      </c>
      <c r="F14" t="str">
        <v>RU libres</v>
      </c>
      <c r="G14" t="str">
        <v>% llenado rack</v>
      </c>
      <c r="H14" t="str">
        <v>Patch panels</v>
      </c>
      <c r="I14" t="str">
        <v>Puertos</v>
      </c>
      <c r="J14" t="str">
        <v>Salidas</v>
      </c>
      <c r="K14" t="str">
        <v>% llenado PP</v>
      </c>
      <c r="AE14" t="str">
        <f>Catalogo!$B14&amp;""</f>
        <v>Organizador vertical</v>
      </c>
      <c r="AF14" t="str">
        <f>Catalogo!$C14&amp;""</f>
        <v>Org. vertical 6" frontal/posterior (PatchRunner 2)</v>
      </c>
      <c r="AG14" t="str">
        <f>Catalogo!$D14&amp;""</f>
        <v>Panduit</v>
      </c>
      <c r="AH14" t="str">
        <f>Catalogo!$E14&amp;""</f>
        <v>PR2VD06</v>
      </c>
      <c r="AI14">
        <f>SUM(INICIO_TR:FIN_TR!$BA$14)</f>
        <v>2</v>
      </c>
    </row>
    <row r="15" spans="3:35" x14ac:dyDescent="0.45">
      <c r="C15" t="str">
        <v/>
      </c>
      <c r="D15" t="str">
        <v/>
      </c>
      <c r="E15">
        <v>2</v>
      </c>
      <c r="F15">
        <v>43</v>
      </c>
      <c r="G15" t="str">
        <v>4%</v>
      </c>
      <c r="H15">
        <v>1</v>
      </c>
      <c r="I15">
        <v>48</v>
      </c>
      <c r="J15">
        <v>2</v>
      </c>
      <c r="K15" t="str">
        <v>4%</v>
      </c>
      <c r="AE15" t="str">
        <f>Catalogo!$B15&amp;""</f>
        <v>Organizador vertical</v>
      </c>
      <c r="AF15" t="str">
        <f>Catalogo!$C15&amp;""</f>
        <v>Org. vertical 8" frontal/posterior (PatchRunner 2)</v>
      </c>
      <c r="AG15" t="str">
        <f>Catalogo!$D15&amp;""</f>
        <v>Panduit</v>
      </c>
      <c r="AH15" t="str">
        <f>Catalogo!$E15&amp;""</f>
        <v>PR2VD08</v>
      </c>
      <c r="AI15">
        <f>SUM(INICIO_TR:FIN_TR!$BA$15)</f>
        <v>0</v>
      </c>
    </row>
    <row r="16" spans="3:35" x14ac:dyDescent="0.45">
      <c r="C16" t="str">
        <v>TOTAL</v>
      </c>
      <c r="D16" t="str">
        <v/>
      </c>
      <c r="E16">
        <v>2</v>
      </c>
      <c r="F16">
        <v>43</v>
      </c>
      <c r="G16" t="str">
        <v>4%</v>
      </c>
      <c r="H16">
        <v>1</v>
      </c>
      <c r="I16">
        <v>48</v>
      </c>
      <c r="J16">
        <v>2</v>
      </c>
      <c r="K16" t="str">
        <v>4%</v>
      </c>
      <c r="AA16" t="str">
        <f>Proyecto!$C16&amp;""</f>
        <v>D</v>
      </c>
      <c r="AB16" t="str">
        <f>Proyecto!$D16&amp;""</f>
        <v>Datos</v>
      </c>
      <c r="AC16">
        <f>SUM(INICIO_TR:FIN_TR!$AQ$16)</f>
        <v>0</v>
      </c>
      <c r="AE16" t="str">
        <f>Catalogo!$B16&amp;""</f>
        <v>Organizador vertical</v>
      </c>
      <c r="AF16" t="str">
        <f>Catalogo!$C16&amp;""</f>
        <v>Org. vertical 10" frontal/posterior (PatchRunner 2)</v>
      </c>
      <c r="AG16" t="str">
        <f>Catalogo!$D16&amp;""</f>
        <v>Panduit</v>
      </c>
      <c r="AH16" t="str">
        <f>Catalogo!$E16&amp;""</f>
        <v>PR2VD10</v>
      </c>
      <c r="AI16">
        <f>SUM(INICIO_TR:FIN_TR!$BA$16)</f>
        <v>0</v>
      </c>
    </row>
    <row r="17" spans="3:35" x14ac:dyDescent="0.45"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AA17" t="str">
        <f>Proyecto!$C17&amp;""</f>
        <v>V</v>
      </c>
      <c r="AB17" t="str">
        <f>Proyecto!$D17&amp;""</f>
        <v>Voz</v>
      </c>
      <c r="AC17">
        <f>SUM(INICIO_TR:FIN_TR!$AQ$17)</f>
        <v>0</v>
      </c>
      <c r="AE17" t="str">
        <f>Catalogo!$B17&amp;""</f>
        <v>Organizador vertical</v>
      </c>
      <c r="AF17" t="str">
        <f>Catalogo!$C17&amp;""</f>
        <v>Org. vertical 12" frontal/posterior (PatchRunner 2)</v>
      </c>
      <c r="AG17" t="str">
        <f>Catalogo!$D17&amp;""</f>
        <v>Panduit</v>
      </c>
      <c r="AH17" t="str">
        <f>Catalogo!$E17&amp;""</f>
        <v>PR2VD12</v>
      </c>
      <c r="AI17">
        <f>SUM(INICIO_TR:FIN_TR!$BA$17)</f>
        <v>0</v>
      </c>
    </row>
    <row r="18" spans="3:35" x14ac:dyDescent="0.45">
      <c r="C18" t="str">
        <v>SALIDAS POR TIPO</v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AA18" t="str">
        <f>Proyecto!$C18&amp;""</f>
        <v>C</v>
      </c>
      <c r="AB18" t="str">
        <f>Proyecto!$D18&amp;""</f>
        <v>CCTV</v>
      </c>
      <c r="AC18">
        <f>SUM(INICIO_TR:FIN_TR!$AQ$18)</f>
        <v>1</v>
      </c>
      <c r="AE18" t="str">
        <f>Catalogo!$B18&amp;""</f>
        <v>Organizador vertical</v>
      </c>
      <c r="AF18" t="str">
        <f>Catalogo!$C18&amp;""</f>
        <v>Org. vertical 4.9" frontal/posterior (NetRunner)</v>
      </c>
      <c r="AG18" t="str">
        <f>Catalogo!$D18&amp;""</f>
        <v>Panduit</v>
      </c>
      <c r="AH18" t="str">
        <f>Catalogo!$E18&amp;""</f>
        <v>WMPV45E</v>
      </c>
      <c r="AI18">
        <f>SUM(INICIO_TR:FIN_TR!$BA$18)</f>
        <v>0</v>
      </c>
    </row>
    <row r="19" spans="3:35" x14ac:dyDescent="0.45">
      <c r="C19" t="str">
        <v>Código</v>
      </c>
      <c r="D19" t="str">
        <v>Tipo de salida</v>
      </c>
      <c r="E19" t="str">
        <v>Cantidad</v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AA19" t="str">
        <f>Proyecto!$C19&amp;""</f>
        <v>B</v>
      </c>
      <c r="AB19" t="str">
        <f>Proyecto!$D19&amp;""</f>
        <v>BMS</v>
      </c>
      <c r="AC19">
        <f>SUM(INICIO_TR:FIN_TR!$AQ$19)</f>
        <v>0</v>
      </c>
      <c r="AE19" t="str">
        <f>Catalogo!$B19&amp;""</f>
        <v>Organizador vertical</v>
      </c>
      <c r="AF19" t="str">
        <f>Catalogo!$C19&amp;""</f>
        <v>Org. vertical 6.7" frontal/posterior (NetRunner)</v>
      </c>
      <c r="AG19" t="str">
        <f>Catalogo!$D19&amp;""</f>
        <v>Panduit</v>
      </c>
      <c r="AH19" t="str">
        <f>Catalogo!$E19&amp;""</f>
        <v>WMPVHC45E</v>
      </c>
      <c r="AI19">
        <f>SUM(INICIO_TR:FIN_TR!$BA$19)</f>
        <v>0</v>
      </c>
    </row>
    <row r="20" spans="3:35" x14ac:dyDescent="0.45">
      <c r="C20" t="str">
        <v>C</v>
      </c>
      <c r="D20" t="str">
        <v>CCTV</v>
      </c>
      <c r="E20">
        <v>1</v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AA20" t="str">
        <f>Proyecto!$C20&amp;""</f>
        <v>W</v>
      </c>
      <c r="AB20" t="str">
        <f>Proyecto!$D20&amp;""</f>
        <v>Access point (WAP)</v>
      </c>
      <c r="AC20">
        <f>SUM(INICIO_TR:FIN_TR!$AQ$20)</f>
        <v>1</v>
      </c>
      <c r="AE20" t="str">
        <f>Catalogo!$B20&amp;""</f>
        <v>Patch panel cobre</v>
      </c>
      <c r="AF20" t="str">
        <f>Catalogo!$C20&amp;""</f>
        <v>Patch panel plano 24 puertos 1RU</v>
      </c>
      <c r="AG20" t="str">
        <f>Catalogo!$D20&amp;""</f>
        <v>Panduit</v>
      </c>
      <c r="AH20" t="str">
        <f>Catalogo!$E20&amp;""</f>
        <v>CPP24FMWBLY</v>
      </c>
      <c r="AI20">
        <f>SUM(INICIO_TR:FIN_TR!$BA$20)</f>
        <v>0</v>
      </c>
    </row>
    <row r="21" spans="3:35" x14ac:dyDescent="0.45">
      <c r="C21" t="str">
        <v>W</v>
      </c>
      <c r="D21" t="str">
        <v>Access point (WAP)</v>
      </c>
      <c r="E21">
        <v>1</v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AA21" t="str">
        <f>Proyecto!$C21&amp;""</f>
        <v>T</v>
      </c>
      <c r="AB21" t="str">
        <f>Proyecto!$D21&amp;""</f>
        <v>TV</v>
      </c>
      <c r="AC21">
        <f>SUM(INICIO_TR:FIN_TR!$AQ$21)</f>
        <v>0</v>
      </c>
      <c r="AE21" t="str">
        <f>Catalogo!$B21&amp;""</f>
        <v>Patch panel cobre</v>
      </c>
      <c r="AF21" t="str">
        <f>Catalogo!$C21&amp;""</f>
        <v>Patch panel plano 48 puertos 2RU</v>
      </c>
      <c r="AG21" t="str">
        <f>Catalogo!$D21&amp;""</f>
        <v>Panduit</v>
      </c>
      <c r="AH21" t="str">
        <f>Catalogo!$E21&amp;""</f>
        <v>CPP48FMWBLY</v>
      </c>
      <c r="AI21">
        <f>SUM(INICIO_TR:FIN_TR!$BA$21)</f>
        <v>1</v>
      </c>
    </row>
    <row r="22" spans="3:35" x14ac:dyDescent="0.45"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AA22" t="str">
        <f>Proyecto!$C22&amp;""</f>
        <v>A</v>
      </c>
      <c r="AB22" t="str">
        <f>Proyecto!$D22&amp;""</f>
        <v>Control de acceso</v>
      </c>
      <c r="AC22">
        <f>SUM(INICIO_TR:FIN_TR!$AQ$22)</f>
        <v>0</v>
      </c>
      <c r="AE22" t="str">
        <f>Catalogo!$B22&amp;""</f>
        <v>Patch panel cobre</v>
      </c>
      <c r="AF22" t="str">
        <f>Catalogo!$C22&amp;""</f>
        <v>Patch panel angulado 24 puertos 1RU</v>
      </c>
      <c r="AG22" t="str">
        <f>Catalogo!$D22&amp;""</f>
        <v>Panduit</v>
      </c>
      <c r="AH22" t="str">
        <f>Catalogo!$E22&amp;""</f>
        <v>CPPA24FMWBLY</v>
      </c>
      <c r="AI22">
        <f>SUM(INICIO_TR:FIN_TR!$BA$22)</f>
        <v>0</v>
      </c>
    </row>
    <row r="23" spans="3:35" x14ac:dyDescent="0.45">
      <c r="C23" t="str">
        <v>LISTA DE MATERIALES</v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AA23" t="str">
        <f>Proyecto!$C23&amp;""</f>
        <v>S</v>
      </c>
      <c r="AB23" t="str">
        <f>Proyecto!$D23&amp;""</f>
        <v>Audio / video IP</v>
      </c>
      <c r="AC23">
        <f>SUM(INICIO_TR:FIN_TR!$AQ$23)</f>
        <v>0</v>
      </c>
      <c r="AE23" t="str">
        <f>Catalogo!$B23&amp;""</f>
        <v>Patch panel cobre</v>
      </c>
      <c r="AF23" t="str">
        <f>Catalogo!$C23&amp;""</f>
        <v>Patch panel angulado 48 puertos 2RU</v>
      </c>
      <c r="AG23" t="str">
        <f>Catalogo!$D23&amp;""</f>
        <v>Panduit</v>
      </c>
      <c r="AH23" t="str">
        <f>Catalogo!$E23&amp;""</f>
        <v>CPPA48FMWBLY</v>
      </c>
      <c r="AI23">
        <f>SUM(INICIO_TR:FIN_TR!$BA$23)</f>
        <v>0</v>
      </c>
    </row>
    <row r="24" spans="3:35" x14ac:dyDescent="0.45">
      <c r="C24" t="str">
        <v>Categoría</v>
      </c>
      <c r="D24" t="str">
        <v>Descripción</v>
      </c>
      <c r="E24" t="str">
        <v>Marca</v>
      </c>
      <c r="F24" t="str">
        <v>Número de parte</v>
      </c>
      <c r="G24" t="str">
        <v>Cantidad</v>
      </c>
      <c r="H24" t="str">
        <v/>
      </c>
      <c r="I24" t="str">
        <v/>
      </c>
      <c r="J24" t="str">
        <v/>
      </c>
      <c r="K24" t="str">
        <v/>
      </c>
      <c r="AA24" t="str">
        <f>Proyecto!$C24&amp;""</f>
        <v>G</v>
      </c>
      <c r="AB24" t="str">
        <f>Proyecto!$D24&amp;""</f>
        <v>Gateways</v>
      </c>
      <c r="AC24">
        <f>SUM(INICIO_TR:FIN_TR!$AQ$24)</f>
        <v>0</v>
      </c>
      <c r="AE24" t="str">
        <f>Catalogo!$B24&amp;""</f>
        <v>Patch panel cobre</v>
      </c>
      <c r="AF24" t="str">
        <f>Catalogo!$C24&amp;""</f>
        <v>Patch panel alta densidad plano 48 puertos 1RU</v>
      </c>
      <c r="AG24" t="str">
        <f>Catalogo!$D24&amp;""</f>
        <v>Panduit</v>
      </c>
      <c r="AH24" t="str">
        <f>Catalogo!$E24&amp;""</f>
        <v>CPP48HDWBLY</v>
      </c>
      <c r="AI24">
        <f>SUM(INICIO_TR:FIN_TR!$BA$24)</f>
        <v>0</v>
      </c>
    </row>
    <row r="25" spans="3:35" x14ac:dyDescent="0.45">
      <c r="C25" t="str">
        <v>Rack</v>
      </c>
      <c r="D25" t="str">
        <v>Rack 2 postes 45RU aluminio, canal 3", rosca #12-24</v>
      </c>
      <c r="E25" t="str">
        <v>Panduit</v>
      </c>
      <c r="F25" t="str">
        <v>R2P</v>
      </c>
      <c r="G25">
        <v>1</v>
      </c>
      <c r="H25" t="str">
        <v/>
      </c>
      <c r="I25" t="str">
        <v/>
      </c>
      <c r="J25" t="str">
        <v/>
      </c>
      <c r="K25" t="str">
        <v/>
      </c>
      <c r="AA25" t="str">
        <f>Proyecto!$C25&amp;""</f>
        <v>R</v>
      </c>
      <c r="AB25" t="str">
        <f>Proyecto!$D25&amp;""</f>
        <v>GRMS</v>
      </c>
      <c r="AC25">
        <f>SUM(INICIO_TR:FIN_TR!$AQ$25)</f>
        <v>0</v>
      </c>
      <c r="AE25" t="str">
        <f>Catalogo!$B25&amp;""</f>
        <v>Patch panel cobre</v>
      </c>
      <c r="AF25" t="str">
        <f>Catalogo!$C25&amp;""</f>
        <v>Patch panel alta densidad angulado 48 puertos 1RU</v>
      </c>
      <c r="AG25" t="str">
        <f>Catalogo!$D25&amp;""</f>
        <v>Panduit</v>
      </c>
      <c r="AH25" t="str">
        <f>Catalogo!$E25&amp;""</f>
        <v>CPPA48HDWBLY</v>
      </c>
      <c r="AI25">
        <f>SUM(INICIO_TR:FIN_TR!$BA$25)</f>
        <v>0</v>
      </c>
    </row>
    <row r="26" spans="3:35" x14ac:dyDescent="0.45">
      <c r="C26" t="str">
        <v>Organizador vertical</v>
      </c>
      <c r="D26" t="str">
        <v>Org. vertical 6" frontal/posterior (PatchRunner 2)</v>
      </c>
      <c r="E26" t="str">
        <v>Panduit</v>
      </c>
      <c r="F26" t="str">
        <v>PR2VD06</v>
      </c>
      <c r="G26">
        <v>2</v>
      </c>
      <c r="H26" t="str">
        <v/>
      </c>
      <c r="I26" t="str">
        <v/>
      </c>
      <c r="J26" t="str">
        <v/>
      </c>
      <c r="K26" t="str">
        <v/>
      </c>
      <c r="AA26" t="str">
        <f>Proyecto!$C26&amp;""</f>
        <v/>
      </c>
      <c r="AB26" t="str">
        <f>Proyecto!$D26&amp;""</f>
        <v/>
      </c>
      <c r="AC26">
        <f>SUM(INICIO_TR:FIN_TR!$AQ$26)</f>
        <v>0</v>
      </c>
      <c r="AE26" t="str">
        <f>Catalogo!$B26&amp;""</f>
        <v>Organizador horizontal</v>
      </c>
      <c r="AF26" t="str">
        <f>Catalogo!$C26&amp;""</f>
        <v>Org. horizontal 1RU frontal</v>
      </c>
      <c r="AG26" t="str">
        <f>Catalogo!$D26&amp;""</f>
        <v>Panduit</v>
      </c>
      <c r="AH26" t="str">
        <f>Catalogo!$E26&amp;""</f>
        <v>NMF1</v>
      </c>
      <c r="AI26">
        <f>SUM(INICIO_TR:FIN_TR!$BA$26)</f>
        <v>0</v>
      </c>
    </row>
    <row r="27" spans="3:35" x14ac:dyDescent="0.45">
      <c r="C27" t="str">
        <v>Patch panel cobre</v>
      </c>
      <c r="D27" t="str">
        <v>Patch panel plano 48 puertos 2RU</v>
      </c>
      <c r="E27" t="str">
        <v>Panduit</v>
      </c>
      <c r="F27" t="str">
        <v>CPP48FMWBLY</v>
      </c>
      <c r="G27">
        <v>1</v>
      </c>
      <c r="H27" t="str">
        <v/>
      </c>
      <c r="I27" t="str">
        <v/>
      </c>
      <c r="J27" t="str">
        <v/>
      </c>
      <c r="K27" t="str">
        <v/>
      </c>
      <c r="AA27" t="str">
        <f>Proyecto!$C27&amp;""</f>
        <v>-</v>
      </c>
      <c r="AB27" t="str">
        <f>Proyecto!$D27&amp;""</f>
        <v>Puerto sin salida (anula el tipo del panel)</v>
      </c>
      <c r="AC27">
        <f>SUM(INICIO_TR:FIN_TR!$AQ$27)</f>
        <v>0</v>
      </c>
      <c r="AE27" t="str">
        <f>Catalogo!$B27&amp;""</f>
        <v>Organizador horizontal</v>
      </c>
      <c r="AF27" t="str">
        <f>Catalogo!$C27&amp;""</f>
        <v>Org. horizontal 1RU frontal/posterior</v>
      </c>
      <c r="AG27" t="str">
        <f>Catalogo!$D27&amp;""</f>
        <v>Panduit</v>
      </c>
      <c r="AH27" t="str">
        <f>Catalogo!$E27&amp;""</f>
        <v>NM1</v>
      </c>
      <c r="AI27">
        <f>SUM(INICIO_TR:FIN_TR!$BA$27)</f>
        <v>0</v>
      </c>
    </row>
    <row r="28" spans="3:35" x14ac:dyDescent="0.45">
      <c r="C28" t="str">
        <v>Jack</v>
      </c>
      <c r="D28" t="str">
        <v>Jack Cat 6A UTP azul (Mini-Com TX6A)</v>
      </c>
      <c r="E28" t="str">
        <v>Panduit</v>
      </c>
      <c r="F28" t="str">
        <v>CJ6X88TGBU</v>
      </c>
      <c r="G28">
        <v>2</v>
      </c>
      <c r="H28" t="str">
        <v/>
      </c>
      <c r="I28" t="str">
        <v/>
      </c>
      <c r="J28" t="str">
        <v/>
      </c>
      <c r="K28" t="str">
        <v/>
      </c>
      <c r="AE28" t="str">
        <f>Catalogo!$B28&amp;""</f>
        <v>Organizador horizontal</v>
      </c>
      <c r="AF28" t="str">
        <f>Catalogo!$C28&amp;""</f>
        <v>Org. horizontal 2RU frontal</v>
      </c>
      <c r="AG28" t="str">
        <f>Catalogo!$D28&amp;""</f>
        <v>Panduit</v>
      </c>
      <c r="AH28" t="str">
        <f>Catalogo!$E28&amp;""</f>
        <v>NMF2</v>
      </c>
      <c r="AI28">
        <f>SUM(INICIO_TR:FIN_TR!$BA$28)</f>
        <v>0</v>
      </c>
    </row>
    <row r="29" spans="3:35" x14ac:dyDescent="0.45">
      <c r="AE29" t="str">
        <f>Catalogo!$B29&amp;""</f>
        <v>Organizador horizontal</v>
      </c>
      <c r="AF29" t="str">
        <f>Catalogo!$C29&amp;""</f>
        <v>Org. horizontal 2RU frontal/posterior</v>
      </c>
      <c r="AG29" t="str">
        <f>Catalogo!$D29&amp;""</f>
        <v>Panduit</v>
      </c>
      <c r="AH29" t="str">
        <f>Catalogo!$E29&amp;""</f>
        <v>NM2</v>
      </c>
      <c r="AI29">
        <f>SUM(INICIO_TR:FIN_TR!$BA$29)</f>
        <v>0</v>
      </c>
    </row>
    <row r="30" spans="3:35" x14ac:dyDescent="0.45">
      <c r="AE30" t="str">
        <f>Catalogo!$B30&amp;""</f>
        <v>Organizador horizontal</v>
      </c>
      <c r="AF30" t="str">
        <f>Catalogo!$C30&amp;""</f>
        <v>Org. horizontal 1RU frontal (NetRunner)</v>
      </c>
      <c r="AG30" t="str">
        <f>Catalogo!$D30&amp;""</f>
        <v>Panduit</v>
      </c>
      <c r="AH30" t="str">
        <f>Catalogo!$E30&amp;""</f>
        <v>WMPFSE</v>
      </c>
      <c r="AI30">
        <f>SUM(INICIO_TR:FIN_TR!$BA$30)</f>
        <v>0</v>
      </c>
    </row>
    <row r="31" spans="3:35" x14ac:dyDescent="0.45">
      <c r="AE31" t="str">
        <f>Catalogo!$B31&amp;""</f>
        <v>Organizador horizontal</v>
      </c>
      <c r="AF31" t="str">
        <f>Catalogo!$C31&amp;""</f>
        <v>Org. horizontal 2RU frontal (NetRunner)</v>
      </c>
      <c r="AG31" t="str">
        <f>Catalogo!$D31&amp;""</f>
        <v>Panduit</v>
      </c>
      <c r="AH31" t="str">
        <f>Catalogo!$E31&amp;""</f>
        <v>WMPF1E</v>
      </c>
      <c r="AI31">
        <f>SUM(INICIO_TR:FIN_TR!$BA$31)</f>
        <v>0</v>
      </c>
    </row>
    <row r="32" spans="3:35" x14ac:dyDescent="0.45">
      <c r="AE32" t="str">
        <f>Catalogo!$B32&amp;""</f>
        <v>Organizador horizontal</v>
      </c>
      <c r="AF32" t="str">
        <f>Catalogo!$C32&amp;""</f>
        <v>Org. horizontal 1RU frontal/posterior (NetRunner)</v>
      </c>
      <c r="AG32" t="str">
        <f>Catalogo!$D32&amp;""</f>
        <v>Panduit</v>
      </c>
      <c r="AH32" t="str">
        <f>Catalogo!$E32&amp;""</f>
        <v>WMPSE</v>
      </c>
      <c r="AI32">
        <f>SUM(INICIO_TR:FIN_TR!$BA$32)</f>
        <v>0</v>
      </c>
    </row>
    <row r="33" spans="31:35" x14ac:dyDescent="0.45">
      <c r="AE33" t="str">
        <f>Catalogo!$B33&amp;""</f>
        <v>Organizador horizontal</v>
      </c>
      <c r="AF33" t="str">
        <f>Catalogo!$C33&amp;""</f>
        <v>Org. horizontal 2RU frontal/posterior (NetRunner)</v>
      </c>
      <c r="AG33" t="str">
        <f>Catalogo!$D33&amp;""</f>
        <v>Panduit</v>
      </c>
      <c r="AH33" t="str">
        <f>Catalogo!$E33&amp;""</f>
        <v>WMP1E</v>
      </c>
      <c r="AI33">
        <f>SUM(INICIO_TR:FIN_TR!$BA$33)</f>
        <v>0</v>
      </c>
    </row>
    <row r="34" spans="31:35" x14ac:dyDescent="0.45">
      <c r="AE34" t="str">
        <f>Catalogo!$B34&amp;""</f>
        <v>Fibra</v>
      </c>
      <c r="AF34" t="str">
        <f>Catalogo!$C34&amp;""</f>
        <v>Bandeja de fibra 1RU (4 cassettes/FAP, 96 fibras)</v>
      </c>
      <c r="AG34" t="str">
        <f>Catalogo!$D34&amp;""</f>
        <v>Panduit</v>
      </c>
      <c r="AH34" t="str">
        <f>Catalogo!$E34&amp;""</f>
        <v>FCE1U</v>
      </c>
      <c r="AI34">
        <f>SUM(INICIO_TR:FIN_TR!$BA$34)</f>
        <v>0</v>
      </c>
    </row>
    <row r="35" spans="31:35" x14ac:dyDescent="0.45">
      <c r="AE35" t="str">
        <f>Catalogo!$B35&amp;""</f>
        <v>Fibra</v>
      </c>
      <c r="AF35" t="str">
        <f>Catalogo!$C35&amp;""</f>
        <v>Bandeja de fibra 2RU (8 cassettes/FAP, 192 fibras)</v>
      </c>
      <c r="AG35" t="str">
        <f>Catalogo!$D35&amp;""</f>
        <v>Panduit</v>
      </c>
      <c r="AH35" t="str">
        <f>Catalogo!$E35&amp;""</f>
        <v>FCE2U</v>
      </c>
      <c r="AI35">
        <f>SUM(INICIO_TR:FIN_TR!$BA$35)</f>
        <v>0</v>
      </c>
    </row>
    <row r="36" spans="31:35" x14ac:dyDescent="0.45">
      <c r="AE36" t="str">
        <f>Catalogo!$B36&amp;""</f>
        <v>Fibra</v>
      </c>
      <c r="AF36" t="str">
        <f>Catalogo!$C36&amp;""</f>
        <v>Bandeja de fibra 4RU (12 cassettes/FAP, 288 fibras)</v>
      </c>
      <c r="AG36" t="str">
        <f>Catalogo!$D36&amp;""</f>
        <v>Panduit</v>
      </c>
      <c r="AH36" t="str">
        <f>Catalogo!$E36&amp;""</f>
        <v>FCE4U</v>
      </c>
      <c r="AI36">
        <f>SUM(INICIO_TR:FIN_TR!$BA$36)</f>
        <v>0</v>
      </c>
    </row>
    <row r="37" spans="31:35" x14ac:dyDescent="0.45">
      <c r="AE37" t="str">
        <f>Catalogo!$B37&amp;""</f>
        <v>Switch</v>
      </c>
      <c r="AF37" t="str">
        <f>Catalogo!$C37&amp;""</f>
        <v>Switch Cisco 24p 1G (C9200L-24T-4G)</v>
      </c>
      <c r="AG37" t="str">
        <f>Catalogo!$D37&amp;""</f>
        <v>Cisco</v>
      </c>
      <c r="AH37" t="str">
        <f>Catalogo!$E37&amp;""</f>
        <v>C9200L-24T-4G</v>
      </c>
      <c r="AI37">
        <f>SUM(INICIO_TR:FIN_TR!$BA$37)</f>
        <v>0</v>
      </c>
    </row>
    <row r="38" spans="31:35" x14ac:dyDescent="0.45">
      <c r="AE38" t="str">
        <f>Catalogo!$B38&amp;""</f>
        <v>Switch</v>
      </c>
      <c r="AF38" t="str">
        <f>Catalogo!$C38&amp;""</f>
        <v>Switch Cisco 24p 1G PoE+ (C9200L-24P-4G)</v>
      </c>
      <c r="AG38" t="str">
        <f>Catalogo!$D38&amp;""</f>
        <v>Cisco</v>
      </c>
      <c r="AH38" t="str">
        <f>Catalogo!$E38&amp;""</f>
        <v>C9200L-24P-4G</v>
      </c>
      <c r="AI38">
        <f>SUM(INICIO_TR:FIN_TR!$BA$38)</f>
        <v>0</v>
      </c>
    </row>
    <row r="39" spans="31:35" x14ac:dyDescent="0.45">
      <c r="AE39" t="str">
        <f>Catalogo!$B39&amp;""</f>
        <v>Switch</v>
      </c>
      <c r="AF39" t="str">
        <f>Catalogo!$C39&amp;""</f>
        <v>Switch Cisco 48p 1G (C9200L-48T-4G)</v>
      </c>
      <c r="AG39" t="str">
        <f>Catalogo!$D39&amp;""</f>
        <v>Cisco</v>
      </c>
      <c r="AH39" t="str">
        <f>Catalogo!$E39&amp;""</f>
        <v>C9200L-48T-4G</v>
      </c>
      <c r="AI39">
        <f>SUM(INICIO_TR:FIN_TR!$BA$39)</f>
        <v>0</v>
      </c>
    </row>
    <row r="40" spans="31:35" x14ac:dyDescent="0.45">
      <c r="AE40" t="str">
        <f>Catalogo!$B40&amp;""</f>
        <v>Switch</v>
      </c>
      <c r="AF40" t="str">
        <f>Catalogo!$C40&amp;""</f>
        <v>Switch Cisco 48p 1G PoE+ (C9200L-48P-4G)</v>
      </c>
      <c r="AG40" t="str">
        <f>Catalogo!$D40&amp;""</f>
        <v>Cisco</v>
      </c>
      <c r="AH40" t="str">
        <f>Catalogo!$E40&amp;""</f>
        <v>C9200L-48P-4G</v>
      </c>
      <c r="AI40">
        <f>SUM(INICIO_TR:FIN_TR!$BA$40)</f>
        <v>0</v>
      </c>
    </row>
    <row r="41" spans="31:35" x14ac:dyDescent="0.45">
      <c r="AE41" t="str">
        <f>Catalogo!$B41&amp;""</f>
        <v>Switch</v>
      </c>
      <c r="AF41" t="str">
        <f>Catalogo!$C41&amp;""</f>
        <v>Switch Cisco 24p PoE+ 10G uplink (C9200L-24P-4X)</v>
      </c>
      <c r="AG41" t="str">
        <f>Catalogo!$D41&amp;""</f>
        <v>Cisco</v>
      </c>
      <c r="AH41" t="str">
        <f>Catalogo!$E41&amp;""</f>
        <v>C9200L-24P-4X</v>
      </c>
      <c r="AI41">
        <f>SUM(INICIO_TR:FIN_TR!$BA$41)</f>
        <v>0</v>
      </c>
    </row>
    <row r="42" spans="31:35" x14ac:dyDescent="0.45">
      <c r="AE42" t="str">
        <f>Catalogo!$B42&amp;""</f>
        <v>Switch</v>
      </c>
      <c r="AF42" t="str">
        <f>Catalogo!$C42&amp;""</f>
        <v>Switch Cisco 48p PoE+ 10G uplink (C9200L-48P-4X)</v>
      </c>
      <c r="AG42" t="str">
        <f>Catalogo!$D42&amp;""</f>
        <v>Cisco</v>
      </c>
      <c r="AH42" t="str">
        <f>Catalogo!$E42&amp;""</f>
        <v>C9200L-48P-4X</v>
      </c>
      <c r="AI42">
        <f>SUM(INICIO_TR:FIN_TR!$BA$42)</f>
        <v>0</v>
      </c>
    </row>
    <row r="43" spans="31:35" x14ac:dyDescent="0.45">
      <c r="AE43" t="str">
        <f>Catalogo!$B43&amp;""</f>
        <v>Switch</v>
      </c>
      <c r="AF43" t="str">
        <f>Catalogo!$C43&amp;""</f>
        <v>Switch Cisco 48p PoE+ mGig (C9200L-48PXG-4X)</v>
      </c>
      <c r="AG43" t="str">
        <f>Catalogo!$D43&amp;""</f>
        <v>Cisco</v>
      </c>
      <c r="AH43" t="str">
        <f>Catalogo!$E43&amp;""</f>
        <v>C9200L-48PXG-4X</v>
      </c>
      <c r="AI43">
        <f>SUM(INICIO_TR:FIN_TR!$BA$43)</f>
        <v>0</v>
      </c>
    </row>
    <row r="44" spans="31:35" x14ac:dyDescent="0.45">
      <c r="AE44" t="str">
        <f>Catalogo!$B44&amp;""</f>
        <v>CCTV</v>
      </c>
      <c r="AF44" t="str">
        <f>Catalogo!$C44&amp;""</f>
        <v>Grabador AXIS S1224 Rack 1U (12 TB, 32 cámaras)</v>
      </c>
      <c r="AG44" t="str">
        <f>Catalogo!$D44&amp;""</f>
        <v>Axis</v>
      </c>
      <c r="AH44" t="str">
        <f>Catalogo!$E44&amp;""</f>
        <v>AXIS S1224 Rack</v>
      </c>
      <c r="AI44">
        <f>SUM(INICIO_TR:FIN_TR!$BA$44)</f>
        <v>0</v>
      </c>
    </row>
    <row r="45" spans="31:35" x14ac:dyDescent="0.45">
      <c r="AE45" t="str">
        <f>Catalogo!$B45&amp;""</f>
        <v>CCTV</v>
      </c>
      <c r="AF45" t="str">
        <f>Catalogo!$C45&amp;""</f>
        <v>Grabador AXIS S1232 Rack 1U (16 TB, 64 cámaras)</v>
      </c>
      <c r="AG45" t="str">
        <f>Catalogo!$D45&amp;""</f>
        <v>Axis</v>
      </c>
      <c r="AH45" t="str">
        <f>Catalogo!$E45&amp;""</f>
        <v>AXIS S1232 Rack</v>
      </c>
      <c r="AI45">
        <f>SUM(INICIO_TR:FIN_TR!$BA$45)</f>
        <v>0</v>
      </c>
    </row>
    <row r="46" spans="31:35" x14ac:dyDescent="0.45">
      <c r="AE46" t="str">
        <f>Catalogo!$B46&amp;""</f>
        <v>CCTV</v>
      </c>
      <c r="AF46" t="str">
        <f>Catalogo!$C46&amp;""</f>
        <v>Grabador AXIS S1264 Rack 2U (24 TB, 96 cámaras)</v>
      </c>
      <c r="AG46" t="str">
        <f>Catalogo!$D46&amp;""</f>
        <v>Axis</v>
      </c>
      <c r="AH46" t="str">
        <f>Catalogo!$E46&amp;""</f>
        <v>AXIS S1264 Rack</v>
      </c>
      <c r="AI46">
        <f>SUM(INICIO_TR:FIN_TR!$BA$46)</f>
        <v>0</v>
      </c>
    </row>
    <row r="47" spans="31:35" x14ac:dyDescent="0.45">
      <c r="AE47" t="str">
        <f>Catalogo!$B47&amp;""</f>
        <v>CCTV</v>
      </c>
      <c r="AF47" t="str">
        <f>Catalogo!$C47&amp;""</f>
        <v>Grabador AXIS S1296 Rack 2U (96 TB, 150 cámaras)</v>
      </c>
      <c r="AG47" t="str">
        <f>Catalogo!$D47&amp;""</f>
        <v>Axis</v>
      </c>
      <c r="AH47" t="str">
        <f>Catalogo!$E47&amp;""</f>
        <v>AXIS S1296 Rack</v>
      </c>
      <c r="AI47">
        <f>SUM(INICIO_TR:FIN_TR!$BA$47)</f>
        <v>0</v>
      </c>
    </row>
    <row r="48" spans="31:35" x14ac:dyDescent="0.45">
      <c r="AE48" t="str">
        <f>Catalogo!$B48&amp;""</f>
        <v>Control de acceso</v>
      </c>
      <c r="AF48" t="str">
        <f>Catalogo!$C48&amp;""</f>
        <v>iSTAR Ultra GCM en gabinete rack 2U</v>
      </c>
      <c r="AG48" t="str">
        <f>Catalogo!$D48&amp;""</f>
        <v>Software House</v>
      </c>
      <c r="AH48" t="str">
        <f>Catalogo!$E48&amp;""</f>
        <v>USTAR-GCM-2U</v>
      </c>
      <c r="AI48">
        <f>SUM(INICIO_TR:FIN_TR!$BA$48)</f>
        <v>0</v>
      </c>
    </row>
    <row r="49" spans="31:35" x14ac:dyDescent="0.45">
      <c r="AE49" t="str">
        <f>Catalogo!$B49&amp;""</f>
        <v>Control de acceso</v>
      </c>
      <c r="AF49" t="str">
        <f>Catalogo!$C49&amp;""</f>
        <v>iSTAR Ultra ACM 8 lectoras en gabinete rack 4U</v>
      </c>
      <c r="AG49" t="str">
        <f>Catalogo!$D49&amp;""</f>
        <v>Software House</v>
      </c>
      <c r="AH49" t="str">
        <f>Catalogo!$E49&amp;""</f>
        <v>USTAR-ACM-4U</v>
      </c>
      <c r="AI49">
        <f>SUM(INICIO_TR:FIN_TR!$BA$49)</f>
        <v>0</v>
      </c>
    </row>
    <row r="50" spans="31:35" x14ac:dyDescent="0.45">
      <c r="AE50" t="str">
        <f>Catalogo!$B50&amp;""</f>
        <v>Control de acceso</v>
      </c>
      <c r="AF50" t="str">
        <f>Catalogo!$C50&amp;""</f>
        <v>Controlador iSTAR Ultra 8 lectoras (pared)</v>
      </c>
      <c r="AG50" t="str">
        <f>Catalogo!$D50&amp;""</f>
        <v>Software House</v>
      </c>
      <c r="AH50" t="str">
        <f>Catalogo!$E50&amp;""</f>
        <v>USTAR008</v>
      </c>
      <c r="AI50">
        <f>SUM(INICIO_TR:FIN_TR!$BA$50)</f>
        <v>0</v>
      </c>
    </row>
    <row r="51" spans="31:35" x14ac:dyDescent="0.45">
      <c r="AE51" t="str">
        <f>Catalogo!$B51&amp;""</f>
        <v>Control de acceso</v>
      </c>
      <c r="AF51" t="str">
        <f>Catalogo!$C51&amp;""</f>
        <v>Controlador iSTAR Ultra 16 lectoras (pared)</v>
      </c>
      <c r="AG51" t="str">
        <f>Catalogo!$D51&amp;""</f>
        <v>Software House</v>
      </c>
      <c r="AH51" t="str">
        <f>Catalogo!$E51&amp;""</f>
        <v>USTAR016</v>
      </c>
      <c r="AI51">
        <f>SUM(INICIO_TR:FIN_TR!$BA$51)</f>
        <v>0</v>
      </c>
    </row>
    <row r="52" spans="31:35" x14ac:dyDescent="0.45">
      <c r="AE52" t="str">
        <f>Catalogo!$B52&amp;""</f>
        <v>Control de acceso</v>
      </c>
      <c r="AF52" t="str">
        <f>Catalogo!$C52&amp;""</f>
        <v>Controlador Kantech KT-400 4 puertas (pared)</v>
      </c>
      <c r="AG52" t="str">
        <f>Catalogo!$D52&amp;""</f>
        <v>Kantech</v>
      </c>
      <c r="AH52" t="str">
        <f>Catalogo!$E52&amp;""</f>
        <v>KT-400</v>
      </c>
      <c r="AI52">
        <f>SUM(INICIO_TR:FIN_TR!$BA$52)</f>
        <v>0</v>
      </c>
    </row>
    <row r="53" spans="31:35" x14ac:dyDescent="0.45">
      <c r="AE53" t="str">
        <f>Catalogo!$B53&amp;""</f>
        <v>Rack de pared</v>
      </c>
      <c r="AF53" t="str">
        <f>Catalogo!$C53&amp;""</f>
        <v>Soporte de pared abatible 1RU</v>
      </c>
      <c r="AG53" t="str">
        <f>Catalogo!$D53&amp;""</f>
        <v>Panduit</v>
      </c>
      <c r="AH53" t="str">
        <f>Catalogo!$E53&amp;""</f>
        <v>WBH1</v>
      </c>
      <c r="AI53">
        <f>SUM(INICIO_TR:FIN_TR!$BA$53)</f>
        <v>0</v>
      </c>
    </row>
    <row r="54" spans="31:35" x14ac:dyDescent="0.45">
      <c r="AE54" t="str">
        <f>Catalogo!$B54&amp;""</f>
        <v>Rack de pared</v>
      </c>
      <c r="AF54" t="str">
        <f>Catalogo!$C54&amp;""</f>
        <v>Soporte de pared abatible 2RU</v>
      </c>
      <c r="AG54" t="str">
        <f>Catalogo!$D54&amp;""</f>
        <v>Panduit</v>
      </c>
      <c r="AH54" t="str">
        <f>Catalogo!$E54&amp;""</f>
        <v>WBH2</v>
      </c>
      <c r="AI54">
        <f>SUM(INICIO_TR:FIN_TR!$BA$54)</f>
        <v>0</v>
      </c>
    </row>
    <row r="55" spans="31:35" x14ac:dyDescent="0.45">
      <c r="AE55" t="str">
        <f>Catalogo!$B55&amp;""</f>
        <v>Rack de pared</v>
      </c>
      <c r="AF55" t="str">
        <f>Catalogo!$C55&amp;""</f>
        <v>Soporte de pared abatible 3RU</v>
      </c>
      <c r="AG55" t="str">
        <f>Catalogo!$D55&amp;""</f>
        <v>Panduit</v>
      </c>
      <c r="AH55" t="str">
        <f>Catalogo!$E55&amp;""</f>
        <v>WBH3</v>
      </c>
      <c r="AI55">
        <f>SUM(INICIO_TR:FIN_TR!$BA$55)</f>
        <v>0</v>
      </c>
    </row>
    <row r="56" spans="31:35" x14ac:dyDescent="0.45">
      <c r="AE56" t="str">
        <f>Catalogo!$B56&amp;""</f>
        <v>Rack de pared</v>
      </c>
      <c r="AF56" t="str">
        <f>Catalogo!$C56&amp;""</f>
        <v>Soporte de pared abatible 4RU</v>
      </c>
      <c r="AG56" t="str">
        <f>Catalogo!$D56&amp;""</f>
        <v>Panduit</v>
      </c>
      <c r="AH56" t="str">
        <f>Catalogo!$E56&amp;""</f>
        <v>WBH4</v>
      </c>
      <c r="AI56">
        <f>SUM(INICIO_TR:FIN_TR!$BA$56)</f>
        <v>0</v>
      </c>
    </row>
    <row r="57" spans="31:35" x14ac:dyDescent="0.45">
      <c r="AE57" t="str">
        <f>Catalogo!$B57&amp;""</f>
        <v>Rack de pared</v>
      </c>
      <c r="AF57" t="str">
        <f>Catalogo!$C57&amp;""</f>
        <v>Soporte de pared abatible 4RU profundo</v>
      </c>
      <c r="AG57" t="str">
        <f>Catalogo!$D57&amp;""</f>
        <v>Panduit</v>
      </c>
      <c r="AH57" t="str">
        <f>Catalogo!$E57&amp;""</f>
        <v>WBH4E</v>
      </c>
      <c r="AI57">
        <f>SUM(INICIO_TR:FIN_TR!$BA$57)</f>
        <v>0</v>
      </c>
    </row>
    <row r="58" spans="31:35" x14ac:dyDescent="0.45">
      <c r="AE58" t="str">
        <f>Catalogo!$B58&amp;""</f>
        <v>Rack de pared</v>
      </c>
      <c r="AF58" t="str">
        <f>Catalogo!$C58&amp;""</f>
        <v>Soporte de pared abatible 6RU profundo</v>
      </c>
      <c r="AG58" t="str">
        <f>Catalogo!$D58&amp;""</f>
        <v>Panduit</v>
      </c>
      <c r="AH58" t="str">
        <f>Catalogo!$E58&amp;""</f>
        <v>WBH6E</v>
      </c>
      <c r="AI58">
        <f>SUM(INICIO_TR:FIN_TR!$BA$58)</f>
        <v>0</v>
      </c>
    </row>
    <row r="59" spans="31:35" x14ac:dyDescent="0.45">
      <c r="AE59" t="str">
        <f>Catalogo!$B59&amp;""</f>
        <v>Gabinete de pared</v>
      </c>
      <c r="AF59" t="str">
        <f>Catalogo!$C59&amp;""</f>
        <v>Gabinete de pared PanZone 9RU, 25" prof., puerta con ventana</v>
      </c>
      <c r="AG59" t="str">
        <f>Catalogo!$D59&amp;""</f>
        <v>Panduit</v>
      </c>
      <c r="AH59" t="str">
        <f>Catalogo!$E59&amp;""</f>
        <v>PZWMC9W</v>
      </c>
      <c r="AI59">
        <f>SUM(INICIO_TR:FIN_TR!$BA$59)</f>
        <v>0</v>
      </c>
    </row>
    <row r="60" spans="31:35" x14ac:dyDescent="0.45">
      <c r="AE60" t="str">
        <f>Catalogo!$B60&amp;""</f>
        <v>Gabinete de pared</v>
      </c>
      <c r="AF60" t="str">
        <f>Catalogo!$C60&amp;""</f>
        <v>Gabinete de pared PanZone 12RU, 25" prof., puerta con ventana</v>
      </c>
      <c r="AG60" t="str">
        <f>Catalogo!$D60&amp;""</f>
        <v>Panduit</v>
      </c>
      <c r="AH60" t="str">
        <f>Catalogo!$E60&amp;""</f>
        <v>PZWMC12W</v>
      </c>
      <c r="AI60">
        <f>SUM(INICIO_TR:FIN_TR!$BA$60)</f>
        <v>0</v>
      </c>
    </row>
    <row r="61" spans="31:35" x14ac:dyDescent="0.45">
      <c r="AE61" t="str">
        <f>Catalogo!$B61&amp;""</f>
        <v>Gabinete de pared</v>
      </c>
      <c r="AF61" t="str">
        <f>Catalogo!$C61&amp;""</f>
        <v>Gabinete de pared PanZone 12RU, 25" prof., puerta perforada</v>
      </c>
      <c r="AG61" t="str">
        <f>Catalogo!$D61&amp;""</f>
        <v>Panduit</v>
      </c>
      <c r="AH61" t="str">
        <f>Catalogo!$E61&amp;""</f>
        <v>PZWMC12P</v>
      </c>
      <c r="AI61">
        <f>SUM(INICIO_TR:FIN_TR!$BA$61)</f>
        <v>0</v>
      </c>
    </row>
    <row r="62" spans="31:35" x14ac:dyDescent="0.45">
      <c r="AE62" t="str">
        <f>Catalogo!$B62&amp;""</f>
        <v>Gabinete de pared</v>
      </c>
      <c r="AF62" t="str">
        <f>Catalogo!$C62&amp;""</f>
        <v>Gabinete de pared PanZone 12RU, 30" prof., puerta con ventana</v>
      </c>
      <c r="AG62" t="str">
        <f>Catalogo!$D62&amp;""</f>
        <v>Panduit</v>
      </c>
      <c r="AH62" t="str">
        <f>Catalogo!$E62&amp;""</f>
        <v>PZWMC1230W</v>
      </c>
      <c r="AI62">
        <f>SUM(INICIO_TR:FIN_TR!$BA$62)</f>
        <v>0</v>
      </c>
    </row>
    <row r="63" spans="31:35" x14ac:dyDescent="0.45">
      <c r="AE63" t="str">
        <f>Catalogo!$B63&amp;""</f>
        <v>Gabinete de pared</v>
      </c>
      <c r="AF63" t="str">
        <f>Catalogo!$C63&amp;""</f>
        <v>Gabinete de pared PanZone 18RU, 25" prof., puerta con ventana</v>
      </c>
      <c r="AG63" t="str">
        <f>Catalogo!$D63&amp;""</f>
        <v>Panduit</v>
      </c>
      <c r="AH63" t="str">
        <f>Catalogo!$E63&amp;""</f>
        <v>PZWMC18W</v>
      </c>
      <c r="AI63">
        <f>SUM(INICIO_TR:FIN_TR!$BA$63)</f>
        <v>0</v>
      </c>
    </row>
    <row r="64" spans="31:35" x14ac:dyDescent="0.45">
      <c r="AE64" t="str">
        <f>Catalogo!$B64&amp;""</f>
        <v>Gabinete de pared</v>
      </c>
      <c r="AF64" t="str">
        <f>Catalogo!$C64&amp;""</f>
        <v>Gabinete de pared PanZone 18RU, 30" prof., puerta con ventana</v>
      </c>
      <c r="AG64" t="str">
        <f>Catalogo!$D64&amp;""</f>
        <v>Panduit</v>
      </c>
      <c r="AH64" t="str">
        <f>Catalogo!$E64&amp;""</f>
        <v>PZWMC1830W</v>
      </c>
      <c r="AI64">
        <f>SUM(INICIO_TR:FIN_TR!$BA$64)</f>
        <v>0</v>
      </c>
    </row>
    <row r="65" spans="31:35" x14ac:dyDescent="0.45">
      <c r="AE65" t="str">
        <f>Catalogo!$B65&amp;""</f>
        <v>Gabinete de pared</v>
      </c>
      <c r="AF65" t="str">
        <f>Catalogo!$C65&amp;""</f>
        <v>Gabinete de pared PanZone 26RU, 25" prof., puerta con ventana</v>
      </c>
      <c r="AG65" t="str">
        <f>Catalogo!$D65&amp;""</f>
        <v>Panduit</v>
      </c>
      <c r="AH65" t="str">
        <f>Catalogo!$E65&amp;""</f>
        <v>PZWMC26W</v>
      </c>
      <c r="AI65">
        <f>SUM(INICIO_TR:FIN_TR!$BA$65)</f>
        <v>0</v>
      </c>
    </row>
    <row r="66" spans="31:35" x14ac:dyDescent="0.45">
      <c r="AE66" t="str">
        <f>Catalogo!$B66&amp;""</f>
        <v>Gabinete de pared</v>
      </c>
      <c r="AF66" t="str">
        <f>Catalogo!$C66&amp;""</f>
        <v>Gabinete de pared PanZone 26RU, 30" prof., puerta con ventana</v>
      </c>
      <c r="AG66" t="str">
        <f>Catalogo!$D66&amp;""</f>
        <v>Panduit</v>
      </c>
      <c r="AH66" t="str">
        <f>Catalogo!$E66&amp;""</f>
        <v>PZWMC2630W</v>
      </c>
      <c r="AI66">
        <f>SUM(INICIO_TR:FIN_TR!$BA$66)</f>
        <v>0</v>
      </c>
    </row>
    <row r="67" spans="31:35" x14ac:dyDescent="0.45">
      <c r="AE67" t="str">
        <f>Catalogo!$B67&amp;""</f>
        <v>Fuente de poder</v>
      </c>
      <c r="AF67" t="str">
        <f>Catalogo!$C67&amp;""</f>
        <v>Fuente control de acceso rack 2U, 8 salidas, 12 V 4 A / 24 V 3 A</v>
      </c>
      <c r="AG67" t="str">
        <f>Catalogo!$D67&amp;""</f>
        <v>Altronix</v>
      </c>
      <c r="AH67" t="str">
        <f>Catalogo!$E67&amp;""</f>
        <v>Maximal1RH</v>
      </c>
      <c r="AI67">
        <f>SUM(INICIO_TR:FIN_TR!$BA$67)</f>
        <v>0</v>
      </c>
    </row>
    <row r="68" spans="31:35" x14ac:dyDescent="0.45">
      <c r="AE68" t="str">
        <f>Catalogo!$B68&amp;""</f>
        <v>Fuente de poder</v>
      </c>
      <c r="AF68" t="str">
        <f>Catalogo!$C68&amp;""</f>
        <v>Fuente control de acceso rack 2U, 16 salidas, 12 V 4 A / 24 V 3 A</v>
      </c>
      <c r="AG68" t="str">
        <f>Catalogo!$D68&amp;""</f>
        <v>Altronix</v>
      </c>
      <c r="AH68" t="str">
        <f>Catalogo!$E68&amp;""</f>
        <v>Maximal1R</v>
      </c>
      <c r="AI68">
        <f>SUM(INICIO_TR:FIN_TR!$BA$68)</f>
        <v>0</v>
      </c>
    </row>
    <row r="69" spans="31:35" x14ac:dyDescent="0.45">
      <c r="AE69" t="str">
        <f>Catalogo!$B69&amp;""</f>
        <v>Fuente de poder</v>
      </c>
      <c r="AF69" t="str">
        <f>Catalogo!$C69&amp;""</f>
        <v>Fuente control de acceso rack 2U, 8 salidas, 12/24 V 6 A</v>
      </c>
      <c r="AG69" t="str">
        <f>Catalogo!$D69&amp;""</f>
        <v>Altronix</v>
      </c>
      <c r="AH69" t="str">
        <f>Catalogo!$E69&amp;""</f>
        <v>Maximal3RH</v>
      </c>
      <c r="AI69">
        <f>SUM(INICIO_TR:FIN_TR!$BA$69)</f>
        <v>0</v>
      </c>
    </row>
    <row r="70" spans="31:35" x14ac:dyDescent="0.45">
      <c r="AE70" t="str">
        <f>Catalogo!$B70&amp;""</f>
        <v>Fuente de poder</v>
      </c>
      <c r="AF70" t="str">
        <f>Catalogo!$C70&amp;""</f>
        <v>Fuente control de acceso rack 2U, 16 salidas, 12/24 V 6 A</v>
      </c>
      <c r="AG70" t="str">
        <f>Catalogo!$D70&amp;""</f>
        <v>Altronix</v>
      </c>
      <c r="AH70" t="str">
        <f>Catalogo!$E70&amp;""</f>
        <v>Maximal3R</v>
      </c>
      <c r="AI70">
        <f>SUM(INICIO_TR:FIN_TR!$BA$70)</f>
        <v>0</v>
      </c>
    </row>
    <row r="71" spans="31:35" x14ac:dyDescent="0.45">
      <c r="AE71" t="str">
        <f>Catalogo!$B71&amp;""</f>
        <v>Fuente de poder</v>
      </c>
      <c r="AF71" t="str">
        <f>Catalogo!$C71&amp;""</f>
        <v>Fuente control de acceso rack 2U, 16 salidas, doble fuente 12/24 V 6 A</v>
      </c>
      <c r="AG71" t="str">
        <f>Catalogo!$D71&amp;""</f>
        <v>Altronix</v>
      </c>
      <c r="AH71" t="str">
        <f>Catalogo!$E71&amp;""</f>
        <v>Maximal33R</v>
      </c>
      <c r="AI71">
        <f>SUM(INICIO_TR:FIN_TR!$BA$71)</f>
        <v>0</v>
      </c>
    </row>
    <row r="72" spans="31:35" x14ac:dyDescent="0.45">
      <c r="AE72" t="str">
        <f>Catalogo!$B72&amp;""</f>
        <v>Audio</v>
      </c>
      <c r="AF72" t="str">
        <f>Catalogo!$C72&amp;""</f>
        <v>Amplificador Crown CDi DriveCore 2|300 (2 × 300 W)</v>
      </c>
      <c r="AG72" t="str">
        <f>Catalogo!$D72&amp;""</f>
        <v>Crown</v>
      </c>
      <c r="AH72" t="str">
        <f>Catalogo!$E72&amp;""</f>
        <v>CDi DriveCore 2|300</v>
      </c>
      <c r="AI72">
        <f>SUM(INICIO_TR:FIN_TR!$BA$72)</f>
        <v>0</v>
      </c>
    </row>
    <row r="73" spans="31:35" x14ac:dyDescent="0.45">
      <c r="AE73" t="str">
        <f>Catalogo!$B73&amp;""</f>
        <v>Audio</v>
      </c>
      <c r="AF73" t="str">
        <f>Catalogo!$C73&amp;""</f>
        <v>Amplificador Crown CDi DriveCore 4|300 (4 × 300 W)</v>
      </c>
      <c r="AG73" t="str">
        <f>Catalogo!$D73&amp;""</f>
        <v>Crown</v>
      </c>
      <c r="AH73" t="str">
        <f>Catalogo!$E73&amp;""</f>
        <v>CDi DriveCore 4|300</v>
      </c>
      <c r="AI73">
        <f>SUM(INICIO_TR:FIN_TR!$BA$73)</f>
        <v>0</v>
      </c>
    </row>
    <row r="74" spans="31:35" x14ac:dyDescent="0.45">
      <c r="AE74" t="str">
        <f>Catalogo!$B74&amp;""</f>
        <v>Audio</v>
      </c>
      <c r="AF74" t="str">
        <f>Catalogo!$C74&amp;""</f>
        <v>Amplificador Crown CDi DriveCore 2|600 (2 × 600 W)</v>
      </c>
      <c r="AG74" t="str">
        <f>Catalogo!$D74&amp;""</f>
        <v>Crown</v>
      </c>
      <c r="AH74" t="str">
        <f>Catalogo!$E74&amp;""</f>
        <v>CDi DriveCore 2|600</v>
      </c>
      <c r="AI74">
        <f>SUM(INICIO_TR:FIN_TR!$BA$74)</f>
        <v>0</v>
      </c>
    </row>
    <row r="75" spans="31:35" x14ac:dyDescent="0.45">
      <c r="AE75" t="str">
        <f>Catalogo!$B75&amp;""</f>
        <v>Audio</v>
      </c>
      <c r="AF75" t="str">
        <f>Catalogo!$C75&amp;""</f>
        <v>Amplificador Crown CDi DriveCore 4|600 (4 × 600 W)</v>
      </c>
      <c r="AG75" t="str">
        <f>Catalogo!$D75&amp;""</f>
        <v>Crown</v>
      </c>
      <c r="AH75" t="str">
        <f>Catalogo!$E75&amp;""</f>
        <v>CDi DriveCore 4|600</v>
      </c>
      <c r="AI75">
        <f>SUM(INICIO_TR:FIN_TR!$BA$75)</f>
        <v>0</v>
      </c>
    </row>
    <row r="76" spans="31:35" x14ac:dyDescent="0.45">
      <c r="AE76" t="str">
        <f>Catalogo!$B76&amp;""</f>
        <v>Audio</v>
      </c>
      <c r="AF76" t="str">
        <f>Catalogo!$C76&amp;""</f>
        <v>Amplificador Crown CDi DriveCore 2|1200 (2 × 1200 W)</v>
      </c>
      <c r="AG76" t="str">
        <f>Catalogo!$D76&amp;""</f>
        <v>Crown</v>
      </c>
      <c r="AH76" t="str">
        <f>Catalogo!$E76&amp;""</f>
        <v>CDi DriveCore 2|1200</v>
      </c>
      <c r="AI76">
        <f>SUM(INICIO_TR:FIN_TR!$BA$76)</f>
        <v>0</v>
      </c>
    </row>
    <row r="77" spans="31:35" x14ac:dyDescent="0.45">
      <c r="AE77" t="str">
        <f>Catalogo!$B77&amp;""</f>
        <v>Audio</v>
      </c>
      <c r="AF77" t="str">
        <f>Catalogo!$C77&amp;""</f>
        <v>Amplificador Crown CDi DriveCore 4|1200 (4 × 1200 W)</v>
      </c>
      <c r="AG77" t="str">
        <f>Catalogo!$D77&amp;""</f>
        <v>Crown</v>
      </c>
      <c r="AH77" t="str">
        <f>Catalogo!$E77&amp;""</f>
        <v>CDi DriveCore 4|1200</v>
      </c>
      <c r="AI77">
        <f>SUM(INICIO_TR:FIN_TR!$BA$77)</f>
        <v>0</v>
      </c>
    </row>
    <row r="78" spans="31:35" x14ac:dyDescent="0.45">
      <c r="AE78" t="str">
        <f>Catalogo!$B78&amp;""</f>
        <v>Audio</v>
      </c>
      <c r="AF78" t="str">
        <f>Catalogo!$C78&amp;""</f>
        <v>Procesador BSS Soundweb London BLU-100 (12 in / 8 out)</v>
      </c>
      <c r="AG78" t="str">
        <f>Catalogo!$D78&amp;""</f>
        <v>BSS</v>
      </c>
      <c r="AH78" t="str">
        <f>Catalogo!$E78&amp;""</f>
        <v>BLU-100</v>
      </c>
      <c r="AI78">
        <f>SUM(INICIO_TR:FIN_TR!$BA$78)</f>
        <v>0</v>
      </c>
    </row>
    <row r="79" spans="31:35" x14ac:dyDescent="0.45">
      <c r="AE79" t="str">
        <f>Catalogo!$B79&amp;""</f>
        <v>Audio</v>
      </c>
      <c r="AF79" t="str">
        <f>Catalogo!$C79&amp;""</f>
        <v>Interfaz BSS Soundweb London BLU-DA (Dante / AES67)</v>
      </c>
      <c r="AG79" t="str">
        <f>Catalogo!$D79&amp;""</f>
        <v>BSS</v>
      </c>
      <c r="AH79" t="str">
        <f>Catalogo!$E79&amp;""</f>
        <v>BLU-DA</v>
      </c>
      <c r="AI79">
        <f>SUM(INICIO_TR:FIN_TR!$BA$79)</f>
        <v>0</v>
      </c>
    </row>
    <row r="80" spans="31:35" x14ac:dyDescent="0.45">
      <c r="AE80" t="str">
        <f>Catalogo!$B80&amp;""</f>
        <v>Audio</v>
      </c>
      <c r="AF80" t="str">
        <f>Catalogo!$C80&amp;""</f>
        <v>Amplificador de evacuación TOA VM-2120 (120 W, 5 zonas)</v>
      </c>
      <c r="AG80" t="str">
        <f>Catalogo!$D80&amp;""</f>
        <v>TOA</v>
      </c>
      <c r="AH80" t="str">
        <f>Catalogo!$E80&amp;""</f>
        <v>VM-2120</v>
      </c>
      <c r="AI80">
        <f>SUM(INICIO_TR:FIN_TR!$BA$80)</f>
        <v>0</v>
      </c>
    </row>
    <row r="81" spans="31:35" x14ac:dyDescent="0.45">
      <c r="AE81" t="str">
        <f>Catalogo!$B81&amp;""</f>
        <v>Audio</v>
      </c>
      <c r="AF81" t="str">
        <f>Catalogo!$C81&amp;""</f>
        <v>Amplificador de evacuación TOA VM-2240 (240 W, 5 zonas)</v>
      </c>
      <c r="AG81" t="str">
        <f>Catalogo!$D81&amp;""</f>
        <v>TOA</v>
      </c>
      <c r="AH81" t="str">
        <f>Catalogo!$E81&amp;""</f>
        <v>VM-2240</v>
      </c>
      <c r="AI81">
        <f>SUM(INICIO_TR:FIN_TR!$BA$81)</f>
        <v>0</v>
      </c>
    </row>
    <row r="82" spans="31:35" x14ac:dyDescent="0.45">
      <c r="AE82" t="str">
        <f>Catalogo!$B82&amp;""</f>
        <v>Audio (campo)</v>
      </c>
      <c r="AF82" t="str">
        <f>Catalogo!$C82&amp;""</f>
        <v>Decodificador AV sobre IP AMX SVSI NMX-DEC-N3322D</v>
      </c>
      <c r="AG82" t="str">
        <f>Catalogo!$D82&amp;""</f>
        <v>AMX</v>
      </c>
      <c r="AH82" t="str">
        <f>Catalogo!$E82&amp;""</f>
        <v>NMX-DEC-N3322D</v>
      </c>
      <c r="AI82">
        <f>SUM(INICIO_TR:FIN_TR!$BA$82)</f>
        <v>0</v>
      </c>
    </row>
    <row r="83" spans="31:35" x14ac:dyDescent="0.45">
      <c r="AE83" t="str">
        <f>Catalogo!$B83&amp;""</f>
        <v>Audio (campo)</v>
      </c>
      <c r="AF83" t="str">
        <f>Catalogo!$C83&amp;""</f>
        <v>Micrófono remoto TOA RM-200M</v>
      </c>
      <c r="AG83" t="str">
        <f>Catalogo!$D83&amp;""</f>
        <v>TOA</v>
      </c>
      <c r="AH83" t="str">
        <f>Catalogo!$E83&amp;""</f>
        <v>RM-200M</v>
      </c>
      <c r="AI83">
        <f>SUM(INICIO_TR:FIN_TR!$BA$83)</f>
        <v>0</v>
      </c>
    </row>
    <row r="84" spans="31:35" x14ac:dyDescent="0.45">
      <c r="AE84" t="str">
        <f>Catalogo!$B84&amp;""</f>
        <v>Audio (campo)</v>
      </c>
      <c r="AF84" t="str">
        <f>Catalogo!$C84&amp;""</f>
        <v>Parlante Bose FreeSpace DS 100SE (superficie)</v>
      </c>
      <c r="AG84" t="str">
        <f>Catalogo!$D84&amp;""</f>
        <v>Bose</v>
      </c>
      <c r="AH84" t="str">
        <f>Catalogo!$E84&amp;""</f>
        <v>FreeSpace DS 100SE</v>
      </c>
      <c r="AI84">
        <f>SUM(INICIO_TR:FIN_TR!$BA$84)</f>
        <v>0</v>
      </c>
    </row>
    <row r="85" spans="31:35" x14ac:dyDescent="0.45">
      <c r="AE85" t="str">
        <f>Catalogo!$B85&amp;""</f>
        <v>Audio (campo)</v>
      </c>
      <c r="AF85" t="str">
        <f>Catalogo!$C85&amp;""</f>
        <v>Parlante Bose FreeSpace DS 100F (empotrado)</v>
      </c>
      <c r="AG85" t="str">
        <f>Catalogo!$D85&amp;""</f>
        <v>Bose</v>
      </c>
      <c r="AH85" t="str">
        <f>Catalogo!$E85&amp;""</f>
        <v>FreeSpace DS 100F</v>
      </c>
      <c r="AI85">
        <f>SUM(INICIO_TR:FIN_TR!$BA$85)</f>
        <v>0</v>
      </c>
    </row>
    <row r="86" spans="31:35" x14ac:dyDescent="0.45">
      <c r="AE86" t="str">
        <f>Catalogo!$B86&amp;""</f>
        <v>Audio (campo)</v>
      </c>
      <c r="AF86" t="str">
        <f>Catalogo!$C86&amp;""</f>
        <v>Parlante Bose FreeSpace DS 16F (empotrado)</v>
      </c>
      <c r="AG86" t="str">
        <f>Catalogo!$D86&amp;""</f>
        <v>Bose</v>
      </c>
      <c r="AH86" t="str">
        <f>Catalogo!$E86&amp;""</f>
        <v>FreeSpace DS 16F</v>
      </c>
      <c r="AI86">
        <f>SUM(INICIO_TR:FIN_TR!$BA$86)</f>
        <v>0</v>
      </c>
    </row>
    <row r="87" spans="31:35" x14ac:dyDescent="0.45">
      <c r="AE87" t="str">
        <f>Catalogo!$B87&amp;""</f>
        <v>Audio (campo)</v>
      </c>
      <c r="AF87" t="str">
        <f>Catalogo!$C87&amp;""</f>
        <v>Parlante paisajismo Bose FreeSpace 360P Series II</v>
      </c>
      <c r="AG87" t="str">
        <f>Catalogo!$D87&amp;""</f>
        <v>Bose</v>
      </c>
      <c r="AH87" t="str">
        <f>Catalogo!$E87&amp;""</f>
        <v>FreeSpace 360P Series II</v>
      </c>
      <c r="AI87">
        <f>SUM(INICIO_TR:FIN_TR!$BA$87)</f>
        <v>0</v>
      </c>
    </row>
    <row r="88" spans="31:35" x14ac:dyDescent="0.45">
      <c r="AE88" t="str">
        <f>Catalogo!$B88&amp;""</f>
        <v>Gabinete</v>
      </c>
      <c r="AF88" t="str">
        <f>Catalogo!$C88&amp;""</f>
        <v>Gabinete FlexFusion 600 mm × 42RU × 1070 mm negro</v>
      </c>
      <c r="AG88" t="str">
        <f>Catalogo!$D88&amp;""</f>
        <v>Panduit</v>
      </c>
      <c r="AH88" t="str">
        <f>Catalogo!$E88&amp;""</f>
        <v>XGL64212B</v>
      </c>
      <c r="AI88">
        <f>SUM(INICIO_TR:FIN_TR!$BA$88)</f>
        <v>0</v>
      </c>
    </row>
    <row r="89" spans="31:35" x14ac:dyDescent="0.45">
      <c r="AE89" t="str">
        <f>Catalogo!$B89&amp;""</f>
        <v>Gabinete</v>
      </c>
      <c r="AF89" t="str">
        <f>Catalogo!$C89&amp;""</f>
        <v>Gabinete FlexFusion 600 mm × 42RU × 1200 mm negro</v>
      </c>
      <c r="AG89" t="str">
        <f>Catalogo!$D89&amp;""</f>
        <v>Panduit</v>
      </c>
      <c r="AH89" t="str">
        <f>Catalogo!$E89&amp;""</f>
        <v>XGL64222B</v>
      </c>
      <c r="AI89">
        <f>SUM(INICIO_TR:FIN_TR!$BA$89)</f>
        <v>0</v>
      </c>
    </row>
    <row r="90" spans="31:35" x14ac:dyDescent="0.45">
      <c r="AE90" t="str">
        <f>Catalogo!$B90&amp;""</f>
        <v>Gabinete</v>
      </c>
      <c r="AF90" t="str">
        <f>Catalogo!$C90&amp;""</f>
        <v>Gabinete FlexFusion 600 mm × 48RU × 1070 mm negro</v>
      </c>
      <c r="AG90" t="str">
        <f>Catalogo!$D90&amp;""</f>
        <v>Panduit</v>
      </c>
      <c r="AH90" t="str">
        <f>Catalogo!$E90&amp;""</f>
        <v>XGL64812B</v>
      </c>
      <c r="AI90">
        <f>SUM(INICIO_TR:FIN_TR!$BA$90)</f>
        <v>0</v>
      </c>
    </row>
    <row r="91" spans="31:35" x14ac:dyDescent="0.45">
      <c r="AE91" t="str">
        <f>Catalogo!$B91&amp;""</f>
        <v>Gabinete</v>
      </c>
      <c r="AF91" t="str">
        <f>Catalogo!$C91&amp;""</f>
        <v>Gabinete FlexFusion 800 mm × 42RU × 1070 mm negro</v>
      </c>
      <c r="AG91" t="str">
        <f>Catalogo!$D91&amp;""</f>
        <v>Panduit</v>
      </c>
      <c r="AH91" t="str">
        <f>Catalogo!$E91&amp;""</f>
        <v>XGL84212B</v>
      </c>
      <c r="AI91">
        <f>SUM(INICIO_TR:FIN_TR!$BA$91)</f>
        <v>0</v>
      </c>
    </row>
    <row r="92" spans="31:35" x14ac:dyDescent="0.45">
      <c r="AE92" t="str">
        <f>Catalogo!$B92&amp;""</f>
        <v>Gabinete</v>
      </c>
      <c r="AF92" t="str">
        <f>Catalogo!$C92&amp;""</f>
        <v>Gabinete FlexFusion 800 mm × 42RU × 1200 mm negro</v>
      </c>
      <c r="AG92" t="str">
        <f>Catalogo!$D92&amp;""</f>
        <v>Panduit</v>
      </c>
      <c r="AH92" t="str">
        <f>Catalogo!$E92&amp;""</f>
        <v>XGL84222B</v>
      </c>
      <c r="AI92">
        <f>SUM(INICIO_TR:FIN_TR!$BA$92)</f>
        <v>0</v>
      </c>
    </row>
    <row r="93" spans="31:35" x14ac:dyDescent="0.45">
      <c r="AE93" t="str">
        <f>Catalogo!$B93&amp;""</f>
        <v>Gabinete</v>
      </c>
      <c r="AF93" t="str">
        <f>Catalogo!$C93&amp;""</f>
        <v>Gabinete FlexFusion 800 mm × 48RU × 1070 mm negro</v>
      </c>
      <c r="AG93" t="str">
        <f>Catalogo!$D93&amp;""</f>
        <v>Panduit</v>
      </c>
      <c r="AH93" t="str">
        <f>Catalogo!$E93&amp;""</f>
        <v>XGL84812B</v>
      </c>
      <c r="AI93">
        <f>SUM(INICIO_TR:FIN_TR!$BA$93)</f>
        <v>0</v>
      </c>
    </row>
    <row r="94" spans="31:35" x14ac:dyDescent="0.45">
      <c r="AE94" t="str">
        <f>Catalogo!$B94&amp;""</f>
        <v>PDU</v>
      </c>
      <c r="AF94" t="str">
        <f>Catalogo!$C94&amp;""</f>
        <v>PDU horizontal 1RU 8 tomas 120 V 15 A</v>
      </c>
      <c r="AG94" t="str">
        <f>Catalogo!$D94&amp;""</f>
        <v>Por definir</v>
      </c>
      <c r="AH94" t="str">
        <f>Catalogo!$E94&amp;""</f>
        <v>Por definir</v>
      </c>
      <c r="AI94">
        <f>SUM(INICIO_TR:FIN_TR!$BA$94)</f>
        <v>0</v>
      </c>
    </row>
    <row r="95" spans="31:35" x14ac:dyDescent="0.45">
      <c r="AE95" t="str">
        <f>Catalogo!$B95&amp;""</f>
        <v>PDU</v>
      </c>
      <c r="AF95" t="str">
        <f>Catalogo!$C95&amp;""</f>
        <v>PDU horizontal 1RU 12 tomas 120 V 20 A</v>
      </c>
      <c r="AG95" t="str">
        <f>Catalogo!$D95&amp;""</f>
        <v>Por definir</v>
      </c>
      <c r="AH95" t="str">
        <f>Catalogo!$E95&amp;""</f>
        <v>Por definir</v>
      </c>
      <c r="AI95">
        <f>SUM(INICIO_TR:FIN_TR!$BA$95)</f>
        <v>0</v>
      </c>
    </row>
    <row r="96" spans="31:35" x14ac:dyDescent="0.45">
      <c r="AE96" t="str">
        <f>Catalogo!$B96&amp;""</f>
        <v>UPS</v>
      </c>
      <c r="AF96" t="str">
        <f>Catalogo!$C96&amp;""</f>
        <v>UPS rack 2RU 1500 VA</v>
      </c>
      <c r="AG96" t="str">
        <f>Catalogo!$D96&amp;""</f>
        <v>Por definir</v>
      </c>
      <c r="AH96" t="str">
        <f>Catalogo!$E96&amp;""</f>
        <v>Por definir</v>
      </c>
      <c r="AI96">
        <f>SUM(INICIO_TR:FIN_TR!$BA$96)</f>
        <v>0</v>
      </c>
    </row>
    <row r="97" spans="31:35" x14ac:dyDescent="0.45">
      <c r="AE97" t="str">
        <f>Catalogo!$B97&amp;""</f>
        <v>UPS</v>
      </c>
      <c r="AF97" t="str">
        <f>Catalogo!$C97&amp;""</f>
        <v>UPS rack 3RU 3000 VA</v>
      </c>
      <c r="AG97" t="str">
        <f>Catalogo!$D97&amp;""</f>
        <v>Por definir</v>
      </c>
      <c r="AH97" t="str">
        <f>Catalogo!$E97&amp;""</f>
        <v>Por definir</v>
      </c>
      <c r="AI97">
        <f>SUM(INICIO_TR:FIN_TR!$BA$97)</f>
        <v>0</v>
      </c>
    </row>
    <row r="98" spans="31:35" x14ac:dyDescent="0.45">
      <c r="AE98" t="str">
        <f>Catalogo!$B98&amp;""</f>
        <v>Tapa ciega</v>
      </c>
      <c r="AF98" t="str">
        <f>Catalogo!$C98&amp;""</f>
        <v>Tapa ciega 1RU sin herramienta</v>
      </c>
      <c r="AG98" t="str">
        <f>Catalogo!$D98&amp;""</f>
        <v>Panduit</v>
      </c>
      <c r="AH98" t="str">
        <f>Catalogo!$E98&amp;""</f>
        <v>TLBP1S-V</v>
      </c>
      <c r="AI98">
        <f>SUM(INICIO_TR:FIN_TR!$BA$98)</f>
        <v>0</v>
      </c>
    </row>
    <row r="99" spans="31:35" x14ac:dyDescent="0.45">
      <c r="AE99" t="str">
        <f>Catalogo!$B99&amp;""</f>
        <v>Bandeja</v>
      </c>
      <c r="AF99" t="str">
        <f>Catalogo!$C99&amp;""</f>
        <v>Bandeja fija 2RU</v>
      </c>
      <c r="AG99" t="str">
        <f>Catalogo!$D99&amp;""</f>
        <v>Por definir</v>
      </c>
      <c r="AH99" t="str">
        <f>Catalogo!$E99&amp;""</f>
        <v>Por definir</v>
      </c>
      <c r="AI99">
        <f>SUM(INICIO_TR:FIN_TR!$BA$99)</f>
        <v>0</v>
      </c>
    </row>
    <row r="100" spans="31:35" x14ac:dyDescent="0.45">
      <c r="AE100" t="str">
        <f>Catalogo!$B100&amp;""</f>
        <v>Fibra</v>
      </c>
      <c r="AF100" t="str">
        <f>Catalogo!$C100&amp;""</f>
        <v>Bandeja de fibra 1RU FMD1 + adaptador LC FAP12WAQDLCZ</v>
      </c>
      <c r="AG100" t="str">
        <f>Catalogo!$D100&amp;""</f>
        <v>Panduit</v>
      </c>
      <c r="AH100" t="str">
        <f>Catalogo!$E100&amp;""</f>
        <v>FMD1 + FAP12WAQDLCZ</v>
      </c>
      <c r="AI100">
        <f>SUM(INICIO_TR:FIN_TR!$BA$100)</f>
        <v>0</v>
      </c>
    </row>
    <row r="101" spans="31:35" x14ac:dyDescent="0.45">
      <c r="AE101" t="str">
        <f>Catalogo!$B101&amp;""</f>
        <v>Organizador horizontal</v>
      </c>
      <c r="AF101" t="str">
        <f>Catalogo!$C101&amp;""</f>
        <v>Org. horizontal 2RU frontal/posterior con radio de curvatura (NetRunner)</v>
      </c>
      <c r="AG101" t="str">
        <f>Catalogo!$D101&amp;""</f>
        <v>Panduit</v>
      </c>
      <c r="AH101" t="str">
        <f>Catalogo!$E101&amp;""</f>
        <v>WMPH2E</v>
      </c>
      <c r="AI101">
        <f>SUM(INICIO_TR:FIN_TR!$BA$101)</f>
        <v>0</v>
      </c>
    </row>
    <row r="102" spans="31:35" x14ac:dyDescent="0.45">
      <c r="AE102" t="str">
        <f>Catalogo!$B102&amp;""</f>
        <v>Espacio libre</v>
      </c>
      <c r="AF102" t="str">
        <f>Catalogo!$C102&amp;""</f>
        <v>Espacio libre 1RU</v>
      </c>
      <c r="AG102" t="str">
        <f>Catalogo!$D102&amp;""</f>
        <v/>
      </c>
      <c r="AH102" t="str">
        <f>Catalogo!$E102&amp;""</f>
        <v>—</v>
      </c>
      <c r="AI102">
        <f>SUM(INICIO_TR:FIN_TR!$BA$102)</f>
        <v>0</v>
      </c>
    </row>
    <row r="103" spans="31:35" x14ac:dyDescent="0.45">
      <c r="AE103" t="str">
        <f>Catalogo!$B103&amp;""</f>
        <v>Espacio reservado</v>
      </c>
      <c r="AF103" t="str">
        <f>Catalogo!$C103&amp;""</f>
        <v>Espacio para switch 24 puertos 1RU</v>
      </c>
      <c r="AG103" t="str">
        <f>Catalogo!$D103&amp;""</f>
        <v/>
      </c>
      <c r="AH103" t="str">
        <f>Catalogo!$E103&amp;""</f>
        <v>—</v>
      </c>
      <c r="AI103">
        <f>SUM(INICIO_TR:FIN_TR!$BA$103)</f>
        <v>0</v>
      </c>
    </row>
    <row r="104" spans="31:35" x14ac:dyDescent="0.45">
      <c r="AE104" t="str">
        <f>Catalogo!$B104&amp;""</f>
        <v>Espacio reservado</v>
      </c>
      <c r="AF104" t="str">
        <f>Catalogo!$C104&amp;""</f>
        <v>Espacio para switch 48 puertos 1RU</v>
      </c>
      <c r="AG104" t="str">
        <f>Catalogo!$D104&amp;""</f>
        <v/>
      </c>
      <c r="AH104" t="str">
        <f>Catalogo!$E104&amp;""</f>
        <v>—</v>
      </c>
      <c r="AI104">
        <f>SUM(INICIO_TR:FIN_TR!$BA$104)</f>
        <v>0</v>
      </c>
    </row>
    <row r="105" spans="31:35" x14ac:dyDescent="0.45">
      <c r="AE105" t="str">
        <f>Catalogo!$B105&amp;""</f>
        <v>Espacio reservado</v>
      </c>
      <c r="AF105" t="str">
        <f>Catalogo!$C105&amp;""</f>
        <v>Espacio para fibra del proveedor (ICE) 1RU</v>
      </c>
      <c r="AG105" t="str">
        <f>Catalogo!$D105&amp;""</f>
        <v/>
      </c>
      <c r="AH105" t="str">
        <f>Catalogo!$E105&amp;""</f>
        <v>—</v>
      </c>
      <c r="AI105">
        <f>SUM(INICIO_TR:FIN_TR!$BA$105)</f>
        <v>0</v>
      </c>
    </row>
    <row r="106" spans="31:35" x14ac:dyDescent="0.45">
      <c r="AE106" t="str">
        <f>Catalogo!$B106&amp;""</f>
        <v>Servidor</v>
      </c>
      <c r="AF106" t="str">
        <f>Catalogo!$C106&amp;""</f>
        <v>Servidor 1RU (disco 2 TB)</v>
      </c>
      <c r="AG106" t="str">
        <f>Catalogo!$D106&amp;""</f>
        <v>Por definir</v>
      </c>
      <c r="AH106" t="str">
        <f>Catalogo!$E106&amp;""</f>
        <v>Por definir</v>
      </c>
      <c r="AI106">
        <f>SUM(INICIO_TR:FIN_TR!$BA$106)</f>
        <v>0</v>
      </c>
    </row>
    <row r="107" spans="31:35" x14ac:dyDescent="0.45">
      <c r="AE107" t="str">
        <f>Catalogo!$B107&amp;""</f>
        <v>Servidor</v>
      </c>
      <c r="AF107" t="str">
        <f>Catalogo!$C107&amp;""</f>
        <v>Servidor 8RU</v>
      </c>
      <c r="AG107" t="str">
        <f>Catalogo!$D107&amp;""</f>
        <v>Por definir</v>
      </c>
      <c r="AH107" t="str">
        <f>Catalogo!$E107&amp;""</f>
        <v>Por definir</v>
      </c>
      <c r="AI107">
        <f>SUM(INICIO_TR:FIN_TR!$BA$107)</f>
        <v>0</v>
      </c>
    </row>
    <row r="108" spans="31:35" x14ac:dyDescent="0.45">
      <c r="AE108" t="str">
        <f>Catalogo!$B108&amp;""</f>
        <v>Equipo activo</v>
      </c>
      <c r="AF108" t="str">
        <f>Catalogo!$C108&amp;""</f>
        <v>Lector de discos DVD 1RU</v>
      </c>
      <c r="AG108" t="str">
        <f>Catalogo!$D108&amp;""</f>
        <v>Por definir</v>
      </c>
      <c r="AH108" t="str">
        <f>Catalogo!$E108&amp;""</f>
        <v>Por definir</v>
      </c>
      <c r="AI108">
        <f>SUM(INICIO_TR:FIN_TR!$BA$108)</f>
        <v>0</v>
      </c>
    </row>
    <row r="109" spans="31:35" x14ac:dyDescent="0.45">
      <c r="AE109" t="str">
        <f>Catalogo!$B109&amp;""</f>
        <v>Equipo activo</v>
      </c>
      <c r="AF109" t="str">
        <f>Catalogo!$C109&amp;""</f>
        <v>Equipo activo 2RU</v>
      </c>
      <c r="AG109" t="str">
        <f>Catalogo!$D109&amp;""</f>
        <v>Por definir</v>
      </c>
      <c r="AH109" t="str">
        <f>Catalogo!$E109&amp;""</f>
        <v>Por definir</v>
      </c>
      <c r="AI109">
        <f>SUM(INICIO_TR:FIN_TR!$BA$109)</f>
        <v>0</v>
      </c>
    </row>
    <row r="110" spans="31:35" x14ac:dyDescent="0.45">
      <c r="AE110" t="str">
        <f>Catalogo!$B110&amp;""</f>
        <v>UPS</v>
      </c>
      <c r="AF110" t="str">
        <f>Catalogo!$C110&amp;""</f>
        <v>UPS 3 kVA 2RU, 120 V, 6 salidas (APC SMT3000RM2U)</v>
      </c>
      <c r="AG110" t="str">
        <f>Catalogo!$D110&amp;""</f>
        <v>APC</v>
      </c>
      <c r="AH110" t="str">
        <f>Catalogo!$E110&amp;""</f>
        <v>SMT3000RM2U</v>
      </c>
      <c r="AI110">
        <f>SUM(INICIO_TR:FIN_TR!$BA$110)</f>
        <v>0</v>
      </c>
    </row>
    <row r="111" spans="31:35" x14ac:dyDescent="0.45">
      <c r="AE111" t="str">
        <f>Catalogo!$B111&amp;""</f>
        <v>Puesta a tierra</v>
      </c>
      <c r="AF111" t="str">
        <f>Catalogo!$C111&amp;""</f>
        <v>Barra de tierra para rack 19"</v>
      </c>
      <c r="AG111" t="str">
        <f>Catalogo!$D111&amp;""</f>
        <v>Panduit</v>
      </c>
      <c r="AH111" t="str">
        <f>Catalogo!$E111&amp;""</f>
        <v>RGRB19Y</v>
      </c>
      <c r="AI111">
        <f>SUM(INICIO_TR:FIN_TR!$BA$111)</f>
        <v>0</v>
      </c>
    </row>
    <row r="112" spans="31:35" x14ac:dyDescent="0.45">
      <c r="AE112" t="str">
        <f>Catalogo!$B112&amp;""</f>
        <v>Jack</v>
      </c>
      <c r="AF112" t="str">
        <f>Catalogo!$C112&amp;""</f>
        <v>Jack Cat 6A UTP azul (Mini-Com TX6A)</v>
      </c>
      <c r="AG112" t="str">
        <f>Catalogo!$D112&amp;""</f>
        <v>Panduit</v>
      </c>
      <c r="AH112" t="str">
        <f>Catalogo!$E112&amp;""</f>
        <v>CJ6X88TGBU</v>
      </c>
      <c r="AI112">
        <f>SUM(INICIO_TR:FIN_TR!$BA$112)</f>
        <v>2</v>
      </c>
    </row>
    <row r="113" spans="31:35" x14ac:dyDescent="0.45">
      <c r="AE113" t="str">
        <f>Catalogo!$B113&amp;""</f>
        <v>Jack</v>
      </c>
      <c r="AF113" t="str">
        <f>Catalogo!$C113&amp;""</f>
        <v>Jack Cat 6 UTP azul (Mini-Com TX6 PLUS)</v>
      </c>
      <c r="AG113" t="str">
        <f>Catalogo!$D113&amp;""</f>
        <v>Panduit</v>
      </c>
      <c r="AH113" t="str">
        <f>Catalogo!$E113&amp;""</f>
        <v>CJ688TGBU</v>
      </c>
      <c r="AI113">
        <f>SUM(INICIO_TR:FIN_TR!$BA$113)</f>
        <v>0</v>
      </c>
    </row>
    <row r="114" spans="31:35" x14ac:dyDescent="0.45">
      <c r="AE114" t="str">
        <f>Catalogo!$B114&amp;""</f>
        <v/>
      </c>
      <c r="AF114" t="str">
        <f>Catalogo!$C114&amp;""</f>
        <v/>
      </c>
      <c r="AG114" t="str">
        <f>Catalogo!$D114&amp;""</f>
        <v/>
      </c>
      <c r="AH114" t="str">
        <f>Catalogo!$E114&amp;""</f>
        <v/>
      </c>
      <c r="AI114">
        <f>SUM(INICIO_TR:FIN_TR!$BA$114)</f>
        <v>0</v>
      </c>
    </row>
    <row r="115" spans="31:35" x14ac:dyDescent="0.45">
      <c r="AE115" t="str">
        <f>Catalogo!$B115&amp;""</f>
        <v/>
      </c>
      <c r="AF115" t="str">
        <f>Catalogo!$C115&amp;""</f>
        <v/>
      </c>
      <c r="AG115" t="str">
        <f>Catalogo!$D115&amp;""</f>
        <v/>
      </c>
      <c r="AH115" t="str">
        <f>Catalogo!$E115&amp;""</f>
        <v/>
      </c>
      <c r="AI115">
        <f>SUM(INICIO_TR:FIN_TR!$BA$115)</f>
        <v>0</v>
      </c>
    </row>
    <row r="116" spans="31:35" x14ac:dyDescent="0.45">
      <c r="AE116" t="str">
        <f>Catalogo!$B116&amp;""</f>
        <v/>
      </c>
      <c r="AF116" t="str">
        <f>Catalogo!$C116&amp;""</f>
        <v/>
      </c>
      <c r="AG116" t="str">
        <f>Catalogo!$D116&amp;""</f>
        <v/>
      </c>
      <c r="AH116" t="str">
        <f>Catalogo!$E116&amp;""</f>
        <v/>
      </c>
      <c r="AI116">
        <f>SUM(INICIO_TR:FIN_TR!$BA$116)</f>
        <v>0</v>
      </c>
    </row>
    <row r="117" spans="31:35" x14ac:dyDescent="0.45">
      <c r="AE117" t="str">
        <f>Catalogo!$B117&amp;""</f>
        <v/>
      </c>
      <c r="AF117" t="str">
        <f>Catalogo!$C117&amp;""</f>
        <v/>
      </c>
      <c r="AG117" t="str">
        <f>Catalogo!$D117&amp;""</f>
        <v/>
      </c>
      <c r="AH117" t="str">
        <f>Catalogo!$E117&amp;""</f>
        <v/>
      </c>
      <c r="AI117">
        <f>SUM(INICIO_TR:FIN_TR!$BA$117)</f>
        <v>0</v>
      </c>
    </row>
    <row r="118" spans="31:35" x14ac:dyDescent="0.45">
      <c r="AE118" t="str">
        <f>Catalogo!$B118&amp;""</f>
        <v/>
      </c>
      <c r="AF118" t="str">
        <f>Catalogo!$C118&amp;""</f>
        <v/>
      </c>
      <c r="AG118" t="str">
        <f>Catalogo!$D118&amp;""</f>
        <v/>
      </c>
      <c r="AH118" t="str">
        <f>Catalogo!$E118&amp;""</f>
        <v/>
      </c>
      <c r="AI118">
        <f>SUM(INICIO_TR:FIN_TR!$BA$118)</f>
        <v>0</v>
      </c>
    </row>
    <row r="119" spans="31:35" x14ac:dyDescent="0.45">
      <c r="AE119" t="str">
        <f>Catalogo!$B119&amp;""</f>
        <v/>
      </c>
      <c r="AF119" t="str">
        <f>Catalogo!$C119&amp;""</f>
        <v/>
      </c>
      <c r="AG119" t="str">
        <f>Catalogo!$D119&amp;""</f>
        <v/>
      </c>
      <c r="AH119" t="str">
        <f>Catalogo!$E119&amp;""</f>
        <v/>
      </c>
      <c r="AI119">
        <f>SUM(INICIO_TR:FIN_TR!$BA$119)</f>
        <v>0</v>
      </c>
    </row>
    <row r="120" spans="31:35" x14ac:dyDescent="0.45">
      <c r="AE120" t="str">
        <f>Catalogo!$B120&amp;""</f>
        <v/>
      </c>
      <c r="AF120" t="str">
        <f>Catalogo!$C120&amp;""</f>
        <v/>
      </c>
      <c r="AG120" t="str">
        <f>Catalogo!$D120&amp;""</f>
        <v/>
      </c>
      <c r="AH120" t="str">
        <f>Catalogo!$E120&amp;""</f>
        <v/>
      </c>
      <c r="AI120">
        <f>SUM(INICIO_TR:FIN_TR!$BA$120)</f>
        <v>0</v>
      </c>
    </row>
    <row r="121" spans="31:35" x14ac:dyDescent="0.45">
      <c r="AE121" t="str">
        <f>Catalogo!$B121&amp;""</f>
        <v/>
      </c>
      <c r="AF121" t="str">
        <f>Catalogo!$C121&amp;""</f>
        <v/>
      </c>
      <c r="AG121" t="str">
        <f>Catalogo!$D121&amp;""</f>
        <v/>
      </c>
      <c r="AH121" t="str">
        <f>Catalogo!$E121&amp;""</f>
        <v/>
      </c>
      <c r="AI121">
        <f>SUM(INICIO_TR:FIN_TR!$BA$121)</f>
        <v>0</v>
      </c>
    </row>
    <row r="122" spans="31:35" x14ac:dyDescent="0.45">
      <c r="AE122" t="str">
        <f>Catalogo!$B122&amp;""</f>
        <v/>
      </c>
      <c r="AF122" t="str">
        <f>Catalogo!$C122&amp;""</f>
        <v/>
      </c>
      <c r="AG122" t="str">
        <f>Catalogo!$D122&amp;""</f>
        <v/>
      </c>
      <c r="AH122" t="str">
        <f>Catalogo!$E122&amp;""</f>
        <v/>
      </c>
      <c r="AI122">
        <f>SUM(INICIO_TR:FIN_TR!$BA$122)</f>
        <v>0</v>
      </c>
    </row>
    <row r="123" spans="31:35" x14ac:dyDescent="0.45">
      <c r="AE123" t="str">
        <f>Catalogo!$B123&amp;""</f>
        <v/>
      </c>
      <c r="AF123" t="str">
        <f>Catalogo!$C123&amp;""</f>
        <v/>
      </c>
      <c r="AG123" t="str">
        <f>Catalogo!$D123&amp;""</f>
        <v/>
      </c>
      <c r="AH123" t="str">
        <f>Catalogo!$E123&amp;""</f>
        <v/>
      </c>
      <c r="AI123">
        <f>SUM(INICIO_TR:FIN_TR!$BA$123)</f>
        <v>0</v>
      </c>
    </row>
    <row r="124" spans="31:35" x14ac:dyDescent="0.45">
      <c r="AE124" t="str">
        <f>Catalogo!$B124&amp;""</f>
        <v/>
      </c>
      <c r="AF124" t="str">
        <f>Catalogo!$C124&amp;""</f>
        <v/>
      </c>
      <c r="AG124" t="str">
        <f>Catalogo!$D124&amp;""</f>
        <v/>
      </c>
      <c r="AH124" t="str">
        <f>Catalogo!$E124&amp;""</f>
        <v/>
      </c>
      <c r="AI124">
        <f>SUM(INICIO_TR:FIN_TR!$BA$124)</f>
        <v>0</v>
      </c>
    </row>
    <row r="125" spans="31:35" x14ac:dyDescent="0.45">
      <c r="AE125" t="str">
        <f>Catalogo!$B125&amp;""</f>
        <v/>
      </c>
      <c r="AF125" t="str">
        <f>Catalogo!$C125&amp;""</f>
        <v/>
      </c>
      <c r="AG125" t="str">
        <f>Catalogo!$D125&amp;""</f>
        <v/>
      </c>
      <c r="AH125" t="str">
        <f>Catalogo!$E125&amp;""</f>
        <v/>
      </c>
      <c r="AI125">
        <f>SUM(INICIO_TR:FIN_TR!$BA$125)</f>
        <v>0</v>
      </c>
    </row>
  </sheetData>
  <mergeCells count="6">
    <mergeCell ref="D9:J9"/>
    <mergeCell ref="D7:J7"/>
    <mergeCell ref="D8:J8"/>
    <mergeCell ref="D6:J6"/>
    <mergeCell ref="C2:J2"/>
    <mergeCell ref="D5:J5"/>
  </mergeCells>
  <conditionalFormatting sqref="C13:K400">
    <cfRule type="expression" dxfId="174" priority="1" stopIfTrue="1">
      <formula>OR($C13="CUARTOS DE TELECOMUNICACIONES",$C13="SALIDAS POR TIPO",$C13="LISTA DE MATERIALES")</formula>
    </cfRule>
    <cfRule type="expression" dxfId="173" priority="2" stopIfTrue="1">
      <formula>OR($C13="Cuarto",$C13="Código",$C13="Categoría",$C13="TOTAL")</formula>
    </cfRule>
    <cfRule type="expression" dxfId="172" priority="3">
      <formula>AND($C13&amp;$D13&lt;&gt;"",$C13&lt;&gt;0)</formula>
    </cfRule>
  </conditionalFormatting>
  <pageMargins left="0.75" right="0.75" top="1" bottom="1" header="0.5" footer="0.5"/>
  <pageSetup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Q125"/>
  <sheetViews>
    <sheetView showGridLines="0" workbookViewId="0"/>
  </sheetViews>
  <sheetFormatPr defaultRowHeight="14.25" x14ac:dyDescent="0.45"/>
  <cols>
    <col min="1" max="1" width="2" customWidth="1"/>
    <col min="2" max="2" width="22" customWidth="1"/>
    <col min="3" max="3" width="48" customWidth="1"/>
    <col min="4" max="5" width="16" customWidth="1"/>
    <col min="6" max="6" width="7" customWidth="1"/>
    <col min="7" max="7" width="9" customWidth="1"/>
    <col min="8" max="8" width="52" customWidth="1"/>
    <col min="9" max="13" width="13" hidden="1" customWidth="1"/>
    <col min="14" max="14" width="15" customWidth="1"/>
    <col min="15" max="15" width="13" customWidth="1"/>
    <col min="16" max="16" width="11" customWidth="1"/>
    <col min="17" max="17" width="15" customWidth="1"/>
  </cols>
  <sheetData>
    <row r="2" spans="2:17" ht="22.05" customHeight="1" x14ac:dyDescent="0.45">
      <c r="B2" s="41" t="s">
        <v>55</v>
      </c>
      <c r="C2" s="40"/>
      <c r="D2" s="40"/>
      <c r="E2" s="40"/>
      <c r="F2" s="40"/>
      <c r="G2" s="40"/>
      <c r="H2" s="40"/>
    </row>
    <row r="3" spans="2:17" x14ac:dyDescent="0.45">
      <c r="B3" s="10" t="s">
        <v>56</v>
      </c>
    </row>
    <row r="4" spans="2:17" ht="18" customHeight="1" x14ac:dyDescent="0.45">
      <c r="B4" s="2" t="s">
        <v>57</v>
      </c>
      <c r="C4" s="2"/>
      <c r="D4" s="2" t="s">
        <v>58</v>
      </c>
      <c r="E4" s="2"/>
      <c r="F4" s="2"/>
      <c r="G4" s="2"/>
      <c r="H4" s="2"/>
      <c r="N4" s="2" t="s">
        <v>437</v>
      </c>
      <c r="O4" s="2"/>
      <c r="P4" s="2"/>
      <c r="Q4" s="2"/>
    </row>
    <row r="5" spans="2:17" ht="26.25" x14ac:dyDescent="0.45">
      <c r="B5" s="5" t="s">
        <v>59</v>
      </c>
      <c r="C5" s="5" t="s">
        <v>60</v>
      </c>
      <c r="D5" s="5" t="s">
        <v>44</v>
      </c>
      <c r="E5" s="5" t="s">
        <v>61</v>
      </c>
      <c r="F5" s="5" t="s">
        <v>62</v>
      </c>
      <c r="G5" s="5" t="s">
        <v>63</v>
      </c>
      <c r="H5" s="5" t="s">
        <v>64</v>
      </c>
      <c r="N5" s="5" t="s">
        <v>438</v>
      </c>
      <c r="O5" s="5" t="s">
        <v>439</v>
      </c>
      <c r="P5" s="5" t="s">
        <v>440</v>
      </c>
      <c r="Q5" s="5" t="s">
        <v>441</v>
      </c>
    </row>
    <row r="6" spans="2:17" x14ac:dyDescent="0.45">
      <c r="B6" s="4" t="s">
        <v>65</v>
      </c>
      <c r="C6" s="4" t="s">
        <v>66</v>
      </c>
      <c r="D6" s="4" t="s">
        <v>67</v>
      </c>
      <c r="E6" s="4" t="s">
        <v>68</v>
      </c>
      <c r="F6" s="6">
        <v>45</v>
      </c>
      <c r="G6" s="6"/>
      <c r="H6" s="4" t="s">
        <v>69</v>
      </c>
      <c r="I6" t="str">
        <f>IF(AND($C6&lt;&gt;"",N($F6)&gt;0,NOT(OR($B6="Rack",$B6="Gabinete",$B6="Rack de pared",$B6="Gabinete de pared"))),MAX($I$5:$I5)+1,"")</f>
        <v/>
      </c>
      <c r="J6">
        <f>IF(OR($B6="Rack",$B6="Gabinete",$B6="Rack de pared",$B6="Gabinete de pared"),MAX($J$5:$J5)+1,"")</f>
        <v>1</v>
      </c>
      <c r="K6" t="str">
        <f>IF($B6="Organizador vertical",COUNTIF($B$6:$B6,"Organizador vertical"),"")</f>
        <v/>
      </c>
      <c r="L6" t="str">
        <f>IF($B6="Jack",COUNTIF($B$6:$B6,"Jack"),"")</f>
        <v/>
      </c>
      <c r="M6" t="str">
        <f>IF(AND($C6&lt;&gt;"",N($F6)=0,$B6&lt;&gt;"Rack",$B6&lt;&gt;"Gabinete",$B6&lt;&gt;"Organizador vertical",$B6&lt;&gt;"Jack"),MAX($M$5:$M5)+1,"")</f>
        <v/>
      </c>
      <c r="N6" s="6">
        <v>0</v>
      </c>
      <c r="O6" s="9">
        <f t="shared" ref="O6:O37" si="0">IF(N6="","",ROUND(N6*3.412,0))</f>
        <v>0</v>
      </c>
      <c r="P6" s="6"/>
      <c r="Q6" s="6"/>
    </row>
    <row r="7" spans="2:17" x14ac:dyDescent="0.45">
      <c r="B7" s="4" t="s">
        <v>65</v>
      </c>
      <c r="C7" s="4" t="s">
        <v>70</v>
      </c>
      <c r="D7" s="4" t="s">
        <v>67</v>
      </c>
      <c r="E7" s="4" t="s">
        <v>71</v>
      </c>
      <c r="F7" s="6">
        <v>45</v>
      </c>
      <c r="G7" s="6"/>
      <c r="H7" s="4" t="s">
        <v>72</v>
      </c>
      <c r="I7" t="str">
        <f>IF(AND($C7&lt;&gt;"",N($F7)&gt;0,NOT(OR($B7="Rack",$B7="Gabinete",$B7="Rack de pared",$B7="Gabinete de pared"))),MAX($I$5:$I6)+1,"")</f>
        <v/>
      </c>
      <c r="J7">
        <f>IF(OR($B7="Rack",$B7="Gabinete",$B7="Rack de pared",$B7="Gabinete de pared"),MAX($J$5:$J6)+1,"")</f>
        <v>2</v>
      </c>
      <c r="K7" t="str">
        <f>IF($B7="Organizador vertical",COUNTIF($B$6:$B7,"Organizador vertical"),"")</f>
        <v/>
      </c>
      <c r="L7" t="str">
        <f>IF($B7="Jack",COUNTIF($B$6:$B7,"Jack"),"")</f>
        <v/>
      </c>
      <c r="M7" t="str">
        <f>IF(AND($C7&lt;&gt;"",N($F7)=0,$B7&lt;&gt;"Rack",$B7&lt;&gt;"Gabinete",$B7&lt;&gt;"Organizador vertical",$B7&lt;&gt;"Jack"),MAX($M$5:$M6)+1,"")</f>
        <v/>
      </c>
      <c r="N7" s="6">
        <v>0</v>
      </c>
      <c r="O7" s="9">
        <f t="shared" si="0"/>
        <v>0</v>
      </c>
      <c r="P7" s="6"/>
      <c r="Q7" s="6"/>
    </row>
    <row r="8" spans="2:17" x14ac:dyDescent="0.45">
      <c r="B8" s="4" t="s">
        <v>65</v>
      </c>
      <c r="C8" s="4" t="s">
        <v>73</v>
      </c>
      <c r="D8" s="4" t="s">
        <v>67</v>
      </c>
      <c r="E8" s="4" t="s">
        <v>74</v>
      </c>
      <c r="F8" s="6">
        <v>45</v>
      </c>
      <c r="G8" s="6"/>
      <c r="H8" s="4" t="s">
        <v>75</v>
      </c>
      <c r="I8" t="str">
        <f>IF(AND($C8&lt;&gt;"",N($F8)&gt;0,NOT(OR($B8="Rack",$B8="Gabinete",$B8="Rack de pared",$B8="Gabinete de pared"))),MAX($I$5:$I7)+1,"")</f>
        <v/>
      </c>
      <c r="J8">
        <f>IF(OR($B8="Rack",$B8="Gabinete",$B8="Rack de pared",$B8="Gabinete de pared"),MAX($J$5:$J7)+1,"")</f>
        <v>3</v>
      </c>
      <c r="K8" t="str">
        <f>IF($B8="Organizador vertical",COUNTIF($B$6:$B8,"Organizador vertical"),"")</f>
        <v/>
      </c>
      <c r="L8" t="str">
        <f>IF($B8="Jack",COUNTIF($B$6:$B8,"Jack"),"")</f>
        <v/>
      </c>
      <c r="M8" t="str">
        <f>IF(AND($C8&lt;&gt;"",N($F8)=0,$B8&lt;&gt;"Rack",$B8&lt;&gt;"Gabinete",$B8&lt;&gt;"Organizador vertical",$B8&lt;&gt;"Jack"),MAX($M$5:$M7)+1,"")</f>
        <v/>
      </c>
      <c r="N8" s="6">
        <v>0</v>
      </c>
      <c r="O8" s="9">
        <f t="shared" si="0"/>
        <v>0</v>
      </c>
      <c r="P8" s="6"/>
      <c r="Q8" s="6"/>
    </row>
    <row r="9" spans="2:17" x14ac:dyDescent="0.45">
      <c r="B9" s="4" t="s">
        <v>65</v>
      </c>
      <c r="C9" s="4" t="s">
        <v>76</v>
      </c>
      <c r="D9" s="4" t="s">
        <v>67</v>
      </c>
      <c r="E9" s="4" t="s">
        <v>77</v>
      </c>
      <c r="F9" s="6">
        <v>42</v>
      </c>
      <c r="G9" s="6"/>
      <c r="H9" s="4" t="s">
        <v>78</v>
      </c>
      <c r="I9" t="str">
        <f>IF(AND($C9&lt;&gt;"",N($F9)&gt;0,NOT(OR($B9="Rack",$B9="Gabinete",$B9="Rack de pared",$B9="Gabinete de pared"))),MAX($I$5:$I8)+1,"")</f>
        <v/>
      </c>
      <c r="J9">
        <f>IF(OR($B9="Rack",$B9="Gabinete",$B9="Rack de pared",$B9="Gabinete de pared"),MAX($J$5:$J8)+1,"")</f>
        <v>4</v>
      </c>
      <c r="K9" t="str">
        <f>IF($B9="Organizador vertical",COUNTIF($B$6:$B9,"Organizador vertical"),"")</f>
        <v/>
      </c>
      <c r="L9" t="str">
        <f>IF($B9="Jack",COUNTIF($B$6:$B9,"Jack"),"")</f>
        <v/>
      </c>
      <c r="M9" t="str">
        <f>IF(AND($C9&lt;&gt;"",N($F9)=0,$B9&lt;&gt;"Rack",$B9&lt;&gt;"Gabinete",$B9&lt;&gt;"Organizador vertical",$B9&lt;&gt;"Jack"),MAX($M$5:$M8)+1,"")</f>
        <v/>
      </c>
      <c r="N9" s="6">
        <v>0</v>
      </c>
      <c r="O9" s="9">
        <f t="shared" si="0"/>
        <v>0</v>
      </c>
      <c r="P9" s="6"/>
      <c r="Q9" s="6"/>
    </row>
    <row r="10" spans="2:17" x14ac:dyDescent="0.45">
      <c r="B10" s="4" t="s">
        <v>79</v>
      </c>
      <c r="C10" s="4" t="s">
        <v>80</v>
      </c>
      <c r="D10" s="4" t="s">
        <v>67</v>
      </c>
      <c r="E10" s="4" t="s">
        <v>81</v>
      </c>
      <c r="F10" s="6"/>
      <c r="G10" s="6"/>
      <c r="H10" s="4" t="s">
        <v>82</v>
      </c>
      <c r="I10" t="str">
        <f>IF(AND($C10&lt;&gt;"",N($F10)&gt;0,NOT(OR($B10="Rack",$B10="Gabinete",$B10="Rack de pared",$B10="Gabinete de pared"))),MAX($I$5:$I9)+1,"")</f>
        <v/>
      </c>
      <c r="J10" t="str">
        <f>IF(OR($B10="Rack",$B10="Gabinete",$B10="Rack de pared",$B10="Gabinete de pared"),MAX($J$5:$J9)+1,"")</f>
        <v/>
      </c>
      <c r="K10">
        <f>IF($B10="Organizador vertical",COUNTIF($B$6:$B10,"Organizador vertical"),"")</f>
        <v>1</v>
      </c>
      <c r="L10" t="str">
        <f>IF($B10="Jack",COUNTIF($B$6:$B10,"Jack"),"")</f>
        <v/>
      </c>
      <c r="M10" t="str">
        <f>IF(AND($C10&lt;&gt;"",N($F10)=0,$B10&lt;&gt;"Rack",$B10&lt;&gt;"Gabinete",$B10&lt;&gt;"Organizador vertical",$B10&lt;&gt;"Jack"),MAX($M$5:$M9)+1,"")</f>
        <v/>
      </c>
      <c r="N10" s="6">
        <v>0</v>
      </c>
      <c r="O10" s="9">
        <f t="shared" si="0"/>
        <v>0</v>
      </c>
      <c r="P10" s="6"/>
      <c r="Q10" s="6"/>
    </row>
    <row r="11" spans="2:17" x14ac:dyDescent="0.45">
      <c r="B11" s="4" t="s">
        <v>79</v>
      </c>
      <c r="C11" s="4" t="s">
        <v>83</v>
      </c>
      <c r="D11" s="4" t="s">
        <v>67</v>
      </c>
      <c r="E11" s="4" t="s">
        <v>84</v>
      </c>
      <c r="F11" s="6"/>
      <c r="G11" s="6"/>
      <c r="H11" s="4" t="s">
        <v>82</v>
      </c>
      <c r="I11" t="str">
        <f>IF(AND($C11&lt;&gt;"",N($F11)&gt;0,NOT(OR($B11="Rack",$B11="Gabinete",$B11="Rack de pared",$B11="Gabinete de pared"))),MAX($I$5:$I10)+1,"")</f>
        <v/>
      </c>
      <c r="J11" t="str">
        <f>IF(OR($B11="Rack",$B11="Gabinete",$B11="Rack de pared",$B11="Gabinete de pared"),MAX($J$5:$J10)+1,"")</f>
        <v/>
      </c>
      <c r="K11">
        <f>IF($B11="Organizador vertical",COUNTIF($B$6:$B11,"Organizador vertical"),"")</f>
        <v>2</v>
      </c>
      <c r="L11" t="str">
        <f>IF($B11="Jack",COUNTIF($B$6:$B11,"Jack"),"")</f>
        <v/>
      </c>
      <c r="M11" t="str">
        <f>IF(AND($C11&lt;&gt;"",N($F11)=0,$B11&lt;&gt;"Rack",$B11&lt;&gt;"Gabinete",$B11&lt;&gt;"Organizador vertical",$B11&lt;&gt;"Jack"),MAX($M$5:$M10)+1,"")</f>
        <v/>
      </c>
      <c r="N11" s="6">
        <v>0</v>
      </c>
      <c r="O11" s="9">
        <f t="shared" si="0"/>
        <v>0</v>
      </c>
      <c r="P11" s="6"/>
      <c r="Q11" s="6"/>
    </row>
    <row r="12" spans="2:17" x14ac:dyDescent="0.45">
      <c r="B12" s="4" t="s">
        <v>79</v>
      </c>
      <c r="C12" s="4" t="s">
        <v>85</v>
      </c>
      <c r="D12" s="4" t="s">
        <v>67</v>
      </c>
      <c r="E12" s="4" t="s">
        <v>86</v>
      </c>
      <c r="F12" s="6"/>
      <c r="G12" s="6"/>
      <c r="H12" s="4" t="s">
        <v>82</v>
      </c>
      <c r="I12" t="str">
        <f>IF(AND($C12&lt;&gt;"",N($F12)&gt;0,NOT(OR($B12="Rack",$B12="Gabinete",$B12="Rack de pared",$B12="Gabinete de pared"))),MAX($I$5:$I11)+1,"")</f>
        <v/>
      </c>
      <c r="J12" t="str">
        <f>IF(OR($B12="Rack",$B12="Gabinete",$B12="Rack de pared",$B12="Gabinete de pared"),MAX($J$5:$J11)+1,"")</f>
        <v/>
      </c>
      <c r="K12">
        <f>IF($B12="Organizador vertical",COUNTIF($B$6:$B12,"Organizador vertical"),"")</f>
        <v>3</v>
      </c>
      <c r="L12" t="str">
        <f>IF($B12="Jack",COUNTIF($B$6:$B12,"Jack"),"")</f>
        <v/>
      </c>
      <c r="M12" t="str">
        <f>IF(AND($C12&lt;&gt;"",N($F12)=0,$B12&lt;&gt;"Rack",$B12&lt;&gt;"Gabinete",$B12&lt;&gt;"Organizador vertical",$B12&lt;&gt;"Jack"),MAX($M$5:$M11)+1,"")</f>
        <v/>
      </c>
      <c r="N12" s="6">
        <v>0</v>
      </c>
      <c r="O12" s="9">
        <f t="shared" si="0"/>
        <v>0</v>
      </c>
      <c r="P12" s="6"/>
      <c r="Q12" s="6"/>
    </row>
    <row r="13" spans="2:17" x14ac:dyDescent="0.45">
      <c r="B13" s="4" t="s">
        <v>79</v>
      </c>
      <c r="C13" s="4" t="s">
        <v>87</v>
      </c>
      <c r="D13" s="4" t="s">
        <v>67</v>
      </c>
      <c r="E13" s="4" t="s">
        <v>88</v>
      </c>
      <c r="F13" s="6"/>
      <c r="G13" s="6"/>
      <c r="H13" s="4" t="s">
        <v>82</v>
      </c>
      <c r="I13" t="str">
        <f>IF(AND($C13&lt;&gt;"",N($F13)&gt;0,NOT(OR($B13="Rack",$B13="Gabinete",$B13="Rack de pared",$B13="Gabinete de pared"))),MAX($I$5:$I12)+1,"")</f>
        <v/>
      </c>
      <c r="J13" t="str">
        <f>IF(OR($B13="Rack",$B13="Gabinete",$B13="Rack de pared",$B13="Gabinete de pared"),MAX($J$5:$J12)+1,"")</f>
        <v/>
      </c>
      <c r="K13">
        <f>IF($B13="Organizador vertical",COUNTIF($B$6:$B13,"Organizador vertical"),"")</f>
        <v>4</v>
      </c>
      <c r="L13" t="str">
        <f>IF($B13="Jack",COUNTIF($B$6:$B13,"Jack"),"")</f>
        <v/>
      </c>
      <c r="M13" t="str">
        <f>IF(AND($C13&lt;&gt;"",N($F13)=0,$B13&lt;&gt;"Rack",$B13&lt;&gt;"Gabinete",$B13&lt;&gt;"Organizador vertical",$B13&lt;&gt;"Jack"),MAX($M$5:$M12)+1,"")</f>
        <v/>
      </c>
      <c r="N13" s="6">
        <v>0</v>
      </c>
      <c r="O13" s="9">
        <f t="shared" si="0"/>
        <v>0</v>
      </c>
      <c r="P13" s="6"/>
      <c r="Q13" s="6"/>
    </row>
    <row r="14" spans="2:17" x14ac:dyDescent="0.45">
      <c r="B14" s="4" t="s">
        <v>79</v>
      </c>
      <c r="C14" s="4" t="s">
        <v>89</v>
      </c>
      <c r="D14" s="4" t="s">
        <v>67</v>
      </c>
      <c r="E14" s="4" t="s">
        <v>90</v>
      </c>
      <c r="F14" s="6"/>
      <c r="G14" s="6"/>
      <c r="H14" s="4" t="s">
        <v>82</v>
      </c>
      <c r="I14" t="str">
        <f>IF(AND($C14&lt;&gt;"",N($F14)&gt;0,NOT(OR($B14="Rack",$B14="Gabinete",$B14="Rack de pared",$B14="Gabinete de pared"))),MAX($I$5:$I13)+1,"")</f>
        <v/>
      </c>
      <c r="J14" t="str">
        <f>IF(OR($B14="Rack",$B14="Gabinete",$B14="Rack de pared",$B14="Gabinete de pared"),MAX($J$5:$J13)+1,"")</f>
        <v/>
      </c>
      <c r="K14">
        <f>IF($B14="Organizador vertical",COUNTIF($B$6:$B14,"Organizador vertical"),"")</f>
        <v>5</v>
      </c>
      <c r="L14" t="str">
        <f>IF($B14="Jack",COUNTIF($B$6:$B14,"Jack"),"")</f>
        <v/>
      </c>
      <c r="M14" t="str">
        <f>IF(AND($C14&lt;&gt;"",N($F14)=0,$B14&lt;&gt;"Rack",$B14&lt;&gt;"Gabinete",$B14&lt;&gt;"Organizador vertical",$B14&lt;&gt;"Jack"),MAX($M$5:$M13)+1,"")</f>
        <v/>
      </c>
      <c r="N14" s="6">
        <v>0</v>
      </c>
      <c r="O14" s="9">
        <f t="shared" si="0"/>
        <v>0</v>
      </c>
      <c r="P14" s="6"/>
      <c r="Q14" s="6"/>
    </row>
    <row r="15" spans="2:17" x14ac:dyDescent="0.45">
      <c r="B15" s="4" t="s">
        <v>79</v>
      </c>
      <c r="C15" s="4" t="s">
        <v>91</v>
      </c>
      <c r="D15" s="4" t="s">
        <v>67</v>
      </c>
      <c r="E15" s="4" t="s">
        <v>92</v>
      </c>
      <c r="F15" s="6"/>
      <c r="G15" s="6"/>
      <c r="H15" s="4" t="s">
        <v>82</v>
      </c>
      <c r="I15" t="str">
        <f>IF(AND($C15&lt;&gt;"",N($F15)&gt;0,NOT(OR($B15="Rack",$B15="Gabinete",$B15="Rack de pared",$B15="Gabinete de pared"))),MAX($I$5:$I14)+1,"")</f>
        <v/>
      </c>
      <c r="J15" t="str">
        <f>IF(OR($B15="Rack",$B15="Gabinete",$B15="Rack de pared",$B15="Gabinete de pared"),MAX($J$5:$J14)+1,"")</f>
        <v/>
      </c>
      <c r="K15">
        <f>IF($B15="Organizador vertical",COUNTIF($B$6:$B15,"Organizador vertical"),"")</f>
        <v>6</v>
      </c>
      <c r="L15" t="str">
        <f>IF($B15="Jack",COUNTIF($B$6:$B15,"Jack"),"")</f>
        <v/>
      </c>
      <c r="M15" t="str">
        <f>IF(AND($C15&lt;&gt;"",N($F15)=0,$B15&lt;&gt;"Rack",$B15&lt;&gt;"Gabinete",$B15&lt;&gt;"Organizador vertical",$B15&lt;&gt;"Jack"),MAX($M$5:$M14)+1,"")</f>
        <v/>
      </c>
      <c r="N15" s="6">
        <v>0</v>
      </c>
      <c r="O15" s="9">
        <f t="shared" si="0"/>
        <v>0</v>
      </c>
      <c r="P15" s="6"/>
      <c r="Q15" s="6"/>
    </row>
    <row r="16" spans="2:17" x14ac:dyDescent="0.45">
      <c r="B16" s="4" t="s">
        <v>79</v>
      </c>
      <c r="C16" s="4" t="s">
        <v>93</v>
      </c>
      <c r="D16" s="4" t="s">
        <v>67</v>
      </c>
      <c r="E16" s="4" t="s">
        <v>94</v>
      </c>
      <c r="F16" s="6"/>
      <c r="G16" s="6"/>
      <c r="H16" s="4" t="s">
        <v>82</v>
      </c>
      <c r="I16" t="str">
        <f>IF(AND($C16&lt;&gt;"",N($F16)&gt;0,NOT(OR($B16="Rack",$B16="Gabinete",$B16="Rack de pared",$B16="Gabinete de pared"))),MAX($I$5:$I15)+1,"")</f>
        <v/>
      </c>
      <c r="J16" t="str">
        <f>IF(OR($B16="Rack",$B16="Gabinete",$B16="Rack de pared",$B16="Gabinete de pared"),MAX($J$5:$J15)+1,"")</f>
        <v/>
      </c>
      <c r="K16">
        <f>IF($B16="Organizador vertical",COUNTIF($B$6:$B16,"Organizador vertical"),"")</f>
        <v>7</v>
      </c>
      <c r="L16" t="str">
        <f>IF($B16="Jack",COUNTIF($B$6:$B16,"Jack"),"")</f>
        <v/>
      </c>
      <c r="M16" t="str">
        <f>IF(AND($C16&lt;&gt;"",N($F16)=0,$B16&lt;&gt;"Rack",$B16&lt;&gt;"Gabinete",$B16&lt;&gt;"Organizador vertical",$B16&lt;&gt;"Jack"),MAX($M$5:$M15)+1,"")</f>
        <v/>
      </c>
      <c r="N16" s="6">
        <v>0</v>
      </c>
      <c r="O16" s="9">
        <f t="shared" si="0"/>
        <v>0</v>
      </c>
      <c r="P16" s="6"/>
      <c r="Q16" s="6"/>
    </row>
    <row r="17" spans="2:17" x14ac:dyDescent="0.45">
      <c r="B17" s="4" t="s">
        <v>79</v>
      </c>
      <c r="C17" s="4" t="s">
        <v>95</v>
      </c>
      <c r="D17" s="4" t="s">
        <v>67</v>
      </c>
      <c r="E17" s="4" t="s">
        <v>96</v>
      </c>
      <c r="F17" s="6"/>
      <c r="G17" s="6"/>
      <c r="H17" s="4" t="s">
        <v>82</v>
      </c>
      <c r="I17" t="str">
        <f>IF(AND($C17&lt;&gt;"",N($F17)&gt;0,NOT(OR($B17="Rack",$B17="Gabinete",$B17="Rack de pared",$B17="Gabinete de pared"))),MAX($I$5:$I16)+1,"")</f>
        <v/>
      </c>
      <c r="J17" t="str">
        <f>IF(OR($B17="Rack",$B17="Gabinete",$B17="Rack de pared",$B17="Gabinete de pared"),MAX($J$5:$J16)+1,"")</f>
        <v/>
      </c>
      <c r="K17">
        <f>IF($B17="Organizador vertical",COUNTIF($B$6:$B17,"Organizador vertical"),"")</f>
        <v>8</v>
      </c>
      <c r="L17" t="str">
        <f>IF($B17="Jack",COUNTIF($B$6:$B17,"Jack"),"")</f>
        <v/>
      </c>
      <c r="M17" t="str">
        <f>IF(AND($C17&lt;&gt;"",N($F17)=0,$B17&lt;&gt;"Rack",$B17&lt;&gt;"Gabinete",$B17&lt;&gt;"Organizador vertical",$B17&lt;&gt;"Jack"),MAX($M$5:$M16)+1,"")</f>
        <v/>
      </c>
      <c r="N17" s="6">
        <v>0</v>
      </c>
      <c r="O17" s="9">
        <f t="shared" si="0"/>
        <v>0</v>
      </c>
      <c r="P17" s="6"/>
      <c r="Q17" s="6"/>
    </row>
    <row r="18" spans="2:17" x14ac:dyDescent="0.45">
      <c r="B18" s="4" t="s">
        <v>79</v>
      </c>
      <c r="C18" s="4" t="s">
        <v>97</v>
      </c>
      <c r="D18" s="4" t="s">
        <v>67</v>
      </c>
      <c r="E18" s="4" t="s">
        <v>98</v>
      </c>
      <c r="F18" s="6"/>
      <c r="G18" s="6"/>
      <c r="H18" s="4" t="s">
        <v>99</v>
      </c>
      <c r="I18" t="str">
        <f>IF(AND($C18&lt;&gt;"",N($F18)&gt;0,NOT(OR($B18="Rack",$B18="Gabinete",$B18="Rack de pared",$B18="Gabinete de pared"))),MAX($I$5:$I17)+1,"")</f>
        <v/>
      </c>
      <c r="J18" t="str">
        <f>IF(OR($B18="Rack",$B18="Gabinete",$B18="Rack de pared",$B18="Gabinete de pared"),MAX($J$5:$J17)+1,"")</f>
        <v/>
      </c>
      <c r="K18">
        <f>IF($B18="Organizador vertical",COUNTIF($B$6:$B18,"Organizador vertical"),"")</f>
        <v>9</v>
      </c>
      <c r="L18" t="str">
        <f>IF($B18="Jack",COUNTIF($B$6:$B18,"Jack"),"")</f>
        <v/>
      </c>
      <c r="M18" t="str">
        <f>IF(AND($C18&lt;&gt;"",N($F18)=0,$B18&lt;&gt;"Rack",$B18&lt;&gt;"Gabinete",$B18&lt;&gt;"Organizador vertical",$B18&lt;&gt;"Jack"),MAX($M$5:$M17)+1,"")</f>
        <v/>
      </c>
      <c r="N18" s="6">
        <v>0</v>
      </c>
      <c r="O18" s="9">
        <f t="shared" si="0"/>
        <v>0</v>
      </c>
      <c r="P18" s="6"/>
      <c r="Q18" s="6"/>
    </row>
    <row r="19" spans="2:17" x14ac:dyDescent="0.45">
      <c r="B19" s="4" t="s">
        <v>79</v>
      </c>
      <c r="C19" s="4" t="s">
        <v>100</v>
      </c>
      <c r="D19" s="4" t="s">
        <v>67</v>
      </c>
      <c r="E19" s="4" t="s">
        <v>101</v>
      </c>
      <c r="F19" s="6"/>
      <c r="G19" s="6"/>
      <c r="H19" s="4" t="s">
        <v>102</v>
      </c>
      <c r="I19" t="str">
        <f>IF(AND($C19&lt;&gt;"",N($F19)&gt;0,NOT(OR($B19="Rack",$B19="Gabinete",$B19="Rack de pared",$B19="Gabinete de pared"))),MAX($I$5:$I18)+1,"")</f>
        <v/>
      </c>
      <c r="J19" t="str">
        <f>IF(OR($B19="Rack",$B19="Gabinete",$B19="Rack de pared",$B19="Gabinete de pared"),MAX($J$5:$J18)+1,"")</f>
        <v/>
      </c>
      <c r="K19">
        <f>IF($B19="Organizador vertical",COUNTIF($B$6:$B19,"Organizador vertical"),"")</f>
        <v>10</v>
      </c>
      <c r="L19" t="str">
        <f>IF($B19="Jack",COUNTIF($B$6:$B19,"Jack"),"")</f>
        <v/>
      </c>
      <c r="M19" t="str">
        <f>IF(AND($C19&lt;&gt;"",N($F19)=0,$B19&lt;&gt;"Rack",$B19&lt;&gt;"Gabinete",$B19&lt;&gt;"Organizador vertical",$B19&lt;&gt;"Jack"),MAX($M$5:$M18)+1,"")</f>
        <v/>
      </c>
      <c r="N19" s="6">
        <v>0</v>
      </c>
      <c r="O19" s="9">
        <f t="shared" si="0"/>
        <v>0</v>
      </c>
      <c r="P19" s="6"/>
      <c r="Q19" s="6"/>
    </row>
    <row r="20" spans="2:17" x14ac:dyDescent="0.45">
      <c r="B20" s="4" t="s">
        <v>103</v>
      </c>
      <c r="C20" s="4" t="s">
        <v>104</v>
      </c>
      <c r="D20" s="4" t="s">
        <v>67</v>
      </c>
      <c r="E20" s="4" t="s">
        <v>105</v>
      </c>
      <c r="F20" s="6">
        <v>1</v>
      </c>
      <c r="G20" s="6">
        <v>24</v>
      </c>
      <c r="H20" s="4" t="s">
        <v>106</v>
      </c>
      <c r="I20">
        <f>IF(AND($C20&lt;&gt;"",N($F20)&gt;0,NOT(OR($B20="Rack",$B20="Gabinete",$B20="Rack de pared",$B20="Gabinete de pared"))),MAX($I$5:$I19)+1,"")</f>
        <v>1</v>
      </c>
      <c r="J20" t="str">
        <f>IF(OR($B20="Rack",$B20="Gabinete",$B20="Rack de pared",$B20="Gabinete de pared"),MAX($J$5:$J19)+1,"")</f>
        <v/>
      </c>
      <c r="K20" t="str">
        <f>IF($B20="Organizador vertical",COUNTIF($B$6:$B20,"Organizador vertical"),"")</f>
        <v/>
      </c>
      <c r="L20" t="str">
        <f>IF($B20="Jack",COUNTIF($B$6:$B20,"Jack"),"")</f>
        <v/>
      </c>
      <c r="M20" t="str">
        <f>IF(AND($C20&lt;&gt;"",N($F20)=0,$B20&lt;&gt;"Rack",$B20&lt;&gt;"Gabinete",$B20&lt;&gt;"Organizador vertical",$B20&lt;&gt;"Jack"),MAX($M$5:$M19)+1,"")</f>
        <v/>
      </c>
      <c r="N20" s="6">
        <v>0</v>
      </c>
      <c r="O20" s="9">
        <f t="shared" si="0"/>
        <v>0</v>
      </c>
      <c r="P20" s="6">
        <v>1</v>
      </c>
      <c r="Q20" s="6"/>
    </row>
    <row r="21" spans="2:17" x14ac:dyDescent="0.45">
      <c r="B21" s="4" t="s">
        <v>103</v>
      </c>
      <c r="C21" s="4" t="s">
        <v>107</v>
      </c>
      <c r="D21" s="4" t="s">
        <v>67</v>
      </c>
      <c r="E21" s="4" t="s">
        <v>108</v>
      </c>
      <c r="F21" s="6">
        <v>2</v>
      </c>
      <c r="G21" s="6">
        <v>48</v>
      </c>
      <c r="H21" s="4" t="s">
        <v>106</v>
      </c>
      <c r="I21">
        <f>IF(AND($C21&lt;&gt;"",N($F21)&gt;0,NOT(OR($B21="Rack",$B21="Gabinete",$B21="Rack de pared",$B21="Gabinete de pared"))),MAX($I$5:$I20)+1,"")</f>
        <v>2</v>
      </c>
      <c r="J21" t="str">
        <f>IF(OR($B21="Rack",$B21="Gabinete",$B21="Rack de pared",$B21="Gabinete de pared"),MAX($J$5:$J20)+1,"")</f>
        <v/>
      </c>
      <c r="K21" t="str">
        <f>IF($B21="Organizador vertical",COUNTIF($B$6:$B21,"Organizador vertical"),"")</f>
        <v/>
      </c>
      <c r="L21" t="str">
        <f>IF($B21="Jack",COUNTIF($B$6:$B21,"Jack"),"")</f>
        <v/>
      </c>
      <c r="M21" t="str">
        <f>IF(AND($C21&lt;&gt;"",N($F21)=0,$B21&lt;&gt;"Rack",$B21&lt;&gt;"Gabinete",$B21&lt;&gt;"Organizador vertical",$B21&lt;&gt;"Jack"),MAX($M$5:$M20)+1,"")</f>
        <v/>
      </c>
      <c r="N21" s="6">
        <v>0</v>
      </c>
      <c r="O21" s="9">
        <f t="shared" si="0"/>
        <v>0</v>
      </c>
      <c r="P21" s="6">
        <v>2</v>
      </c>
      <c r="Q21" s="6"/>
    </row>
    <row r="22" spans="2:17" x14ac:dyDescent="0.45">
      <c r="B22" s="4" t="s">
        <v>103</v>
      </c>
      <c r="C22" s="4" t="s">
        <v>109</v>
      </c>
      <c r="D22" s="4" t="s">
        <v>67</v>
      </c>
      <c r="E22" s="4" t="s">
        <v>110</v>
      </c>
      <c r="F22" s="6">
        <v>1</v>
      </c>
      <c r="G22" s="6">
        <v>24</v>
      </c>
      <c r="H22" s="4" t="s">
        <v>111</v>
      </c>
      <c r="I22">
        <f>IF(AND($C22&lt;&gt;"",N($F22)&gt;0,NOT(OR($B22="Rack",$B22="Gabinete",$B22="Rack de pared",$B22="Gabinete de pared"))),MAX($I$5:$I21)+1,"")</f>
        <v>3</v>
      </c>
      <c r="J22" t="str">
        <f>IF(OR($B22="Rack",$B22="Gabinete",$B22="Rack de pared",$B22="Gabinete de pared"),MAX($J$5:$J21)+1,"")</f>
        <v/>
      </c>
      <c r="K22" t="str">
        <f>IF($B22="Organizador vertical",COUNTIF($B$6:$B22,"Organizador vertical"),"")</f>
        <v/>
      </c>
      <c r="L22" t="str">
        <f>IF($B22="Jack",COUNTIF($B$6:$B22,"Jack"),"")</f>
        <v/>
      </c>
      <c r="M22" t="str">
        <f>IF(AND($C22&lt;&gt;"",N($F22)=0,$B22&lt;&gt;"Rack",$B22&lt;&gt;"Gabinete",$B22&lt;&gt;"Organizador vertical",$B22&lt;&gt;"Jack"),MAX($M$5:$M21)+1,"")</f>
        <v/>
      </c>
      <c r="N22" s="6">
        <v>0</v>
      </c>
      <c r="O22" s="9">
        <f t="shared" si="0"/>
        <v>0</v>
      </c>
      <c r="P22" s="6">
        <v>1</v>
      </c>
      <c r="Q22" s="6"/>
    </row>
    <row r="23" spans="2:17" x14ac:dyDescent="0.45">
      <c r="B23" s="4" t="s">
        <v>103</v>
      </c>
      <c r="C23" s="4" t="s">
        <v>112</v>
      </c>
      <c r="D23" s="4" t="s">
        <v>67</v>
      </c>
      <c r="E23" s="4" t="s">
        <v>113</v>
      </c>
      <c r="F23" s="6">
        <v>2</v>
      </c>
      <c r="G23" s="6">
        <v>48</v>
      </c>
      <c r="H23" s="4" t="s">
        <v>111</v>
      </c>
      <c r="I23">
        <f>IF(AND($C23&lt;&gt;"",N($F23)&gt;0,NOT(OR($B23="Rack",$B23="Gabinete",$B23="Rack de pared",$B23="Gabinete de pared"))),MAX($I$5:$I22)+1,"")</f>
        <v>4</v>
      </c>
      <c r="J23" t="str">
        <f>IF(OR($B23="Rack",$B23="Gabinete",$B23="Rack de pared",$B23="Gabinete de pared"),MAX($J$5:$J22)+1,"")</f>
        <v/>
      </c>
      <c r="K23" t="str">
        <f>IF($B23="Organizador vertical",COUNTIF($B$6:$B23,"Organizador vertical"),"")</f>
        <v/>
      </c>
      <c r="L23" t="str">
        <f>IF($B23="Jack",COUNTIF($B$6:$B23,"Jack"),"")</f>
        <v/>
      </c>
      <c r="M23" t="str">
        <f>IF(AND($C23&lt;&gt;"",N($F23)=0,$B23&lt;&gt;"Rack",$B23&lt;&gt;"Gabinete",$B23&lt;&gt;"Organizador vertical",$B23&lt;&gt;"Jack"),MAX($M$5:$M22)+1,"")</f>
        <v/>
      </c>
      <c r="N23" s="6">
        <v>0</v>
      </c>
      <c r="O23" s="9">
        <f t="shared" si="0"/>
        <v>0</v>
      </c>
      <c r="P23" s="6">
        <v>2</v>
      </c>
      <c r="Q23" s="6"/>
    </row>
    <row r="24" spans="2:17" x14ac:dyDescent="0.45">
      <c r="B24" s="4" t="s">
        <v>103</v>
      </c>
      <c r="C24" s="4" t="s">
        <v>114</v>
      </c>
      <c r="D24" s="4" t="s">
        <v>67</v>
      </c>
      <c r="E24" s="4" t="s">
        <v>115</v>
      </c>
      <c r="F24" s="6">
        <v>1</v>
      </c>
      <c r="G24" s="6">
        <v>48</v>
      </c>
      <c r="H24" s="4" t="s">
        <v>116</v>
      </c>
      <c r="I24">
        <f>IF(AND($C24&lt;&gt;"",N($F24)&gt;0,NOT(OR($B24="Rack",$B24="Gabinete",$B24="Rack de pared",$B24="Gabinete de pared"))),MAX($I$5:$I23)+1,"")</f>
        <v>5</v>
      </c>
      <c r="J24" t="str">
        <f>IF(OR($B24="Rack",$B24="Gabinete",$B24="Rack de pared",$B24="Gabinete de pared"),MAX($J$5:$J23)+1,"")</f>
        <v/>
      </c>
      <c r="K24" t="str">
        <f>IF($B24="Organizador vertical",COUNTIF($B$6:$B24,"Organizador vertical"),"")</f>
        <v/>
      </c>
      <c r="L24" t="str">
        <f>IF($B24="Jack",COUNTIF($B$6:$B24,"Jack"),"")</f>
        <v/>
      </c>
      <c r="M24" t="str">
        <f>IF(AND($C24&lt;&gt;"",N($F24)=0,$B24&lt;&gt;"Rack",$B24&lt;&gt;"Gabinete",$B24&lt;&gt;"Organizador vertical",$B24&lt;&gt;"Jack"),MAX($M$5:$M23)+1,"")</f>
        <v/>
      </c>
      <c r="N24" s="6">
        <v>0</v>
      </c>
      <c r="O24" s="9">
        <f t="shared" si="0"/>
        <v>0</v>
      </c>
      <c r="P24" s="6">
        <v>1.5</v>
      </c>
      <c r="Q24" s="6"/>
    </row>
    <row r="25" spans="2:17" x14ac:dyDescent="0.45">
      <c r="B25" s="4" t="s">
        <v>103</v>
      </c>
      <c r="C25" s="4" t="s">
        <v>117</v>
      </c>
      <c r="D25" s="4" t="s">
        <v>67</v>
      </c>
      <c r="E25" s="4" t="s">
        <v>118</v>
      </c>
      <c r="F25" s="6">
        <v>1</v>
      </c>
      <c r="G25" s="6">
        <v>48</v>
      </c>
      <c r="H25" s="4" t="s">
        <v>119</v>
      </c>
      <c r="I25">
        <f>IF(AND($C25&lt;&gt;"",N($F25)&gt;0,NOT(OR($B25="Rack",$B25="Gabinete",$B25="Rack de pared",$B25="Gabinete de pared"))),MAX($I$5:$I24)+1,"")</f>
        <v>6</v>
      </c>
      <c r="J25" t="str">
        <f>IF(OR($B25="Rack",$B25="Gabinete",$B25="Rack de pared",$B25="Gabinete de pared"),MAX($J$5:$J24)+1,"")</f>
        <v/>
      </c>
      <c r="K25" t="str">
        <f>IF($B25="Organizador vertical",COUNTIF($B$6:$B25,"Organizador vertical"),"")</f>
        <v/>
      </c>
      <c r="L25" t="str">
        <f>IF($B25="Jack",COUNTIF($B$6:$B25,"Jack"),"")</f>
        <v/>
      </c>
      <c r="M25" t="str">
        <f>IF(AND($C25&lt;&gt;"",N($F25)=0,$B25&lt;&gt;"Rack",$B25&lt;&gt;"Gabinete",$B25&lt;&gt;"Organizador vertical",$B25&lt;&gt;"Jack"),MAX($M$5:$M24)+1,"")</f>
        <v/>
      </c>
      <c r="N25" s="6">
        <v>0</v>
      </c>
      <c r="O25" s="9">
        <f t="shared" si="0"/>
        <v>0</v>
      </c>
      <c r="P25" s="6">
        <v>1.5</v>
      </c>
      <c r="Q25" s="6"/>
    </row>
    <row r="26" spans="2:17" x14ac:dyDescent="0.45">
      <c r="B26" s="4" t="s">
        <v>120</v>
      </c>
      <c r="C26" s="4" t="s">
        <v>121</v>
      </c>
      <c r="D26" s="4" t="s">
        <v>67</v>
      </c>
      <c r="E26" s="4" t="s">
        <v>122</v>
      </c>
      <c r="F26" s="6">
        <v>1</v>
      </c>
      <c r="G26" s="6"/>
      <c r="H26" s="4" t="s">
        <v>123</v>
      </c>
      <c r="I26">
        <f>IF(AND($C26&lt;&gt;"",N($F26)&gt;0,NOT(OR($B26="Rack",$B26="Gabinete",$B26="Rack de pared",$B26="Gabinete de pared"))),MAX($I$5:$I25)+1,"")</f>
        <v>7</v>
      </c>
      <c r="J26" t="str">
        <f>IF(OR($B26="Rack",$B26="Gabinete",$B26="Rack de pared",$B26="Gabinete de pared"),MAX($J$5:$J25)+1,"")</f>
        <v/>
      </c>
      <c r="K26" t="str">
        <f>IF($B26="Organizador vertical",COUNTIF($B$6:$B26,"Organizador vertical"),"")</f>
        <v/>
      </c>
      <c r="L26" t="str">
        <f>IF($B26="Jack",COUNTIF($B$6:$B26,"Jack"),"")</f>
        <v/>
      </c>
      <c r="M26" t="str">
        <f>IF(AND($C26&lt;&gt;"",N($F26)=0,$B26&lt;&gt;"Rack",$B26&lt;&gt;"Gabinete",$B26&lt;&gt;"Organizador vertical",$B26&lt;&gt;"Jack"),MAX($M$5:$M25)+1,"")</f>
        <v/>
      </c>
      <c r="N26" s="6">
        <v>0</v>
      </c>
      <c r="O26" s="9">
        <f t="shared" si="0"/>
        <v>0</v>
      </c>
      <c r="P26" s="6">
        <v>1</v>
      </c>
      <c r="Q26" s="6"/>
    </row>
    <row r="27" spans="2:17" x14ac:dyDescent="0.45">
      <c r="B27" s="4" t="s">
        <v>120</v>
      </c>
      <c r="C27" s="4" t="s">
        <v>124</v>
      </c>
      <c r="D27" s="4" t="s">
        <v>67</v>
      </c>
      <c r="E27" s="4" t="s">
        <v>125</v>
      </c>
      <c r="F27" s="6">
        <v>1</v>
      </c>
      <c r="G27" s="6"/>
      <c r="H27" s="4" t="s">
        <v>123</v>
      </c>
      <c r="I27">
        <f>IF(AND($C27&lt;&gt;"",N($F27)&gt;0,NOT(OR($B27="Rack",$B27="Gabinete",$B27="Rack de pared",$B27="Gabinete de pared"))),MAX($I$5:$I26)+1,"")</f>
        <v>8</v>
      </c>
      <c r="J27" t="str">
        <f>IF(OR($B27="Rack",$B27="Gabinete",$B27="Rack de pared",$B27="Gabinete de pared"),MAX($J$5:$J26)+1,"")</f>
        <v/>
      </c>
      <c r="K27" t="str">
        <f>IF($B27="Organizador vertical",COUNTIF($B$6:$B27,"Organizador vertical"),"")</f>
        <v/>
      </c>
      <c r="L27" t="str">
        <f>IF($B27="Jack",COUNTIF($B$6:$B27,"Jack"),"")</f>
        <v/>
      </c>
      <c r="M27" t="str">
        <f>IF(AND($C27&lt;&gt;"",N($F27)=0,$B27&lt;&gt;"Rack",$B27&lt;&gt;"Gabinete",$B27&lt;&gt;"Organizador vertical",$B27&lt;&gt;"Jack"),MAX($M$5:$M26)+1,"")</f>
        <v/>
      </c>
      <c r="N27" s="6">
        <v>0</v>
      </c>
      <c r="O27" s="9">
        <f t="shared" si="0"/>
        <v>0</v>
      </c>
      <c r="P27" s="6">
        <v>1</v>
      </c>
      <c r="Q27" s="6"/>
    </row>
    <row r="28" spans="2:17" x14ac:dyDescent="0.45">
      <c r="B28" s="4" t="s">
        <v>120</v>
      </c>
      <c r="C28" s="4" t="s">
        <v>126</v>
      </c>
      <c r="D28" s="4" t="s">
        <v>67</v>
      </c>
      <c r="E28" s="4" t="s">
        <v>127</v>
      </c>
      <c r="F28" s="6">
        <v>2</v>
      </c>
      <c r="G28" s="6"/>
      <c r="H28" s="4" t="s">
        <v>123</v>
      </c>
      <c r="I28">
        <f>IF(AND($C28&lt;&gt;"",N($F28)&gt;0,NOT(OR($B28="Rack",$B28="Gabinete",$B28="Rack de pared",$B28="Gabinete de pared"))),MAX($I$5:$I27)+1,"")</f>
        <v>9</v>
      </c>
      <c r="J28" t="str">
        <f>IF(OR($B28="Rack",$B28="Gabinete",$B28="Rack de pared",$B28="Gabinete de pared"),MAX($J$5:$J27)+1,"")</f>
        <v/>
      </c>
      <c r="K28" t="str">
        <f>IF($B28="Organizador vertical",COUNTIF($B$6:$B28,"Organizador vertical"),"")</f>
        <v/>
      </c>
      <c r="L28" t="str">
        <f>IF($B28="Jack",COUNTIF($B$6:$B28,"Jack"),"")</f>
        <v/>
      </c>
      <c r="M28" t="str">
        <f>IF(AND($C28&lt;&gt;"",N($F28)=0,$B28&lt;&gt;"Rack",$B28&lt;&gt;"Gabinete",$B28&lt;&gt;"Organizador vertical",$B28&lt;&gt;"Jack"),MAX($M$5:$M27)+1,"")</f>
        <v/>
      </c>
      <c r="N28" s="6">
        <v>0</v>
      </c>
      <c r="O28" s="9">
        <f t="shared" si="0"/>
        <v>0</v>
      </c>
      <c r="P28" s="6">
        <v>2</v>
      </c>
      <c r="Q28" s="6"/>
    </row>
    <row r="29" spans="2:17" x14ac:dyDescent="0.45">
      <c r="B29" s="4" t="s">
        <v>120</v>
      </c>
      <c r="C29" s="4" t="s">
        <v>128</v>
      </c>
      <c r="D29" s="4" t="s">
        <v>67</v>
      </c>
      <c r="E29" s="4" t="s">
        <v>129</v>
      </c>
      <c r="F29" s="6">
        <v>2</v>
      </c>
      <c r="G29" s="6"/>
      <c r="H29" s="4" t="s">
        <v>123</v>
      </c>
      <c r="I29">
        <f>IF(AND($C29&lt;&gt;"",N($F29)&gt;0,NOT(OR($B29="Rack",$B29="Gabinete",$B29="Rack de pared",$B29="Gabinete de pared"))),MAX($I$5:$I28)+1,"")</f>
        <v>10</v>
      </c>
      <c r="J29" t="str">
        <f>IF(OR($B29="Rack",$B29="Gabinete",$B29="Rack de pared",$B29="Gabinete de pared"),MAX($J$5:$J28)+1,"")</f>
        <v/>
      </c>
      <c r="K29" t="str">
        <f>IF($B29="Organizador vertical",COUNTIF($B$6:$B29,"Organizador vertical"),"")</f>
        <v/>
      </c>
      <c r="L29" t="str">
        <f>IF($B29="Jack",COUNTIF($B$6:$B29,"Jack"),"")</f>
        <v/>
      </c>
      <c r="M29" t="str">
        <f>IF(AND($C29&lt;&gt;"",N($F29)=0,$B29&lt;&gt;"Rack",$B29&lt;&gt;"Gabinete",$B29&lt;&gt;"Organizador vertical",$B29&lt;&gt;"Jack"),MAX($M$5:$M28)+1,"")</f>
        <v/>
      </c>
      <c r="N29" s="6">
        <v>0</v>
      </c>
      <c r="O29" s="9">
        <f t="shared" si="0"/>
        <v>0</v>
      </c>
      <c r="P29" s="6">
        <v>2</v>
      </c>
      <c r="Q29" s="6"/>
    </row>
    <row r="30" spans="2:17" x14ac:dyDescent="0.45">
      <c r="B30" s="4" t="s">
        <v>120</v>
      </c>
      <c r="C30" s="4" t="s">
        <v>130</v>
      </c>
      <c r="D30" s="4" t="s">
        <v>67</v>
      </c>
      <c r="E30" s="4" t="s">
        <v>131</v>
      </c>
      <c r="F30" s="6">
        <v>1</v>
      </c>
      <c r="G30" s="6"/>
      <c r="H30" s="4" t="s">
        <v>132</v>
      </c>
      <c r="I30">
        <f>IF(AND($C30&lt;&gt;"",N($F30)&gt;0,NOT(OR($B30="Rack",$B30="Gabinete",$B30="Rack de pared",$B30="Gabinete de pared"))),MAX($I$5:$I29)+1,"")</f>
        <v>11</v>
      </c>
      <c r="J30" t="str">
        <f>IF(OR($B30="Rack",$B30="Gabinete",$B30="Rack de pared",$B30="Gabinete de pared"),MAX($J$5:$J29)+1,"")</f>
        <v/>
      </c>
      <c r="K30" t="str">
        <f>IF($B30="Organizador vertical",COUNTIF($B$6:$B30,"Organizador vertical"),"")</f>
        <v/>
      </c>
      <c r="L30" t="str">
        <f>IF($B30="Jack",COUNTIF($B$6:$B30,"Jack"),"")</f>
        <v/>
      </c>
      <c r="M30" t="str">
        <f>IF(AND($C30&lt;&gt;"",N($F30)=0,$B30&lt;&gt;"Rack",$B30&lt;&gt;"Gabinete",$B30&lt;&gt;"Organizador vertical",$B30&lt;&gt;"Jack"),MAX($M$5:$M29)+1,"")</f>
        <v/>
      </c>
      <c r="N30" s="6">
        <v>0</v>
      </c>
      <c r="O30" s="9">
        <f t="shared" si="0"/>
        <v>0</v>
      </c>
      <c r="P30" s="6">
        <v>1</v>
      </c>
      <c r="Q30" s="6"/>
    </row>
    <row r="31" spans="2:17" x14ac:dyDescent="0.45">
      <c r="B31" s="4" t="s">
        <v>120</v>
      </c>
      <c r="C31" s="4" t="s">
        <v>133</v>
      </c>
      <c r="D31" s="4" t="s">
        <v>67</v>
      </c>
      <c r="E31" s="4" t="s">
        <v>134</v>
      </c>
      <c r="F31" s="6">
        <v>2</v>
      </c>
      <c r="G31" s="6"/>
      <c r="H31" s="4" t="s">
        <v>132</v>
      </c>
      <c r="I31">
        <f>IF(AND($C31&lt;&gt;"",N($F31)&gt;0,NOT(OR($B31="Rack",$B31="Gabinete",$B31="Rack de pared",$B31="Gabinete de pared"))),MAX($I$5:$I30)+1,"")</f>
        <v>12</v>
      </c>
      <c r="J31" t="str">
        <f>IF(OR($B31="Rack",$B31="Gabinete",$B31="Rack de pared",$B31="Gabinete de pared"),MAX($J$5:$J30)+1,"")</f>
        <v/>
      </c>
      <c r="K31" t="str">
        <f>IF($B31="Organizador vertical",COUNTIF($B$6:$B31,"Organizador vertical"),"")</f>
        <v/>
      </c>
      <c r="L31" t="str">
        <f>IF($B31="Jack",COUNTIF($B$6:$B31,"Jack"),"")</f>
        <v/>
      </c>
      <c r="M31" t="str">
        <f>IF(AND($C31&lt;&gt;"",N($F31)=0,$B31&lt;&gt;"Rack",$B31&lt;&gt;"Gabinete",$B31&lt;&gt;"Organizador vertical",$B31&lt;&gt;"Jack"),MAX($M$5:$M30)+1,"")</f>
        <v/>
      </c>
      <c r="N31" s="6">
        <v>0</v>
      </c>
      <c r="O31" s="9">
        <f t="shared" si="0"/>
        <v>0</v>
      </c>
      <c r="P31" s="6">
        <v>2</v>
      </c>
      <c r="Q31" s="6"/>
    </row>
    <row r="32" spans="2:17" x14ac:dyDescent="0.45">
      <c r="B32" s="4" t="s">
        <v>120</v>
      </c>
      <c r="C32" s="4" t="s">
        <v>135</v>
      </c>
      <c r="D32" s="4" t="s">
        <v>67</v>
      </c>
      <c r="E32" s="4" t="s">
        <v>136</v>
      </c>
      <c r="F32" s="6">
        <v>1</v>
      </c>
      <c r="G32" s="6"/>
      <c r="H32" s="4" t="s">
        <v>132</v>
      </c>
      <c r="I32">
        <f>IF(AND($C32&lt;&gt;"",N($F32)&gt;0,NOT(OR($B32="Rack",$B32="Gabinete",$B32="Rack de pared",$B32="Gabinete de pared"))),MAX($I$5:$I31)+1,"")</f>
        <v>13</v>
      </c>
      <c r="J32" t="str">
        <f>IF(OR($B32="Rack",$B32="Gabinete",$B32="Rack de pared",$B32="Gabinete de pared"),MAX($J$5:$J31)+1,"")</f>
        <v/>
      </c>
      <c r="K32" t="str">
        <f>IF($B32="Organizador vertical",COUNTIF($B$6:$B32,"Organizador vertical"),"")</f>
        <v/>
      </c>
      <c r="L32" t="str">
        <f>IF($B32="Jack",COUNTIF($B$6:$B32,"Jack"),"")</f>
        <v/>
      </c>
      <c r="M32" t="str">
        <f>IF(AND($C32&lt;&gt;"",N($F32)=0,$B32&lt;&gt;"Rack",$B32&lt;&gt;"Gabinete",$B32&lt;&gt;"Organizador vertical",$B32&lt;&gt;"Jack"),MAX($M$5:$M31)+1,"")</f>
        <v/>
      </c>
      <c r="N32" s="6">
        <v>0</v>
      </c>
      <c r="O32" s="9">
        <f t="shared" si="0"/>
        <v>0</v>
      </c>
      <c r="P32" s="6">
        <v>1</v>
      </c>
      <c r="Q32" s="6"/>
    </row>
    <row r="33" spans="2:17" x14ac:dyDescent="0.45">
      <c r="B33" s="4" t="s">
        <v>120</v>
      </c>
      <c r="C33" s="4" t="s">
        <v>137</v>
      </c>
      <c r="D33" s="4" t="s">
        <v>67</v>
      </c>
      <c r="E33" s="4" t="s">
        <v>138</v>
      </c>
      <c r="F33" s="6">
        <v>2</v>
      </c>
      <c r="G33" s="6"/>
      <c r="H33" s="4" t="s">
        <v>132</v>
      </c>
      <c r="I33">
        <f>IF(AND($C33&lt;&gt;"",N($F33)&gt;0,NOT(OR($B33="Rack",$B33="Gabinete",$B33="Rack de pared",$B33="Gabinete de pared"))),MAX($I$5:$I32)+1,"")</f>
        <v>14</v>
      </c>
      <c r="J33" t="str">
        <f>IF(OR($B33="Rack",$B33="Gabinete",$B33="Rack de pared",$B33="Gabinete de pared"),MAX($J$5:$J32)+1,"")</f>
        <v/>
      </c>
      <c r="K33" t="str">
        <f>IF($B33="Organizador vertical",COUNTIF($B$6:$B33,"Organizador vertical"),"")</f>
        <v/>
      </c>
      <c r="L33" t="str">
        <f>IF($B33="Jack",COUNTIF($B$6:$B33,"Jack"),"")</f>
        <v/>
      </c>
      <c r="M33" t="str">
        <f>IF(AND($C33&lt;&gt;"",N($F33)=0,$B33&lt;&gt;"Rack",$B33&lt;&gt;"Gabinete",$B33&lt;&gt;"Organizador vertical",$B33&lt;&gt;"Jack"),MAX($M$5:$M32)+1,"")</f>
        <v/>
      </c>
      <c r="N33" s="6">
        <v>0</v>
      </c>
      <c r="O33" s="9">
        <f t="shared" si="0"/>
        <v>0</v>
      </c>
      <c r="P33" s="6">
        <v>2</v>
      </c>
      <c r="Q33" s="6"/>
    </row>
    <row r="34" spans="2:17" x14ac:dyDescent="0.45">
      <c r="B34" s="4" t="s">
        <v>139</v>
      </c>
      <c r="C34" s="4" t="s">
        <v>140</v>
      </c>
      <c r="D34" s="4" t="s">
        <v>67</v>
      </c>
      <c r="E34" s="4" t="s">
        <v>141</v>
      </c>
      <c r="F34" s="6">
        <v>1</v>
      </c>
      <c r="G34" s="6"/>
      <c r="H34" s="4" t="s">
        <v>142</v>
      </c>
      <c r="I34">
        <f>IF(AND($C34&lt;&gt;"",N($F34)&gt;0,NOT(OR($B34="Rack",$B34="Gabinete",$B34="Rack de pared",$B34="Gabinete de pared"))),MAX($I$5:$I33)+1,"")</f>
        <v>15</v>
      </c>
      <c r="J34" t="str">
        <f>IF(OR($B34="Rack",$B34="Gabinete",$B34="Rack de pared",$B34="Gabinete de pared"),MAX($J$5:$J33)+1,"")</f>
        <v/>
      </c>
      <c r="K34" t="str">
        <f>IF($B34="Organizador vertical",COUNTIF($B$6:$B34,"Organizador vertical"),"")</f>
        <v/>
      </c>
      <c r="L34" t="str">
        <f>IF($B34="Jack",COUNTIF($B$6:$B34,"Jack"),"")</f>
        <v/>
      </c>
      <c r="M34" t="str">
        <f>IF(AND($C34&lt;&gt;"",N($F34)=0,$B34&lt;&gt;"Rack",$B34&lt;&gt;"Gabinete",$B34&lt;&gt;"Organizador vertical",$B34&lt;&gt;"Jack"),MAX($M$5:$M33)+1,"")</f>
        <v/>
      </c>
      <c r="N34" s="6">
        <v>0</v>
      </c>
      <c r="O34" s="9">
        <f t="shared" si="0"/>
        <v>0</v>
      </c>
      <c r="P34" s="6">
        <v>3</v>
      </c>
      <c r="Q34" s="6"/>
    </row>
    <row r="35" spans="2:17" x14ac:dyDescent="0.45">
      <c r="B35" s="4" t="s">
        <v>139</v>
      </c>
      <c r="C35" s="4" t="s">
        <v>143</v>
      </c>
      <c r="D35" s="4" t="s">
        <v>67</v>
      </c>
      <c r="E35" s="4" t="s">
        <v>144</v>
      </c>
      <c r="F35" s="6">
        <v>2</v>
      </c>
      <c r="G35" s="6"/>
      <c r="H35" s="4" t="s">
        <v>142</v>
      </c>
      <c r="I35">
        <f>IF(AND($C35&lt;&gt;"",N($F35)&gt;0,NOT(OR($B35="Rack",$B35="Gabinete",$B35="Rack de pared",$B35="Gabinete de pared"))),MAX($I$5:$I34)+1,"")</f>
        <v>16</v>
      </c>
      <c r="J35" t="str">
        <f>IF(OR($B35="Rack",$B35="Gabinete",$B35="Rack de pared",$B35="Gabinete de pared"),MAX($J$5:$J34)+1,"")</f>
        <v/>
      </c>
      <c r="K35" t="str">
        <f>IF($B35="Organizador vertical",COUNTIF($B$6:$B35,"Organizador vertical"),"")</f>
        <v/>
      </c>
      <c r="L35" t="str">
        <f>IF($B35="Jack",COUNTIF($B$6:$B35,"Jack"),"")</f>
        <v/>
      </c>
      <c r="M35" t="str">
        <f>IF(AND($C35&lt;&gt;"",N($F35)=0,$B35&lt;&gt;"Rack",$B35&lt;&gt;"Gabinete",$B35&lt;&gt;"Organizador vertical",$B35&lt;&gt;"Jack"),MAX($M$5:$M34)+1,"")</f>
        <v/>
      </c>
      <c r="N35" s="6">
        <v>0</v>
      </c>
      <c r="O35" s="9">
        <f t="shared" si="0"/>
        <v>0</v>
      </c>
      <c r="P35" s="6">
        <v>5</v>
      </c>
      <c r="Q35" s="6"/>
    </row>
    <row r="36" spans="2:17" x14ac:dyDescent="0.45">
      <c r="B36" s="4" t="s">
        <v>139</v>
      </c>
      <c r="C36" s="4" t="s">
        <v>145</v>
      </c>
      <c r="D36" s="4" t="s">
        <v>67</v>
      </c>
      <c r="E36" s="4" t="s">
        <v>146</v>
      </c>
      <c r="F36" s="6">
        <v>4</v>
      </c>
      <c r="G36" s="6"/>
      <c r="H36" s="4" t="s">
        <v>142</v>
      </c>
      <c r="I36">
        <f>IF(AND($C36&lt;&gt;"",N($F36)&gt;0,NOT(OR($B36="Rack",$B36="Gabinete",$B36="Rack de pared",$B36="Gabinete de pared"))),MAX($I$5:$I35)+1,"")</f>
        <v>17</v>
      </c>
      <c r="J36" t="str">
        <f>IF(OR($B36="Rack",$B36="Gabinete",$B36="Rack de pared",$B36="Gabinete de pared"),MAX($J$5:$J35)+1,"")</f>
        <v/>
      </c>
      <c r="K36" t="str">
        <f>IF($B36="Organizador vertical",COUNTIF($B$6:$B36,"Organizador vertical"),"")</f>
        <v/>
      </c>
      <c r="L36" t="str">
        <f>IF($B36="Jack",COUNTIF($B$6:$B36,"Jack"),"")</f>
        <v/>
      </c>
      <c r="M36" t="str">
        <f>IF(AND($C36&lt;&gt;"",N($F36)=0,$B36&lt;&gt;"Rack",$B36&lt;&gt;"Gabinete",$B36&lt;&gt;"Organizador vertical",$B36&lt;&gt;"Jack"),MAX($M$5:$M35)+1,"")</f>
        <v/>
      </c>
      <c r="N36" s="6">
        <v>0</v>
      </c>
      <c r="O36" s="9">
        <f t="shared" si="0"/>
        <v>0</v>
      </c>
      <c r="P36" s="6">
        <v>8</v>
      </c>
      <c r="Q36" s="6"/>
    </row>
    <row r="37" spans="2:17" x14ac:dyDescent="0.45">
      <c r="B37" s="4" t="s">
        <v>147</v>
      </c>
      <c r="C37" s="4" t="s">
        <v>148</v>
      </c>
      <c r="D37" s="4" t="s">
        <v>149</v>
      </c>
      <c r="E37" s="4" t="s">
        <v>150</v>
      </c>
      <c r="F37" s="6">
        <v>1</v>
      </c>
      <c r="G37" s="6">
        <v>24</v>
      </c>
      <c r="H37" s="4" t="s">
        <v>151</v>
      </c>
      <c r="I37">
        <f>IF(AND($C37&lt;&gt;"",N($F37)&gt;0,NOT(OR($B37="Rack",$B37="Gabinete",$B37="Rack de pared",$B37="Gabinete de pared"))),MAX($I$5:$I36)+1,"")</f>
        <v>18</v>
      </c>
      <c r="J37" t="str">
        <f>IF(OR($B37="Rack",$B37="Gabinete",$B37="Rack de pared",$B37="Gabinete de pared"),MAX($J$5:$J36)+1,"")</f>
        <v/>
      </c>
      <c r="K37" t="str">
        <f>IF($B37="Organizador vertical",COUNTIF($B$6:$B37,"Organizador vertical"),"")</f>
        <v/>
      </c>
      <c r="L37" t="str">
        <f>IF($B37="Jack",COUNTIF($B$6:$B37,"Jack"),"")</f>
        <v/>
      </c>
      <c r="M37" t="str">
        <f>IF(AND($C37&lt;&gt;"",N($F37)=0,$B37&lt;&gt;"Rack",$B37&lt;&gt;"Gabinete",$B37&lt;&gt;"Organizador vertical",$B37&lt;&gt;"Jack"),MAX($M$5:$M36)+1,"")</f>
        <v/>
      </c>
      <c r="N37" s="6">
        <v>45</v>
      </c>
      <c r="O37" s="9">
        <f t="shared" si="0"/>
        <v>154</v>
      </c>
      <c r="P37" s="6">
        <v>4.5</v>
      </c>
      <c r="Q37" s="6"/>
    </row>
    <row r="38" spans="2:17" ht="25.5" x14ac:dyDescent="0.45">
      <c r="B38" s="4" t="s">
        <v>147</v>
      </c>
      <c r="C38" s="4" t="s">
        <v>152</v>
      </c>
      <c r="D38" s="4" t="s">
        <v>149</v>
      </c>
      <c r="E38" s="4" t="s">
        <v>153</v>
      </c>
      <c r="F38" s="6">
        <v>1</v>
      </c>
      <c r="G38" s="6">
        <v>24</v>
      </c>
      <c r="H38" s="4" t="s">
        <v>154</v>
      </c>
      <c r="I38">
        <f>IF(AND($C38&lt;&gt;"",N($F38)&gt;0,NOT(OR($B38="Rack",$B38="Gabinete",$B38="Rack de pared",$B38="Gabinete de pared"))),MAX($I$5:$I37)+1,"")</f>
        <v>19</v>
      </c>
      <c r="J38" t="str">
        <f>IF(OR($B38="Rack",$B38="Gabinete",$B38="Rack de pared",$B38="Gabinete de pared"),MAX($J$5:$J37)+1,"")</f>
        <v/>
      </c>
      <c r="K38" t="str">
        <f>IF($B38="Organizador vertical",COUNTIF($B$6:$B38,"Organizador vertical"),"")</f>
        <v/>
      </c>
      <c r="L38" t="str">
        <f>IF($B38="Jack",COUNTIF($B$6:$B38,"Jack"),"")</f>
        <v/>
      </c>
      <c r="M38" t="str">
        <f>IF(AND($C38&lt;&gt;"",N($F38)=0,$B38&lt;&gt;"Rack",$B38&lt;&gt;"Gabinete",$B38&lt;&gt;"Organizador vertical",$B38&lt;&gt;"Jack"),MAX($M$5:$M37)+1,"")</f>
        <v/>
      </c>
      <c r="N38" s="6">
        <v>70</v>
      </c>
      <c r="O38" s="9">
        <f t="shared" ref="O38:O69" si="1">IF(N38="","",ROUND(N38*3.412,0))</f>
        <v>239</v>
      </c>
      <c r="P38" s="6">
        <v>4.5</v>
      </c>
      <c r="Q38" s="6"/>
    </row>
    <row r="39" spans="2:17" x14ac:dyDescent="0.45">
      <c r="B39" s="4" t="s">
        <v>147</v>
      </c>
      <c r="C39" s="4" t="s">
        <v>155</v>
      </c>
      <c r="D39" s="4" t="s">
        <v>149</v>
      </c>
      <c r="E39" s="4" t="s">
        <v>156</v>
      </c>
      <c r="F39" s="6">
        <v>1</v>
      </c>
      <c r="G39" s="6">
        <v>48</v>
      </c>
      <c r="H39" s="4" t="s">
        <v>157</v>
      </c>
      <c r="I39">
        <f>IF(AND($C39&lt;&gt;"",N($F39)&gt;0,NOT(OR($B39="Rack",$B39="Gabinete",$B39="Rack de pared",$B39="Gabinete de pared"))),MAX($I$5:$I38)+1,"")</f>
        <v>20</v>
      </c>
      <c r="J39" t="str">
        <f>IF(OR($B39="Rack",$B39="Gabinete",$B39="Rack de pared",$B39="Gabinete de pared"),MAX($J$5:$J38)+1,"")</f>
        <v/>
      </c>
      <c r="K39" t="str">
        <f>IF($B39="Organizador vertical",COUNTIF($B$6:$B39,"Organizador vertical"),"")</f>
        <v/>
      </c>
      <c r="L39" t="str">
        <f>IF($B39="Jack",COUNTIF($B$6:$B39,"Jack"),"")</f>
        <v/>
      </c>
      <c r="M39" t="str">
        <f>IF(AND($C39&lt;&gt;"",N($F39)=0,$B39&lt;&gt;"Rack",$B39&lt;&gt;"Gabinete",$B39&lt;&gt;"Organizador vertical",$B39&lt;&gt;"Jack"),MAX($M$5:$M38)+1,"")</f>
        <v/>
      </c>
      <c r="N39" s="6">
        <v>75</v>
      </c>
      <c r="O39" s="9">
        <f t="shared" si="1"/>
        <v>256</v>
      </c>
      <c r="P39" s="6">
        <v>6.5</v>
      </c>
      <c r="Q39" s="6"/>
    </row>
    <row r="40" spans="2:17" ht="25.5" x14ac:dyDescent="0.45">
      <c r="B40" s="4" t="s">
        <v>147</v>
      </c>
      <c r="C40" s="4" t="s">
        <v>158</v>
      </c>
      <c r="D40" s="4" t="s">
        <v>149</v>
      </c>
      <c r="E40" s="4" t="s">
        <v>159</v>
      </c>
      <c r="F40" s="6">
        <v>1</v>
      </c>
      <c r="G40" s="6">
        <v>48</v>
      </c>
      <c r="H40" s="4" t="s">
        <v>160</v>
      </c>
      <c r="I40">
        <f>IF(AND($C40&lt;&gt;"",N($F40)&gt;0,NOT(OR($B40="Rack",$B40="Gabinete",$B40="Rack de pared",$B40="Gabinete de pared"))),MAX($I$5:$I39)+1,"")</f>
        <v>21</v>
      </c>
      <c r="J40" t="str">
        <f>IF(OR($B40="Rack",$B40="Gabinete",$B40="Rack de pared",$B40="Gabinete de pared"),MAX($J$5:$J39)+1,"")</f>
        <v/>
      </c>
      <c r="K40" t="str">
        <f>IF($B40="Organizador vertical",COUNTIF($B$6:$B40,"Organizador vertical"),"")</f>
        <v/>
      </c>
      <c r="L40" t="str">
        <f>IF($B40="Jack",COUNTIF($B$6:$B40,"Jack"),"")</f>
        <v/>
      </c>
      <c r="M40" t="str">
        <f>IF(AND($C40&lt;&gt;"",N($F40)=0,$B40&lt;&gt;"Rack",$B40&lt;&gt;"Gabinete",$B40&lt;&gt;"Organizador vertical",$B40&lt;&gt;"Jack"),MAX($M$5:$M39)+1,"")</f>
        <v/>
      </c>
      <c r="N40" s="6">
        <v>110</v>
      </c>
      <c r="O40" s="9">
        <f t="shared" si="1"/>
        <v>375</v>
      </c>
      <c r="P40" s="6">
        <v>6.5</v>
      </c>
      <c r="Q40" s="6"/>
    </row>
    <row r="41" spans="2:17" x14ac:dyDescent="0.45">
      <c r="B41" s="4" t="s">
        <v>147</v>
      </c>
      <c r="C41" s="4" t="s">
        <v>161</v>
      </c>
      <c r="D41" s="4" t="s">
        <v>149</v>
      </c>
      <c r="E41" s="4" t="s">
        <v>162</v>
      </c>
      <c r="F41" s="6">
        <v>1</v>
      </c>
      <c r="G41" s="6">
        <v>24</v>
      </c>
      <c r="H41" s="4" t="s">
        <v>163</v>
      </c>
      <c r="I41">
        <f>IF(AND($C41&lt;&gt;"",N($F41)&gt;0,NOT(OR($B41="Rack",$B41="Gabinete",$B41="Rack de pared",$B41="Gabinete de pared"))),MAX($I$5:$I40)+1,"")</f>
        <v>22</v>
      </c>
      <c r="J41" t="str">
        <f>IF(OR($B41="Rack",$B41="Gabinete",$B41="Rack de pared",$B41="Gabinete de pared"),MAX($J$5:$J40)+1,"")</f>
        <v/>
      </c>
      <c r="K41" t="str">
        <f>IF($B41="Organizador vertical",COUNTIF($B$6:$B41,"Organizador vertical"),"")</f>
        <v/>
      </c>
      <c r="L41" t="str">
        <f>IF($B41="Jack",COUNTIF($B$6:$B41,"Jack"),"")</f>
        <v/>
      </c>
      <c r="M41" t="str">
        <f>IF(AND($C41&lt;&gt;"",N($F41)=0,$B41&lt;&gt;"Rack",$B41&lt;&gt;"Gabinete",$B41&lt;&gt;"Organizador vertical",$B41&lt;&gt;"Jack"),MAX($M$5:$M40)+1,"")</f>
        <v/>
      </c>
      <c r="N41" s="6">
        <v>80</v>
      </c>
      <c r="O41" s="9">
        <f t="shared" si="1"/>
        <v>273</v>
      </c>
      <c r="P41" s="6">
        <v>4.5</v>
      </c>
      <c r="Q41" s="6"/>
    </row>
    <row r="42" spans="2:17" x14ac:dyDescent="0.45">
      <c r="B42" s="4" t="s">
        <v>147</v>
      </c>
      <c r="C42" s="4" t="s">
        <v>164</v>
      </c>
      <c r="D42" s="4" t="s">
        <v>149</v>
      </c>
      <c r="E42" s="4" t="s">
        <v>165</v>
      </c>
      <c r="F42" s="6">
        <v>1</v>
      </c>
      <c r="G42" s="6">
        <v>48</v>
      </c>
      <c r="H42" s="4" t="s">
        <v>166</v>
      </c>
      <c r="I42">
        <f>IF(AND($C42&lt;&gt;"",N($F42)&gt;0,NOT(OR($B42="Rack",$B42="Gabinete",$B42="Rack de pared",$B42="Gabinete de pared"))),MAX($I$5:$I41)+1,"")</f>
        <v>23</v>
      </c>
      <c r="J42" t="str">
        <f>IF(OR($B42="Rack",$B42="Gabinete",$B42="Rack de pared",$B42="Gabinete de pared"),MAX($J$5:$J41)+1,"")</f>
        <v/>
      </c>
      <c r="K42" t="str">
        <f>IF($B42="Organizador vertical",COUNTIF($B$6:$B42,"Organizador vertical"),"")</f>
        <v/>
      </c>
      <c r="L42" t="str">
        <f>IF($B42="Jack",COUNTIF($B$6:$B42,"Jack"),"")</f>
        <v/>
      </c>
      <c r="M42" t="str">
        <f>IF(AND($C42&lt;&gt;"",N($F42)=0,$B42&lt;&gt;"Rack",$B42&lt;&gt;"Gabinete",$B42&lt;&gt;"Organizador vertical",$B42&lt;&gt;"Jack"),MAX($M$5:$M41)+1,"")</f>
        <v/>
      </c>
      <c r="N42" s="6">
        <v>120</v>
      </c>
      <c r="O42" s="9">
        <f t="shared" si="1"/>
        <v>409</v>
      </c>
      <c r="P42" s="6">
        <v>6.5</v>
      </c>
      <c r="Q42" s="6"/>
    </row>
    <row r="43" spans="2:17" ht="25.5" x14ac:dyDescent="0.45">
      <c r="B43" s="4" t="s">
        <v>147</v>
      </c>
      <c r="C43" s="4" t="s">
        <v>167</v>
      </c>
      <c r="D43" s="4" t="s">
        <v>149</v>
      </c>
      <c r="E43" s="4" t="s">
        <v>168</v>
      </c>
      <c r="F43" s="6">
        <v>1</v>
      </c>
      <c r="G43" s="6">
        <v>48</v>
      </c>
      <c r="H43" s="4" t="s">
        <v>169</v>
      </c>
      <c r="I43">
        <f>IF(AND($C43&lt;&gt;"",N($F43)&gt;0,NOT(OR($B43="Rack",$B43="Gabinete",$B43="Rack de pared",$B43="Gabinete de pared"))),MAX($I$5:$I42)+1,"")</f>
        <v>24</v>
      </c>
      <c r="J43" t="str">
        <f>IF(OR($B43="Rack",$B43="Gabinete",$B43="Rack de pared",$B43="Gabinete de pared"),MAX($J$5:$J42)+1,"")</f>
        <v/>
      </c>
      <c r="K43" t="str">
        <f>IF($B43="Organizador vertical",COUNTIF($B$6:$B43,"Organizador vertical"),"")</f>
        <v/>
      </c>
      <c r="L43" t="str">
        <f>IF($B43="Jack",COUNTIF($B$6:$B43,"Jack"),"")</f>
        <v/>
      </c>
      <c r="M43" t="str">
        <f>IF(AND($C43&lt;&gt;"",N($F43)=0,$B43&lt;&gt;"Rack",$B43&lt;&gt;"Gabinete",$B43&lt;&gt;"Organizador vertical",$B43&lt;&gt;"Jack"),MAX($M$5:$M42)+1,"")</f>
        <v/>
      </c>
      <c r="N43" s="6">
        <v>160</v>
      </c>
      <c r="O43" s="9">
        <f t="shared" si="1"/>
        <v>546</v>
      </c>
      <c r="P43" s="6">
        <v>7.5</v>
      </c>
      <c r="Q43" s="6"/>
    </row>
    <row r="44" spans="2:17" x14ac:dyDescent="0.45">
      <c r="B44" s="4" t="s">
        <v>19</v>
      </c>
      <c r="C44" s="4" t="s">
        <v>170</v>
      </c>
      <c r="D44" s="4" t="s">
        <v>171</v>
      </c>
      <c r="E44" s="4" t="s">
        <v>172</v>
      </c>
      <c r="F44" s="6">
        <v>1</v>
      </c>
      <c r="G44" s="6"/>
      <c r="H44" s="4" t="s">
        <v>173</v>
      </c>
      <c r="I44">
        <f>IF(AND($C44&lt;&gt;"",N($F44)&gt;0,NOT(OR($B44="Rack",$B44="Gabinete",$B44="Rack de pared",$B44="Gabinete de pared"))),MAX($I$5:$I43)+1,"")</f>
        <v>25</v>
      </c>
      <c r="J44" t="str">
        <f>IF(OR($B44="Rack",$B44="Gabinete",$B44="Rack de pared",$B44="Gabinete de pared"),MAX($J$5:$J43)+1,"")</f>
        <v/>
      </c>
      <c r="K44" t="str">
        <f>IF($B44="Organizador vertical",COUNTIF($B$6:$B44,"Organizador vertical"),"")</f>
        <v/>
      </c>
      <c r="L44" t="str">
        <f>IF($B44="Jack",COUNTIF($B$6:$B44,"Jack"),"")</f>
        <v/>
      </c>
      <c r="M44" t="str">
        <f>IF(AND($C44&lt;&gt;"",N($F44)=0,$B44&lt;&gt;"Rack",$B44&lt;&gt;"Gabinete",$B44&lt;&gt;"Organizador vertical",$B44&lt;&gt;"Jack"),MAX($M$5:$M43)+1,"")</f>
        <v/>
      </c>
      <c r="N44" s="6">
        <v>130</v>
      </c>
      <c r="O44" s="9">
        <f t="shared" si="1"/>
        <v>444</v>
      </c>
      <c r="P44" s="6">
        <v>10</v>
      </c>
      <c r="Q44" s="6"/>
    </row>
    <row r="45" spans="2:17" x14ac:dyDescent="0.45">
      <c r="B45" s="4" t="s">
        <v>19</v>
      </c>
      <c r="C45" s="4" t="s">
        <v>174</v>
      </c>
      <c r="D45" s="4" t="s">
        <v>171</v>
      </c>
      <c r="E45" s="4" t="s">
        <v>175</v>
      </c>
      <c r="F45" s="6">
        <v>1</v>
      </c>
      <c r="G45" s="6"/>
      <c r="H45" s="4" t="s">
        <v>173</v>
      </c>
      <c r="I45">
        <f>IF(AND($C45&lt;&gt;"",N($F45)&gt;0,NOT(OR($B45="Rack",$B45="Gabinete",$B45="Rack de pared",$B45="Gabinete de pared"))),MAX($I$5:$I44)+1,"")</f>
        <v>26</v>
      </c>
      <c r="J45" t="str">
        <f>IF(OR($B45="Rack",$B45="Gabinete",$B45="Rack de pared",$B45="Gabinete de pared"),MAX($J$5:$J44)+1,"")</f>
        <v/>
      </c>
      <c r="K45" t="str">
        <f>IF($B45="Organizador vertical",COUNTIF($B$6:$B45,"Organizador vertical"),"")</f>
        <v/>
      </c>
      <c r="L45" t="str">
        <f>IF($B45="Jack",COUNTIF($B$6:$B45,"Jack"),"")</f>
        <v/>
      </c>
      <c r="M45" t="str">
        <f>IF(AND($C45&lt;&gt;"",N($F45)=0,$B45&lt;&gt;"Rack",$B45&lt;&gt;"Gabinete",$B45&lt;&gt;"Organizador vertical",$B45&lt;&gt;"Jack"),MAX($M$5:$M44)+1,"")</f>
        <v/>
      </c>
      <c r="N45" s="6">
        <v>150</v>
      </c>
      <c r="O45" s="9">
        <f t="shared" si="1"/>
        <v>512</v>
      </c>
      <c r="P45" s="6">
        <v>10</v>
      </c>
      <c r="Q45" s="6"/>
    </row>
    <row r="46" spans="2:17" x14ac:dyDescent="0.45">
      <c r="B46" s="4" t="s">
        <v>19</v>
      </c>
      <c r="C46" s="4" t="s">
        <v>176</v>
      </c>
      <c r="D46" s="4" t="s">
        <v>171</v>
      </c>
      <c r="E46" s="4" t="s">
        <v>177</v>
      </c>
      <c r="F46" s="6">
        <v>2</v>
      </c>
      <c r="G46" s="6"/>
      <c r="H46" s="4" t="s">
        <v>173</v>
      </c>
      <c r="I46">
        <f>IF(AND($C46&lt;&gt;"",N($F46)&gt;0,NOT(OR($B46="Rack",$B46="Gabinete",$B46="Rack de pared",$B46="Gabinete de pared"))),MAX($I$5:$I45)+1,"")</f>
        <v>27</v>
      </c>
      <c r="J46" t="str">
        <f>IF(OR($B46="Rack",$B46="Gabinete",$B46="Rack de pared",$B46="Gabinete de pared"),MAX($J$5:$J45)+1,"")</f>
        <v/>
      </c>
      <c r="K46" t="str">
        <f>IF($B46="Organizador vertical",COUNTIF($B$6:$B46,"Organizador vertical"),"")</f>
        <v/>
      </c>
      <c r="L46" t="str">
        <f>IF($B46="Jack",COUNTIF($B$6:$B46,"Jack"),"")</f>
        <v/>
      </c>
      <c r="M46" t="str">
        <f>IF(AND($C46&lt;&gt;"",N($F46)=0,$B46&lt;&gt;"Rack",$B46&lt;&gt;"Gabinete",$B46&lt;&gt;"Organizador vertical",$B46&lt;&gt;"Jack"),MAX($M$5:$M45)+1,"")</f>
        <v/>
      </c>
      <c r="N46" s="6">
        <v>200</v>
      </c>
      <c r="O46" s="9">
        <f t="shared" si="1"/>
        <v>682</v>
      </c>
      <c r="P46" s="6">
        <v>15</v>
      </c>
      <c r="Q46" s="6"/>
    </row>
    <row r="47" spans="2:17" x14ac:dyDescent="0.45">
      <c r="B47" s="4" t="s">
        <v>19</v>
      </c>
      <c r="C47" s="4" t="s">
        <v>178</v>
      </c>
      <c r="D47" s="4" t="s">
        <v>171</v>
      </c>
      <c r="E47" s="4" t="s">
        <v>179</v>
      </c>
      <c r="F47" s="6">
        <v>2</v>
      </c>
      <c r="G47" s="6"/>
      <c r="H47" s="4" t="s">
        <v>173</v>
      </c>
      <c r="I47">
        <f>IF(AND($C47&lt;&gt;"",N($F47)&gt;0,NOT(OR($B47="Rack",$B47="Gabinete",$B47="Rack de pared",$B47="Gabinete de pared"))),MAX($I$5:$I46)+1,"")</f>
        <v>28</v>
      </c>
      <c r="J47" t="str">
        <f>IF(OR($B47="Rack",$B47="Gabinete",$B47="Rack de pared",$B47="Gabinete de pared"),MAX($J$5:$J46)+1,"")</f>
        <v/>
      </c>
      <c r="K47" t="str">
        <f>IF($B47="Organizador vertical",COUNTIF($B$6:$B47,"Organizador vertical"),"")</f>
        <v/>
      </c>
      <c r="L47" t="str">
        <f>IF($B47="Jack",COUNTIF($B$6:$B47,"Jack"),"")</f>
        <v/>
      </c>
      <c r="M47" t="str">
        <f>IF(AND($C47&lt;&gt;"",N($F47)=0,$B47&lt;&gt;"Rack",$B47&lt;&gt;"Gabinete",$B47&lt;&gt;"Organizador vertical",$B47&lt;&gt;"Jack"),MAX($M$5:$M46)+1,"")</f>
        <v/>
      </c>
      <c r="N47" s="6">
        <v>260</v>
      </c>
      <c r="O47" s="9">
        <f t="shared" si="1"/>
        <v>887</v>
      </c>
      <c r="P47" s="6">
        <v>15</v>
      </c>
      <c r="Q47" s="6"/>
    </row>
    <row r="48" spans="2:17" x14ac:dyDescent="0.45">
      <c r="B48" s="4" t="s">
        <v>27</v>
      </c>
      <c r="C48" s="4" t="s">
        <v>180</v>
      </c>
      <c r="D48" s="4" t="s">
        <v>181</v>
      </c>
      <c r="E48" s="4" t="s">
        <v>182</v>
      </c>
      <c r="F48" s="6">
        <v>2</v>
      </c>
      <c r="G48" s="6"/>
      <c r="H48" s="4" t="s">
        <v>183</v>
      </c>
      <c r="I48">
        <f>IF(AND($C48&lt;&gt;"",N($F48)&gt;0,NOT(OR($B48="Rack",$B48="Gabinete",$B48="Rack de pared",$B48="Gabinete de pared"))),MAX($I$5:$I47)+1,"")</f>
        <v>29</v>
      </c>
      <c r="J48" t="str">
        <f>IF(OR($B48="Rack",$B48="Gabinete",$B48="Rack de pared",$B48="Gabinete de pared"),MAX($J$5:$J47)+1,"")</f>
        <v/>
      </c>
      <c r="K48" t="str">
        <f>IF($B48="Organizador vertical",COUNTIF($B$6:$B48,"Organizador vertical"),"")</f>
        <v/>
      </c>
      <c r="L48" t="str">
        <f>IF($B48="Jack",COUNTIF($B$6:$B48,"Jack"),"")</f>
        <v/>
      </c>
      <c r="M48" t="str">
        <f>IF(AND($C48&lt;&gt;"",N($F48)=0,$B48&lt;&gt;"Rack",$B48&lt;&gt;"Gabinete",$B48&lt;&gt;"Organizador vertical",$B48&lt;&gt;"Jack"),MAX($M$5:$M47)+1,"")</f>
        <v/>
      </c>
      <c r="N48" s="6">
        <v>30</v>
      </c>
      <c r="O48" s="9">
        <f t="shared" si="1"/>
        <v>102</v>
      </c>
      <c r="P48" s="6"/>
      <c r="Q48" s="6"/>
    </row>
    <row r="49" spans="2:17" x14ac:dyDescent="0.45">
      <c r="B49" s="4" t="s">
        <v>27</v>
      </c>
      <c r="C49" s="4" t="s">
        <v>184</v>
      </c>
      <c r="D49" s="4" t="s">
        <v>181</v>
      </c>
      <c r="E49" s="4" t="s">
        <v>185</v>
      </c>
      <c r="F49" s="6">
        <v>4</v>
      </c>
      <c r="G49" s="6"/>
      <c r="H49" s="4" t="s">
        <v>186</v>
      </c>
      <c r="I49">
        <f>IF(AND($C49&lt;&gt;"",N($F49)&gt;0,NOT(OR($B49="Rack",$B49="Gabinete",$B49="Rack de pared",$B49="Gabinete de pared"))),MAX($I$5:$I48)+1,"")</f>
        <v>30</v>
      </c>
      <c r="J49" t="str">
        <f>IF(OR($B49="Rack",$B49="Gabinete",$B49="Rack de pared",$B49="Gabinete de pared"),MAX($J$5:$J48)+1,"")</f>
        <v/>
      </c>
      <c r="K49" t="str">
        <f>IF($B49="Organizador vertical",COUNTIF($B$6:$B49,"Organizador vertical"),"")</f>
        <v/>
      </c>
      <c r="L49" t="str">
        <f>IF($B49="Jack",COUNTIF($B$6:$B49,"Jack"),"")</f>
        <v/>
      </c>
      <c r="M49" t="str">
        <f>IF(AND($C49&lt;&gt;"",N($F49)=0,$B49&lt;&gt;"Rack",$B49&lt;&gt;"Gabinete",$B49&lt;&gt;"Organizador vertical",$B49&lt;&gt;"Jack"),MAX($M$5:$M48)+1,"")</f>
        <v/>
      </c>
      <c r="N49" s="6">
        <v>40</v>
      </c>
      <c r="O49" s="9">
        <f t="shared" si="1"/>
        <v>136</v>
      </c>
      <c r="P49" s="6"/>
      <c r="Q49" s="6"/>
    </row>
    <row r="50" spans="2:17" x14ac:dyDescent="0.45">
      <c r="B50" s="4" t="s">
        <v>27</v>
      </c>
      <c r="C50" s="4" t="s">
        <v>187</v>
      </c>
      <c r="D50" s="4" t="s">
        <v>181</v>
      </c>
      <c r="E50" s="4" t="s">
        <v>188</v>
      </c>
      <c r="F50" s="6"/>
      <c r="G50" s="6"/>
      <c r="H50" s="4" t="s">
        <v>189</v>
      </c>
      <c r="I50" t="str">
        <f>IF(AND($C50&lt;&gt;"",N($F50)&gt;0,NOT(OR($B50="Rack",$B50="Gabinete",$B50="Rack de pared",$B50="Gabinete de pared"))),MAX($I$5:$I49)+1,"")</f>
        <v/>
      </c>
      <c r="J50" t="str">
        <f>IF(OR($B50="Rack",$B50="Gabinete",$B50="Rack de pared",$B50="Gabinete de pared"),MAX($J$5:$J49)+1,"")</f>
        <v/>
      </c>
      <c r="K50" t="str">
        <f>IF($B50="Organizador vertical",COUNTIF($B$6:$B50,"Organizador vertical"),"")</f>
        <v/>
      </c>
      <c r="L50" t="str">
        <f>IF($B50="Jack",COUNTIF($B$6:$B50,"Jack"),"")</f>
        <v/>
      </c>
      <c r="M50">
        <f>IF(AND($C50&lt;&gt;"",N($F50)=0,$B50&lt;&gt;"Rack",$B50&lt;&gt;"Gabinete",$B50&lt;&gt;"Organizador vertical",$B50&lt;&gt;"Jack"),MAX($M$5:$M49)+1,"")</f>
        <v>1</v>
      </c>
      <c r="N50" s="6"/>
      <c r="O50" s="9" t="str">
        <f t="shared" si="1"/>
        <v/>
      </c>
      <c r="P50" s="6"/>
      <c r="Q50" s="6"/>
    </row>
    <row r="51" spans="2:17" x14ac:dyDescent="0.45">
      <c r="B51" s="4" t="s">
        <v>27</v>
      </c>
      <c r="C51" s="4" t="s">
        <v>190</v>
      </c>
      <c r="D51" s="4" t="s">
        <v>181</v>
      </c>
      <c r="E51" s="4" t="s">
        <v>191</v>
      </c>
      <c r="F51" s="6"/>
      <c r="G51" s="6"/>
      <c r="H51" s="4" t="s">
        <v>189</v>
      </c>
      <c r="I51" t="str">
        <f>IF(AND($C51&lt;&gt;"",N($F51)&gt;0,NOT(OR($B51="Rack",$B51="Gabinete",$B51="Rack de pared",$B51="Gabinete de pared"))),MAX($I$5:$I50)+1,"")</f>
        <v/>
      </c>
      <c r="J51" t="str">
        <f>IF(OR($B51="Rack",$B51="Gabinete",$B51="Rack de pared",$B51="Gabinete de pared"),MAX($J$5:$J50)+1,"")</f>
        <v/>
      </c>
      <c r="K51" t="str">
        <f>IF($B51="Organizador vertical",COUNTIF($B$6:$B51,"Organizador vertical"),"")</f>
        <v/>
      </c>
      <c r="L51" t="str">
        <f>IF($B51="Jack",COUNTIF($B$6:$B51,"Jack"),"")</f>
        <v/>
      </c>
      <c r="M51">
        <f>IF(AND($C51&lt;&gt;"",N($F51)=0,$B51&lt;&gt;"Rack",$B51&lt;&gt;"Gabinete",$B51&lt;&gt;"Organizador vertical",$B51&lt;&gt;"Jack"),MAX($M$5:$M50)+1,"")</f>
        <v>2</v>
      </c>
      <c r="N51" s="6"/>
      <c r="O51" s="9" t="str">
        <f t="shared" si="1"/>
        <v/>
      </c>
      <c r="P51" s="6"/>
      <c r="Q51" s="6"/>
    </row>
    <row r="52" spans="2:17" x14ac:dyDescent="0.45">
      <c r="B52" s="4" t="s">
        <v>27</v>
      </c>
      <c r="C52" s="4" t="s">
        <v>192</v>
      </c>
      <c r="D52" s="4" t="s">
        <v>193</v>
      </c>
      <c r="E52" s="4" t="s">
        <v>194</v>
      </c>
      <c r="F52" s="6"/>
      <c r="G52" s="6"/>
      <c r="H52" s="4" t="s">
        <v>195</v>
      </c>
      <c r="I52" t="str">
        <f>IF(AND($C52&lt;&gt;"",N($F52)&gt;0,NOT(OR($B52="Rack",$B52="Gabinete",$B52="Rack de pared",$B52="Gabinete de pared"))),MAX($I$5:$I51)+1,"")</f>
        <v/>
      </c>
      <c r="J52" t="str">
        <f>IF(OR($B52="Rack",$B52="Gabinete",$B52="Rack de pared",$B52="Gabinete de pared"),MAX($J$5:$J51)+1,"")</f>
        <v/>
      </c>
      <c r="K52" t="str">
        <f>IF($B52="Organizador vertical",COUNTIF($B$6:$B52,"Organizador vertical"),"")</f>
        <v/>
      </c>
      <c r="L52" t="str">
        <f>IF($B52="Jack",COUNTIF($B$6:$B52,"Jack"),"")</f>
        <v/>
      </c>
      <c r="M52">
        <f>IF(AND($C52&lt;&gt;"",N($F52)=0,$B52&lt;&gt;"Rack",$B52&lt;&gt;"Gabinete",$B52&lt;&gt;"Organizador vertical",$B52&lt;&gt;"Jack"),MAX($M$5:$M51)+1,"")</f>
        <v>3</v>
      </c>
      <c r="N52" s="6"/>
      <c r="O52" s="9" t="str">
        <f t="shared" si="1"/>
        <v/>
      </c>
      <c r="P52" s="6"/>
      <c r="Q52" s="6"/>
    </row>
    <row r="53" spans="2:17" x14ac:dyDescent="0.45">
      <c r="B53" s="4" t="s">
        <v>196</v>
      </c>
      <c r="C53" s="4" t="s">
        <v>197</v>
      </c>
      <c r="D53" s="4" t="s">
        <v>67</v>
      </c>
      <c r="E53" s="4" t="s">
        <v>198</v>
      </c>
      <c r="F53" s="6">
        <v>1</v>
      </c>
      <c r="G53" s="6"/>
      <c r="H53" s="4" t="s">
        <v>199</v>
      </c>
      <c r="I53" t="str">
        <f>IF(AND($C53&lt;&gt;"",N($F53)&gt;0,NOT(OR($B53="Rack",$B53="Gabinete",$B53="Rack de pared",$B53="Gabinete de pared"))),MAX($I$5:$I52)+1,"")</f>
        <v/>
      </c>
      <c r="J53">
        <f>IF(OR($B53="Rack",$B53="Gabinete",$B53="Rack de pared",$B53="Gabinete de pared"),MAX($J$5:$J52)+1,"")</f>
        <v>5</v>
      </c>
      <c r="K53" t="str">
        <f>IF($B53="Organizador vertical",COUNTIF($B$6:$B53,"Organizador vertical"),"")</f>
        <v/>
      </c>
      <c r="L53" t="str">
        <f>IF($B53="Jack",COUNTIF($B$6:$B53,"Jack"),"")</f>
        <v/>
      </c>
      <c r="M53" t="str">
        <f>IF(AND($C53&lt;&gt;"",N($F53)=0,$B53&lt;&gt;"Rack",$B53&lt;&gt;"Gabinete",$B53&lt;&gt;"Organizador vertical",$B53&lt;&gt;"Jack"),MAX($M$5:$M52)+1,"")</f>
        <v/>
      </c>
      <c r="N53" s="6">
        <v>0</v>
      </c>
      <c r="O53" s="9">
        <f t="shared" si="1"/>
        <v>0</v>
      </c>
      <c r="P53" s="6"/>
      <c r="Q53" s="6"/>
    </row>
    <row r="54" spans="2:17" x14ac:dyDescent="0.45">
      <c r="B54" s="4" t="s">
        <v>196</v>
      </c>
      <c r="C54" s="4" t="s">
        <v>200</v>
      </c>
      <c r="D54" s="4" t="s">
        <v>67</v>
      </c>
      <c r="E54" s="4" t="s">
        <v>201</v>
      </c>
      <c r="F54" s="6">
        <v>2</v>
      </c>
      <c r="G54" s="6"/>
      <c r="H54" s="4" t="s">
        <v>202</v>
      </c>
      <c r="I54" t="str">
        <f>IF(AND($C54&lt;&gt;"",N($F54)&gt;0,NOT(OR($B54="Rack",$B54="Gabinete",$B54="Rack de pared",$B54="Gabinete de pared"))),MAX($I$5:$I53)+1,"")</f>
        <v/>
      </c>
      <c r="J54">
        <f>IF(OR($B54="Rack",$B54="Gabinete",$B54="Rack de pared",$B54="Gabinete de pared"),MAX($J$5:$J53)+1,"")</f>
        <v>6</v>
      </c>
      <c r="K54" t="str">
        <f>IF($B54="Organizador vertical",COUNTIF($B$6:$B54,"Organizador vertical"),"")</f>
        <v/>
      </c>
      <c r="L54" t="str">
        <f>IF($B54="Jack",COUNTIF($B$6:$B54,"Jack"),"")</f>
        <v/>
      </c>
      <c r="M54" t="str">
        <f>IF(AND($C54&lt;&gt;"",N($F54)=0,$B54&lt;&gt;"Rack",$B54&lt;&gt;"Gabinete",$B54&lt;&gt;"Organizador vertical",$B54&lt;&gt;"Jack"),MAX($M$5:$M53)+1,"")</f>
        <v/>
      </c>
      <c r="N54" s="6">
        <v>0</v>
      </c>
      <c r="O54" s="9">
        <f t="shared" si="1"/>
        <v>0</v>
      </c>
      <c r="P54" s="6"/>
      <c r="Q54" s="6"/>
    </row>
    <row r="55" spans="2:17" x14ac:dyDescent="0.45">
      <c r="B55" s="4" t="s">
        <v>196</v>
      </c>
      <c r="C55" s="4" t="s">
        <v>203</v>
      </c>
      <c r="D55" s="4" t="s">
        <v>67</v>
      </c>
      <c r="E55" s="4" t="s">
        <v>204</v>
      </c>
      <c r="F55" s="6">
        <v>3</v>
      </c>
      <c r="G55" s="6"/>
      <c r="H55" s="4" t="s">
        <v>205</v>
      </c>
      <c r="I55" t="str">
        <f>IF(AND($C55&lt;&gt;"",N($F55)&gt;0,NOT(OR($B55="Rack",$B55="Gabinete",$B55="Rack de pared",$B55="Gabinete de pared"))),MAX($I$5:$I54)+1,"")</f>
        <v/>
      </c>
      <c r="J55">
        <f>IF(OR($B55="Rack",$B55="Gabinete",$B55="Rack de pared",$B55="Gabinete de pared"),MAX($J$5:$J54)+1,"")</f>
        <v>7</v>
      </c>
      <c r="K55" t="str">
        <f>IF($B55="Organizador vertical",COUNTIF($B$6:$B55,"Organizador vertical"),"")</f>
        <v/>
      </c>
      <c r="L55" t="str">
        <f>IF($B55="Jack",COUNTIF($B$6:$B55,"Jack"),"")</f>
        <v/>
      </c>
      <c r="M55" t="str">
        <f>IF(AND($C55&lt;&gt;"",N($F55)=0,$B55&lt;&gt;"Rack",$B55&lt;&gt;"Gabinete",$B55&lt;&gt;"Organizador vertical",$B55&lt;&gt;"Jack"),MAX($M$5:$M54)+1,"")</f>
        <v/>
      </c>
      <c r="N55" s="6">
        <v>0</v>
      </c>
      <c r="O55" s="9">
        <f t="shared" si="1"/>
        <v>0</v>
      </c>
      <c r="P55" s="6"/>
      <c r="Q55" s="6"/>
    </row>
    <row r="56" spans="2:17" x14ac:dyDescent="0.45">
      <c r="B56" s="4" t="s">
        <v>196</v>
      </c>
      <c r="C56" s="4" t="s">
        <v>206</v>
      </c>
      <c r="D56" s="4" t="s">
        <v>67</v>
      </c>
      <c r="E56" s="4" t="s">
        <v>207</v>
      </c>
      <c r="F56" s="6">
        <v>4</v>
      </c>
      <c r="G56" s="6"/>
      <c r="H56" s="4" t="s">
        <v>208</v>
      </c>
      <c r="I56" t="str">
        <f>IF(AND($C56&lt;&gt;"",N($F56)&gt;0,NOT(OR($B56="Rack",$B56="Gabinete",$B56="Rack de pared",$B56="Gabinete de pared"))),MAX($I$5:$I55)+1,"")</f>
        <v/>
      </c>
      <c r="J56">
        <f>IF(OR($B56="Rack",$B56="Gabinete",$B56="Rack de pared",$B56="Gabinete de pared"),MAX($J$5:$J55)+1,"")</f>
        <v>8</v>
      </c>
      <c r="K56" t="str">
        <f>IF($B56="Organizador vertical",COUNTIF($B$6:$B56,"Organizador vertical"),"")</f>
        <v/>
      </c>
      <c r="L56" t="str">
        <f>IF($B56="Jack",COUNTIF($B$6:$B56,"Jack"),"")</f>
        <v/>
      </c>
      <c r="M56" t="str">
        <f>IF(AND($C56&lt;&gt;"",N($F56)=0,$B56&lt;&gt;"Rack",$B56&lt;&gt;"Gabinete",$B56&lt;&gt;"Organizador vertical",$B56&lt;&gt;"Jack"),MAX($M$5:$M55)+1,"")</f>
        <v/>
      </c>
      <c r="N56" s="6">
        <v>0</v>
      </c>
      <c r="O56" s="9">
        <f t="shared" si="1"/>
        <v>0</v>
      </c>
      <c r="P56" s="6"/>
      <c r="Q56" s="6"/>
    </row>
    <row r="57" spans="2:17" x14ac:dyDescent="0.45">
      <c r="B57" s="4" t="s">
        <v>196</v>
      </c>
      <c r="C57" s="4" t="s">
        <v>209</v>
      </c>
      <c r="D57" s="4" t="s">
        <v>67</v>
      </c>
      <c r="E57" s="4" t="s">
        <v>210</v>
      </c>
      <c r="F57" s="6">
        <v>4</v>
      </c>
      <c r="G57" s="6"/>
      <c r="H57" s="4" t="s">
        <v>211</v>
      </c>
      <c r="I57" t="str">
        <f>IF(AND($C57&lt;&gt;"",N($F57)&gt;0,NOT(OR($B57="Rack",$B57="Gabinete",$B57="Rack de pared",$B57="Gabinete de pared"))),MAX($I$5:$I56)+1,"")</f>
        <v/>
      </c>
      <c r="J57">
        <f>IF(OR($B57="Rack",$B57="Gabinete",$B57="Rack de pared",$B57="Gabinete de pared"),MAX($J$5:$J56)+1,"")</f>
        <v>9</v>
      </c>
      <c r="K57" t="str">
        <f>IF($B57="Organizador vertical",COUNTIF($B$6:$B57,"Organizador vertical"),"")</f>
        <v/>
      </c>
      <c r="L57" t="str">
        <f>IF($B57="Jack",COUNTIF($B$6:$B57,"Jack"),"")</f>
        <v/>
      </c>
      <c r="M57" t="str">
        <f>IF(AND($C57&lt;&gt;"",N($F57)=0,$B57&lt;&gt;"Rack",$B57&lt;&gt;"Gabinete",$B57&lt;&gt;"Organizador vertical",$B57&lt;&gt;"Jack"),MAX($M$5:$M56)+1,"")</f>
        <v/>
      </c>
      <c r="N57" s="6">
        <v>0</v>
      </c>
      <c r="O57" s="9">
        <f t="shared" si="1"/>
        <v>0</v>
      </c>
      <c r="P57" s="6"/>
      <c r="Q57" s="6"/>
    </row>
    <row r="58" spans="2:17" x14ac:dyDescent="0.45">
      <c r="B58" s="4" t="s">
        <v>196</v>
      </c>
      <c r="C58" s="4" t="s">
        <v>212</v>
      </c>
      <c r="D58" s="4" t="s">
        <v>67</v>
      </c>
      <c r="E58" s="4" t="s">
        <v>213</v>
      </c>
      <c r="F58" s="6">
        <v>6</v>
      </c>
      <c r="G58" s="6"/>
      <c r="H58" s="4" t="s">
        <v>214</v>
      </c>
      <c r="I58" t="str">
        <f>IF(AND($C58&lt;&gt;"",N($F58)&gt;0,NOT(OR($B58="Rack",$B58="Gabinete",$B58="Rack de pared",$B58="Gabinete de pared"))),MAX($I$5:$I57)+1,"")</f>
        <v/>
      </c>
      <c r="J58">
        <f>IF(OR($B58="Rack",$B58="Gabinete",$B58="Rack de pared",$B58="Gabinete de pared"),MAX($J$5:$J57)+1,"")</f>
        <v>10</v>
      </c>
      <c r="K58" t="str">
        <f>IF($B58="Organizador vertical",COUNTIF($B$6:$B58,"Organizador vertical"),"")</f>
        <v/>
      </c>
      <c r="L58" t="str">
        <f>IF($B58="Jack",COUNTIF($B$6:$B58,"Jack"),"")</f>
        <v/>
      </c>
      <c r="M58" t="str">
        <f>IF(AND($C58&lt;&gt;"",N($F58)=0,$B58&lt;&gt;"Rack",$B58&lt;&gt;"Gabinete",$B58&lt;&gt;"Organizador vertical",$B58&lt;&gt;"Jack"),MAX($M$5:$M57)+1,"")</f>
        <v/>
      </c>
      <c r="N58" s="6">
        <v>0</v>
      </c>
      <c r="O58" s="9">
        <f t="shared" si="1"/>
        <v>0</v>
      </c>
      <c r="P58" s="6"/>
      <c r="Q58" s="6"/>
    </row>
    <row r="59" spans="2:17" ht="25.5" x14ac:dyDescent="0.45">
      <c r="B59" s="4" t="s">
        <v>215</v>
      </c>
      <c r="C59" s="4" t="s">
        <v>216</v>
      </c>
      <c r="D59" s="4" t="s">
        <v>67</v>
      </c>
      <c r="E59" s="4" t="s">
        <v>217</v>
      </c>
      <c r="F59" s="6">
        <v>9</v>
      </c>
      <c r="G59" s="6"/>
      <c r="H59" s="4" t="s">
        <v>218</v>
      </c>
      <c r="I59" t="str">
        <f>IF(AND($C59&lt;&gt;"",N($F59)&gt;0,NOT(OR($B59="Rack",$B59="Gabinete",$B59="Rack de pared",$B59="Gabinete de pared"))),MAX($I$5:$I58)+1,"")</f>
        <v/>
      </c>
      <c r="J59">
        <f>IF(OR($B59="Rack",$B59="Gabinete",$B59="Rack de pared",$B59="Gabinete de pared"),MAX($J$5:$J58)+1,"")</f>
        <v>11</v>
      </c>
      <c r="K59" t="str">
        <f>IF($B59="Organizador vertical",COUNTIF($B$6:$B59,"Organizador vertical"),"")</f>
        <v/>
      </c>
      <c r="L59" t="str">
        <f>IF($B59="Jack",COUNTIF($B$6:$B59,"Jack"),"")</f>
        <v/>
      </c>
      <c r="M59" t="str">
        <f>IF(AND($C59&lt;&gt;"",N($F59)=0,$B59&lt;&gt;"Rack",$B59&lt;&gt;"Gabinete",$B59&lt;&gt;"Organizador vertical",$B59&lt;&gt;"Jack"),MAX($M$5:$M58)+1,"")</f>
        <v/>
      </c>
      <c r="N59" s="6">
        <v>0</v>
      </c>
      <c r="O59" s="9">
        <f t="shared" si="1"/>
        <v>0</v>
      </c>
      <c r="P59" s="6"/>
      <c r="Q59" s="6"/>
    </row>
    <row r="60" spans="2:17" ht="25.5" x14ac:dyDescent="0.45">
      <c r="B60" s="4" t="s">
        <v>215</v>
      </c>
      <c r="C60" s="4" t="s">
        <v>219</v>
      </c>
      <c r="D60" s="4" t="s">
        <v>67</v>
      </c>
      <c r="E60" s="4" t="s">
        <v>220</v>
      </c>
      <c r="F60" s="6">
        <v>12</v>
      </c>
      <c r="G60" s="6"/>
      <c r="H60" s="4" t="s">
        <v>218</v>
      </c>
      <c r="I60" t="str">
        <f>IF(AND($C60&lt;&gt;"",N($F60)&gt;0,NOT(OR($B60="Rack",$B60="Gabinete",$B60="Rack de pared",$B60="Gabinete de pared"))),MAX($I$5:$I59)+1,"")</f>
        <v/>
      </c>
      <c r="J60">
        <f>IF(OR($B60="Rack",$B60="Gabinete",$B60="Rack de pared",$B60="Gabinete de pared"),MAX($J$5:$J59)+1,"")</f>
        <v>12</v>
      </c>
      <c r="K60" t="str">
        <f>IF($B60="Organizador vertical",COUNTIF($B$6:$B60,"Organizador vertical"),"")</f>
        <v/>
      </c>
      <c r="L60" t="str">
        <f>IF($B60="Jack",COUNTIF($B$6:$B60,"Jack"),"")</f>
        <v/>
      </c>
      <c r="M60" t="str">
        <f>IF(AND($C60&lt;&gt;"",N($F60)=0,$B60&lt;&gt;"Rack",$B60&lt;&gt;"Gabinete",$B60&lt;&gt;"Organizador vertical",$B60&lt;&gt;"Jack"),MAX($M$5:$M59)+1,"")</f>
        <v/>
      </c>
      <c r="N60" s="6">
        <v>0</v>
      </c>
      <c r="O60" s="9">
        <f t="shared" si="1"/>
        <v>0</v>
      </c>
      <c r="P60" s="6"/>
      <c r="Q60" s="6"/>
    </row>
    <row r="61" spans="2:17" ht="25.5" x14ac:dyDescent="0.45">
      <c r="B61" s="4" t="s">
        <v>215</v>
      </c>
      <c r="C61" s="4" t="s">
        <v>221</v>
      </c>
      <c r="D61" s="4" t="s">
        <v>67</v>
      </c>
      <c r="E61" s="4" t="s">
        <v>222</v>
      </c>
      <c r="F61" s="6">
        <v>12</v>
      </c>
      <c r="G61" s="6"/>
      <c r="H61" s="4" t="s">
        <v>218</v>
      </c>
      <c r="I61" t="str">
        <f>IF(AND($C61&lt;&gt;"",N($F61)&gt;0,NOT(OR($B61="Rack",$B61="Gabinete",$B61="Rack de pared",$B61="Gabinete de pared"))),MAX($I$5:$I60)+1,"")</f>
        <v/>
      </c>
      <c r="J61">
        <f>IF(OR($B61="Rack",$B61="Gabinete",$B61="Rack de pared",$B61="Gabinete de pared"),MAX($J$5:$J60)+1,"")</f>
        <v>13</v>
      </c>
      <c r="K61" t="str">
        <f>IF($B61="Organizador vertical",COUNTIF($B$6:$B61,"Organizador vertical"),"")</f>
        <v/>
      </c>
      <c r="L61" t="str">
        <f>IF($B61="Jack",COUNTIF($B$6:$B61,"Jack"),"")</f>
        <v/>
      </c>
      <c r="M61" t="str">
        <f>IF(AND($C61&lt;&gt;"",N($F61)=0,$B61&lt;&gt;"Rack",$B61&lt;&gt;"Gabinete",$B61&lt;&gt;"Organizador vertical",$B61&lt;&gt;"Jack"),MAX($M$5:$M60)+1,"")</f>
        <v/>
      </c>
      <c r="N61" s="6">
        <v>0</v>
      </c>
      <c r="O61" s="9">
        <f t="shared" si="1"/>
        <v>0</v>
      </c>
      <c r="P61" s="6"/>
      <c r="Q61" s="6"/>
    </row>
    <row r="62" spans="2:17" ht="25.5" x14ac:dyDescent="0.45">
      <c r="B62" s="4" t="s">
        <v>215</v>
      </c>
      <c r="C62" s="4" t="s">
        <v>223</v>
      </c>
      <c r="D62" s="4" t="s">
        <v>67</v>
      </c>
      <c r="E62" s="4" t="s">
        <v>224</v>
      </c>
      <c r="F62" s="6">
        <v>12</v>
      </c>
      <c r="G62" s="6"/>
      <c r="H62" s="4" t="s">
        <v>218</v>
      </c>
      <c r="I62" t="str">
        <f>IF(AND($C62&lt;&gt;"",N($F62)&gt;0,NOT(OR($B62="Rack",$B62="Gabinete",$B62="Rack de pared",$B62="Gabinete de pared"))),MAX($I$5:$I61)+1,"")</f>
        <v/>
      </c>
      <c r="J62">
        <f>IF(OR($B62="Rack",$B62="Gabinete",$B62="Rack de pared",$B62="Gabinete de pared"),MAX($J$5:$J61)+1,"")</f>
        <v>14</v>
      </c>
      <c r="K62" t="str">
        <f>IF($B62="Organizador vertical",COUNTIF($B$6:$B62,"Organizador vertical"),"")</f>
        <v/>
      </c>
      <c r="L62" t="str">
        <f>IF($B62="Jack",COUNTIF($B$6:$B62,"Jack"),"")</f>
        <v/>
      </c>
      <c r="M62" t="str">
        <f>IF(AND($C62&lt;&gt;"",N($F62)=0,$B62&lt;&gt;"Rack",$B62&lt;&gt;"Gabinete",$B62&lt;&gt;"Organizador vertical",$B62&lt;&gt;"Jack"),MAX($M$5:$M61)+1,"")</f>
        <v/>
      </c>
      <c r="N62" s="6">
        <v>0</v>
      </c>
      <c r="O62" s="9">
        <f t="shared" si="1"/>
        <v>0</v>
      </c>
      <c r="P62" s="6"/>
      <c r="Q62" s="6"/>
    </row>
    <row r="63" spans="2:17" ht="25.5" x14ac:dyDescent="0.45">
      <c r="B63" s="4" t="s">
        <v>215</v>
      </c>
      <c r="C63" s="4" t="s">
        <v>225</v>
      </c>
      <c r="D63" s="4" t="s">
        <v>67</v>
      </c>
      <c r="E63" s="4" t="s">
        <v>226</v>
      </c>
      <c r="F63" s="6">
        <v>18</v>
      </c>
      <c r="G63" s="6"/>
      <c r="H63" s="4" t="s">
        <v>218</v>
      </c>
      <c r="I63" t="str">
        <f>IF(AND($C63&lt;&gt;"",N($F63)&gt;0,NOT(OR($B63="Rack",$B63="Gabinete",$B63="Rack de pared",$B63="Gabinete de pared"))),MAX($I$5:$I62)+1,"")</f>
        <v/>
      </c>
      <c r="J63">
        <f>IF(OR($B63="Rack",$B63="Gabinete",$B63="Rack de pared",$B63="Gabinete de pared"),MAX($J$5:$J62)+1,"")</f>
        <v>15</v>
      </c>
      <c r="K63" t="str">
        <f>IF($B63="Organizador vertical",COUNTIF($B$6:$B63,"Organizador vertical"),"")</f>
        <v/>
      </c>
      <c r="L63" t="str">
        <f>IF($B63="Jack",COUNTIF($B$6:$B63,"Jack"),"")</f>
        <v/>
      </c>
      <c r="M63" t="str">
        <f>IF(AND($C63&lt;&gt;"",N($F63)=0,$B63&lt;&gt;"Rack",$B63&lt;&gt;"Gabinete",$B63&lt;&gt;"Organizador vertical",$B63&lt;&gt;"Jack"),MAX($M$5:$M62)+1,"")</f>
        <v/>
      </c>
      <c r="N63" s="6">
        <v>0</v>
      </c>
      <c r="O63" s="9">
        <f t="shared" si="1"/>
        <v>0</v>
      </c>
      <c r="P63" s="6"/>
      <c r="Q63" s="6"/>
    </row>
    <row r="64" spans="2:17" ht="25.5" x14ac:dyDescent="0.45">
      <c r="B64" s="4" t="s">
        <v>215</v>
      </c>
      <c r="C64" s="4" t="s">
        <v>227</v>
      </c>
      <c r="D64" s="4" t="s">
        <v>67</v>
      </c>
      <c r="E64" s="4" t="s">
        <v>228</v>
      </c>
      <c r="F64" s="6">
        <v>18</v>
      </c>
      <c r="G64" s="6"/>
      <c r="H64" s="4" t="s">
        <v>218</v>
      </c>
      <c r="I64" t="str">
        <f>IF(AND($C64&lt;&gt;"",N($F64)&gt;0,NOT(OR($B64="Rack",$B64="Gabinete",$B64="Rack de pared",$B64="Gabinete de pared"))),MAX($I$5:$I63)+1,"")</f>
        <v/>
      </c>
      <c r="J64">
        <f>IF(OR($B64="Rack",$B64="Gabinete",$B64="Rack de pared",$B64="Gabinete de pared"),MAX($J$5:$J63)+1,"")</f>
        <v>16</v>
      </c>
      <c r="K64" t="str">
        <f>IF($B64="Organizador vertical",COUNTIF($B$6:$B64,"Organizador vertical"),"")</f>
        <v/>
      </c>
      <c r="L64" t="str">
        <f>IF($B64="Jack",COUNTIF($B$6:$B64,"Jack"),"")</f>
        <v/>
      </c>
      <c r="M64" t="str">
        <f>IF(AND($C64&lt;&gt;"",N($F64)=0,$B64&lt;&gt;"Rack",$B64&lt;&gt;"Gabinete",$B64&lt;&gt;"Organizador vertical",$B64&lt;&gt;"Jack"),MAX($M$5:$M63)+1,"")</f>
        <v/>
      </c>
      <c r="N64" s="6">
        <v>0</v>
      </c>
      <c r="O64" s="9">
        <f t="shared" si="1"/>
        <v>0</v>
      </c>
      <c r="P64" s="6"/>
      <c r="Q64" s="6"/>
    </row>
    <row r="65" spans="2:17" ht="25.5" x14ac:dyDescent="0.45">
      <c r="B65" s="4" t="s">
        <v>215</v>
      </c>
      <c r="C65" s="4" t="s">
        <v>229</v>
      </c>
      <c r="D65" s="4" t="s">
        <v>67</v>
      </c>
      <c r="E65" s="4" t="s">
        <v>230</v>
      </c>
      <c r="F65" s="6">
        <v>26</v>
      </c>
      <c r="G65" s="6"/>
      <c r="H65" s="4" t="s">
        <v>218</v>
      </c>
      <c r="I65" t="str">
        <f>IF(AND($C65&lt;&gt;"",N($F65)&gt;0,NOT(OR($B65="Rack",$B65="Gabinete",$B65="Rack de pared",$B65="Gabinete de pared"))),MAX($I$5:$I64)+1,"")</f>
        <v/>
      </c>
      <c r="J65">
        <f>IF(OR($B65="Rack",$B65="Gabinete",$B65="Rack de pared",$B65="Gabinete de pared"),MAX($J$5:$J64)+1,"")</f>
        <v>17</v>
      </c>
      <c r="K65" t="str">
        <f>IF($B65="Organizador vertical",COUNTIF($B$6:$B65,"Organizador vertical"),"")</f>
        <v/>
      </c>
      <c r="L65" t="str">
        <f>IF($B65="Jack",COUNTIF($B$6:$B65,"Jack"),"")</f>
        <v/>
      </c>
      <c r="M65" t="str">
        <f>IF(AND($C65&lt;&gt;"",N($F65)=0,$B65&lt;&gt;"Rack",$B65&lt;&gt;"Gabinete",$B65&lt;&gt;"Organizador vertical",$B65&lt;&gt;"Jack"),MAX($M$5:$M64)+1,"")</f>
        <v/>
      </c>
      <c r="N65" s="6">
        <v>0</v>
      </c>
      <c r="O65" s="9">
        <f t="shared" si="1"/>
        <v>0</v>
      </c>
      <c r="P65" s="6"/>
      <c r="Q65" s="6"/>
    </row>
    <row r="66" spans="2:17" ht="25.5" x14ac:dyDescent="0.45">
      <c r="B66" s="4" t="s">
        <v>215</v>
      </c>
      <c r="C66" s="4" t="s">
        <v>231</v>
      </c>
      <c r="D66" s="4" t="s">
        <v>67</v>
      </c>
      <c r="E66" s="4" t="s">
        <v>232</v>
      </c>
      <c r="F66" s="6">
        <v>26</v>
      </c>
      <c r="G66" s="6"/>
      <c r="H66" s="4" t="s">
        <v>218</v>
      </c>
      <c r="I66" t="str">
        <f>IF(AND($C66&lt;&gt;"",N($F66)&gt;0,NOT(OR($B66="Rack",$B66="Gabinete",$B66="Rack de pared",$B66="Gabinete de pared"))),MAX($I$5:$I65)+1,"")</f>
        <v/>
      </c>
      <c r="J66">
        <f>IF(OR($B66="Rack",$B66="Gabinete",$B66="Rack de pared",$B66="Gabinete de pared"),MAX($J$5:$J65)+1,"")</f>
        <v>18</v>
      </c>
      <c r="K66" t="str">
        <f>IF($B66="Organizador vertical",COUNTIF($B$6:$B66,"Organizador vertical"),"")</f>
        <v/>
      </c>
      <c r="L66" t="str">
        <f>IF($B66="Jack",COUNTIF($B$6:$B66,"Jack"),"")</f>
        <v/>
      </c>
      <c r="M66" t="str">
        <f>IF(AND($C66&lt;&gt;"",N($F66)=0,$B66&lt;&gt;"Rack",$B66&lt;&gt;"Gabinete",$B66&lt;&gt;"Organizador vertical",$B66&lt;&gt;"Jack"),MAX($M$5:$M65)+1,"")</f>
        <v/>
      </c>
      <c r="N66" s="6">
        <v>0</v>
      </c>
      <c r="O66" s="9">
        <f t="shared" si="1"/>
        <v>0</v>
      </c>
      <c r="P66" s="6"/>
      <c r="Q66" s="6"/>
    </row>
    <row r="67" spans="2:17" ht="25.5" x14ac:dyDescent="0.45">
      <c r="B67" s="4" t="s">
        <v>233</v>
      </c>
      <c r="C67" s="4" t="s">
        <v>234</v>
      </c>
      <c r="D67" s="4" t="s">
        <v>235</v>
      </c>
      <c r="E67" s="4" t="s">
        <v>236</v>
      </c>
      <c r="F67" s="6">
        <v>2</v>
      </c>
      <c r="G67" s="6"/>
      <c r="H67" s="4" t="s">
        <v>237</v>
      </c>
      <c r="I67">
        <f>IF(AND($C67&lt;&gt;"",N($F67)&gt;0,NOT(OR($B67="Rack",$B67="Gabinete",$B67="Rack de pared",$B67="Gabinete de pared"))),MAX($I$5:$I66)+1,"")</f>
        <v>31</v>
      </c>
      <c r="J67" t="str">
        <f>IF(OR($B67="Rack",$B67="Gabinete",$B67="Rack de pared",$B67="Gabinete de pared"),MAX($J$5:$J66)+1,"")</f>
        <v/>
      </c>
      <c r="K67" t="str">
        <f>IF($B67="Organizador vertical",COUNTIF($B$6:$B67,"Organizador vertical"),"")</f>
        <v/>
      </c>
      <c r="L67" t="str">
        <f>IF($B67="Jack",COUNTIF($B$6:$B67,"Jack"),"")</f>
        <v/>
      </c>
      <c r="M67" t="str">
        <f>IF(AND($C67&lt;&gt;"",N($F67)=0,$B67&lt;&gt;"Rack",$B67&lt;&gt;"Gabinete",$B67&lt;&gt;"Organizador vertical",$B67&lt;&gt;"Jack"),MAX($M$5:$M66)+1,"")</f>
        <v/>
      </c>
      <c r="N67" s="6"/>
      <c r="O67" s="9" t="str">
        <f t="shared" si="1"/>
        <v/>
      </c>
      <c r="P67" s="6"/>
      <c r="Q67" s="6"/>
    </row>
    <row r="68" spans="2:17" ht="25.5" x14ac:dyDescent="0.45">
      <c r="B68" s="4" t="s">
        <v>233</v>
      </c>
      <c r="C68" s="4" t="s">
        <v>238</v>
      </c>
      <c r="D68" s="4" t="s">
        <v>235</v>
      </c>
      <c r="E68" s="4" t="s">
        <v>239</v>
      </c>
      <c r="F68" s="6">
        <v>2</v>
      </c>
      <c r="G68" s="6"/>
      <c r="H68" s="4" t="s">
        <v>240</v>
      </c>
      <c r="I68">
        <f>IF(AND($C68&lt;&gt;"",N($F68)&gt;0,NOT(OR($B68="Rack",$B68="Gabinete",$B68="Rack de pared",$B68="Gabinete de pared"))),MAX($I$5:$I67)+1,"")</f>
        <v>32</v>
      </c>
      <c r="J68" t="str">
        <f>IF(OR($B68="Rack",$B68="Gabinete",$B68="Rack de pared",$B68="Gabinete de pared"),MAX($J$5:$J67)+1,"")</f>
        <v/>
      </c>
      <c r="K68" t="str">
        <f>IF($B68="Organizador vertical",COUNTIF($B$6:$B68,"Organizador vertical"),"")</f>
        <v/>
      </c>
      <c r="L68" t="str">
        <f>IF($B68="Jack",COUNTIF($B$6:$B68,"Jack"),"")</f>
        <v/>
      </c>
      <c r="M68" t="str">
        <f>IF(AND($C68&lt;&gt;"",N($F68)=0,$B68&lt;&gt;"Rack",$B68&lt;&gt;"Gabinete",$B68&lt;&gt;"Organizador vertical",$B68&lt;&gt;"Jack"),MAX($M$5:$M67)+1,"")</f>
        <v/>
      </c>
      <c r="N68" s="6"/>
      <c r="O68" s="9" t="str">
        <f t="shared" si="1"/>
        <v/>
      </c>
      <c r="P68" s="6"/>
      <c r="Q68" s="6"/>
    </row>
    <row r="69" spans="2:17" ht="25.5" x14ac:dyDescent="0.45">
      <c r="B69" s="4" t="s">
        <v>233</v>
      </c>
      <c r="C69" s="4" t="s">
        <v>241</v>
      </c>
      <c r="D69" s="4" t="s">
        <v>235</v>
      </c>
      <c r="E69" s="4" t="s">
        <v>242</v>
      </c>
      <c r="F69" s="6">
        <v>2</v>
      </c>
      <c r="G69" s="6"/>
      <c r="H69" s="4" t="s">
        <v>240</v>
      </c>
      <c r="I69">
        <f>IF(AND($C69&lt;&gt;"",N($F69)&gt;0,NOT(OR($B69="Rack",$B69="Gabinete",$B69="Rack de pared",$B69="Gabinete de pared"))),MAX($I$5:$I68)+1,"")</f>
        <v>33</v>
      </c>
      <c r="J69" t="str">
        <f>IF(OR($B69="Rack",$B69="Gabinete",$B69="Rack de pared",$B69="Gabinete de pared"),MAX($J$5:$J68)+1,"")</f>
        <v/>
      </c>
      <c r="K69" t="str">
        <f>IF($B69="Organizador vertical",COUNTIF($B$6:$B69,"Organizador vertical"),"")</f>
        <v/>
      </c>
      <c r="L69" t="str">
        <f>IF($B69="Jack",COUNTIF($B$6:$B69,"Jack"),"")</f>
        <v/>
      </c>
      <c r="M69" t="str">
        <f>IF(AND($C69&lt;&gt;"",N($F69)=0,$B69&lt;&gt;"Rack",$B69&lt;&gt;"Gabinete",$B69&lt;&gt;"Organizador vertical",$B69&lt;&gt;"Jack"),MAX($M$5:$M68)+1,"")</f>
        <v/>
      </c>
      <c r="N69" s="6"/>
      <c r="O69" s="9" t="str">
        <f t="shared" si="1"/>
        <v/>
      </c>
      <c r="P69" s="6"/>
      <c r="Q69" s="6"/>
    </row>
    <row r="70" spans="2:17" ht="25.5" x14ac:dyDescent="0.45">
      <c r="B70" s="4" t="s">
        <v>233</v>
      </c>
      <c r="C70" s="4" t="s">
        <v>243</v>
      </c>
      <c r="D70" s="4" t="s">
        <v>235</v>
      </c>
      <c r="E70" s="4" t="s">
        <v>244</v>
      </c>
      <c r="F70" s="6">
        <v>2</v>
      </c>
      <c r="G70" s="6"/>
      <c r="H70" s="4" t="s">
        <v>240</v>
      </c>
      <c r="I70">
        <f>IF(AND($C70&lt;&gt;"",N($F70)&gt;0,NOT(OR($B70="Rack",$B70="Gabinete",$B70="Rack de pared",$B70="Gabinete de pared"))),MAX($I$5:$I69)+1,"")</f>
        <v>34</v>
      </c>
      <c r="J70" t="str">
        <f>IF(OR($B70="Rack",$B70="Gabinete",$B70="Rack de pared",$B70="Gabinete de pared"),MAX($J$5:$J69)+1,"")</f>
        <v/>
      </c>
      <c r="K70" t="str">
        <f>IF($B70="Organizador vertical",COUNTIF($B$6:$B70,"Organizador vertical"),"")</f>
        <v/>
      </c>
      <c r="L70" t="str">
        <f>IF($B70="Jack",COUNTIF($B$6:$B70,"Jack"),"")</f>
        <v/>
      </c>
      <c r="M70" t="str">
        <f>IF(AND($C70&lt;&gt;"",N($F70)=0,$B70&lt;&gt;"Rack",$B70&lt;&gt;"Gabinete",$B70&lt;&gt;"Organizador vertical",$B70&lt;&gt;"Jack"),MAX($M$5:$M69)+1,"")</f>
        <v/>
      </c>
      <c r="N70" s="6"/>
      <c r="O70" s="9" t="str">
        <f t="shared" ref="O70:O101" si="2">IF(N70="","",ROUND(N70*3.412,0))</f>
        <v/>
      </c>
      <c r="P70" s="6"/>
      <c r="Q70" s="6"/>
    </row>
    <row r="71" spans="2:17" ht="25.5" x14ac:dyDescent="0.45">
      <c r="B71" s="4" t="s">
        <v>233</v>
      </c>
      <c r="C71" s="4" t="s">
        <v>245</v>
      </c>
      <c r="D71" s="4" t="s">
        <v>235</v>
      </c>
      <c r="E71" s="4" t="s">
        <v>246</v>
      </c>
      <c r="F71" s="6">
        <v>2</v>
      </c>
      <c r="G71" s="6"/>
      <c r="H71" s="4" t="s">
        <v>247</v>
      </c>
      <c r="I71">
        <f>IF(AND($C71&lt;&gt;"",N($F71)&gt;0,NOT(OR($B71="Rack",$B71="Gabinete",$B71="Rack de pared",$B71="Gabinete de pared"))),MAX($I$5:$I70)+1,"")</f>
        <v>35</v>
      </c>
      <c r="J71" t="str">
        <f>IF(OR($B71="Rack",$B71="Gabinete",$B71="Rack de pared",$B71="Gabinete de pared"),MAX($J$5:$J70)+1,"")</f>
        <v/>
      </c>
      <c r="K71" t="str">
        <f>IF($B71="Organizador vertical",COUNTIF($B$6:$B71,"Organizador vertical"),"")</f>
        <v/>
      </c>
      <c r="L71" t="str">
        <f>IF($B71="Jack",COUNTIF($B$6:$B71,"Jack"),"")</f>
        <v/>
      </c>
      <c r="M71" t="str">
        <f>IF(AND($C71&lt;&gt;"",N($F71)=0,$B71&lt;&gt;"Rack",$B71&lt;&gt;"Gabinete",$B71&lt;&gt;"Organizador vertical",$B71&lt;&gt;"Jack"),MAX($M$5:$M70)+1,"")</f>
        <v/>
      </c>
      <c r="N71" s="6"/>
      <c r="O71" s="9" t="str">
        <f t="shared" si="2"/>
        <v/>
      </c>
      <c r="P71" s="6"/>
      <c r="Q71" s="6"/>
    </row>
    <row r="72" spans="2:17" ht="25.5" x14ac:dyDescent="0.45">
      <c r="B72" s="4" t="s">
        <v>51</v>
      </c>
      <c r="C72" s="4" t="s">
        <v>248</v>
      </c>
      <c r="D72" s="4" t="s">
        <v>249</v>
      </c>
      <c r="E72" s="4" t="s">
        <v>250</v>
      </c>
      <c r="F72" s="6">
        <v>2</v>
      </c>
      <c r="G72" s="6"/>
      <c r="H72" s="4" t="s">
        <v>251</v>
      </c>
      <c r="I72">
        <f>IF(AND($C72&lt;&gt;"",N($F72)&gt;0,NOT(OR($B72="Rack",$B72="Gabinete",$B72="Rack de pared",$B72="Gabinete de pared"))),MAX($I$5:$I71)+1,"")</f>
        <v>36</v>
      </c>
      <c r="J72" t="str">
        <f>IF(OR($B72="Rack",$B72="Gabinete",$B72="Rack de pared",$B72="Gabinete de pared"),MAX($J$5:$J71)+1,"")</f>
        <v/>
      </c>
      <c r="K72" t="str">
        <f>IF($B72="Organizador vertical",COUNTIF($B$6:$B72,"Organizador vertical"),"")</f>
        <v/>
      </c>
      <c r="L72" t="str">
        <f>IF($B72="Jack",COUNTIF($B$6:$B72,"Jack"),"")</f>
        <v/>
      </c>
      <c r="M72" t="str">
        <f>IF(AND($C72&lt;&gt;"",N($F72)=0,$B72&lt;&gt;"Rack",$B72&lt;&gt;"Gabinete",$B72&lt;&gt;"Organizador vertical",$B72&lt;&gt;"Jack"),MAX($M$5:$M71)+1,"")</f>
        <v/>
      </c>
      <c r="N72" s="6"/>
      <c r="O72" s="9" t="str">
        <f t="shared" si="2"/>
        <v/>
      </c>
      <c r="P72" s="6"/>
      <c r="Q72" s="6"/>
    </row>
    <row r="73" spans="2:17" ht="25.5" x14ac:dyDescent="0.45">
      <c r="B73" s="4" t="s">
        <v>51</v>
      </c>
      <c r="C73" s="4" t="s">
        <v>252</v>
      </c>
      <c r="D73" s="4" t="s">
        <v>249</v>
      </c>
      <c r="E73" s="4" t="s">
        <v>253</v>
      </c>
      <c r="F73" s="6">
        <v>2</v>
      </c>
      <c r="G73" s="6"/>
      <c r="H73" s="4" t="s">
        <v>254</v>
      </c>
      <c r="I73">
        <f>IF(AND($C73&lt;&gt;"",N($F73)&gt;0,NOT(OR($B73="Rack",$B73="Gabinete",$B73="Rack de pared",$B73="Gabinete de pared"))),MAX($I$5:$I72)+1,"")</f>
        <v>37</v>
      </c>
      <c r="J73" t="str">
        <f>IF(OR($B73="Rack",$B73="Gabinete",$B73="Rack de pared",$B73="Gabinete de pared"),MAX($J$5:$J72)+1,"")</f>
        <v/>
      </c>
      <c r="K73" t="str">
        <f>IF($B73="Organizador vertical",COUNTIF($B$6:$B73,"Organizador vertical"),"")</f>
        <v/>
      </c>
      <c r="L73" t="str">
        <f>IF($B73="Jack",COUNTIF($B$6:$B73,"Jack"),"")</f>
        <v/>
      </c>
      <c r="M73" t="str">
        <f>IF(AND($C73&lt;&gt;"",N($F73)=0,$B73&lt;&gt;"Rack",$B73&lt;&gt;"Gabinete",$B73&lt;&gt;"Organizador vertical",$B73&lt;&gt;"Jack"),MAX($M$5:$M72)+1,"")</f>
        <v/>
      </c>
      <c r="N73" s="6"/>
      <c r="O73" s="9" t="str">
        <f t="shared" si="2"/>
        <v/>
      </c>
      <c r="P73" s="6"/>
      <c r="Q73" s="6"/>
    </row>
    <row r="74" spans="2:17" ht="25.5" x14ac:dyDescent="0.45">
      <c r="B74" s="4" t="s">
        <v>51</v>
      </c>
      <c r="C74" s="4" t="s">
        <v>255</v>
      </c>
      <c r="D74" s="4" t="s">
        <v>249</v>
      </c>
      <c r="E74" s="4" t="s">
        <v>256</v>
      </c>
      <c r="F74" s="6">
        <v>2</v>
      </c>
      <c r="G74" s="6"/>
      <c r="H74" s="4" t="s">
        <v>257</v>
      </c>
      <c r="I74">
        <f>IF(AND($C74&lt;&gt;"",N($F74)&gt;0,NOT(OR($B74="Rack",$B74="Gabinete",$B74="Rack de pared",$B74="Gabinete de pared"))),MAX($I$5:$I73)+1,"")</f>
        <v>38</v>
      </c>
      <c r="J74" t="str">
        <f>IF(OR($B74="Rack",$B74="Gabinete",$B74="Rack de pared",$B74="Gabinete de pared"),MAX($J$5:$J73)+1,"")</f>
        <v/>
      </c>
      <c r="K74" t="str">
        <f>IF($B74="Organizador vertical",COUNTIF($B$6:$B74,"Organizador vertical"),"")</f>
        <v/>
      </c>
      <c r="L74" t="str">
        <f>IF($B74="Jack",COUNTIF($B$6:$B74,"Jack"),"")</f>
        <v/>
      </c>
      <c r="M74" t="str">
        <f>IF(AND($C74&lt;&gt;"",N($F74)=0,$B74&lt;&gt;"Rack",$B74&lt;&gt;"Gabinete",$B74&lt;&gt;"Organizador vertical",$B74&lt;&gt;"Jack"),MAX($M$5:$M73)+1,"")</f>
        <v/>
      </c>
      <c r="N74" s="6"/>
      <c r="O74" s="9" t="str">
        <f t="shared" si="2"/>
        <v/>
      </c>
      <c r="P74" s="6"/>
      <c r="Q74" s="6"/>
    </row>
    <row r="75" spans="2:17" ht="25.5" x14ac:dyDescent="0.45">
      <c r="B75" s="4" t="s">
        <v>51</v>
      </c>
      <c r="C75" s="4" t="s">
        <v>258</v>
      </c>
      <c r="D75" s="4" t="s">
        <v>249</v>
      </c>
      <c r="E75" s="4" t="s">
        <v>259</v>
      </c>
      <c r="F75" s="6">
        <v>2</v>
      </c>
      <c r="G75" s="6"/>
      <c r="H75" s="4" t="s">
        <v>260</v>
      </c>
      <c r="I75">
        <f>IF(AND($C75&lt;&gt;"",N($F75)&gt;0,NOT(OR($B75="Rack",$B75="Gabinete",$B75="Rack de pared",$B75="Gabinete de pared"))),MAX($I$5:$I74)+1,"")</f>
        <v>39</v>
      </c>
      <c r="J75" t="str">
        <f>IF(OR($B75="Rack",$B75="Gabinete",$B75="Rack de pared",$B75="Gabinete de pared"),MAX($J$5:$J74)+1,"")</f>
        <v/>
      </c>
      <c r="K75" t="str">
        <f>IF($B75="Organizador vertical",COUNTIF($B$6:$B75,"Organizador vertical"),"")</f>
        <v/>
      </c>
      <c r="L75" t="str">
        <f>IF($B75="Jack",COUNTIF($B$6:$B75,"Jack"),"")</f>
        <v/>
      </c>
      <c r="M75" t="str">
        <f>IF(AND($C75&lt;&gt;"",N($F75)=0,$B75&lt;&gt;"Rack",$B75&lt;&gt;"Gabinete",$B75&lt;&gt;"Organizador vertical",$B75&lt;&gt;"Jack"),MAX($M$5:$M74)+1,"")</f>
        <v/>
      </c>
      <c r="N75" s="6"/>
      <c r="O75" s="9" t="str">
        <f t="shared" si="2"/>
        <v/>
      </c>
      <c r="P75" s="6"/>
      <c r="Q75" s="6"/>
    </row>
    <row r="76" spans="2:17" ht="25.5" x14ac:dyDescent="0.45">
      <c r="B76" s="4" t="s">
        <v>51</v>
      </c>
      <c r="C76" s="4" t="s">
        <v>261</v>
      </c>
      <c r="D76" s="4" t="s">
        <v>249</v>
      </c>
      <c r="E76" s="4" t="s">
        <v>262</v>
      </c>
      <c r="F76" s="6">
        <v>2</v>
      </c>
      <c r="G76" s="6"/>
      <c r="H76" s="4" t="s">
        <v>263</v>
      </c>
      <c r="I76">
        <f>IF(AND($C76&lt;&gt;"",N($F76)&gt;0,NOT(OR($B76="Rack",$B76="Gabinete",$B76="Rack de pared",$B76="Gabinete de pared"))),MAX($I$5:$I75)+1,"")</f>
        <v>40</v>
      </c>
      <c r="J76" t="str">
        <f>IF(OR($B76="Rack",$B76="Gabinete",$B76="Rack de pared",$B76="Gabinete de pared"),MAX($J$5:$J75)+1,"")</f>
        <v/>
      </c>
      <c r="K76" t="str">
        <f>IF($B76="Organizador vertical",COUNTIF($B$6:$B76,"Organizador vertical"),"")</f>
        <v/>
      </c>
      <c r="L76" t="str">
        <f>IF($B76="Jack",COUNTIF($B$6:$B76,"Jack"),"")</f>
        <v/>
      </c>
      <c r="M76" t="str">
        <f>IF(AND($C76&lt;&gt;"",N($F76)=0,$B76&lt;&gt;"Rack",$B76&lt;&gt;"Gabinete",$B76&lt;&gt;"Organizador vertical",$B76&lt;&gt;"Jack"),MAX($M$5:$M75)+1,"")</f>
        <v/>
      </c>
      <c r="N76" s="6"/>
      <c r="O76" s="9" t="str">
        <f t="shared" si="2"/>
        <v/>
      </c>
      <c r="P76" s="6"/>
      <c r="Q76" s="6"/>
    </row>
    <row r="77" spans="2:17" ht="25.5" x14ac:dyDescent="0.45">
      <c r="B77" s="4" t="s">
        <v>51</v>
      </c>
      <c r="C77" s="4" t="s">
        <v>264</v>
      </c>
      <c r="D77" s="4" t="s">
        <v>249</v>
      </c>
      <c r="E77" s="4" t="s">
        <v>265</v>
      </c>
      <c r="F77" s="6">
        <v>2</v>
      </c>
      <c r="G77" s="6"/>
      <c r="H77" s="4" t="s">
        <v>266</v>
      </c>
      <c r="I77">
        <f>IF(AND($C77&lt;&gt;"",N($F77)&gt;0,NOT(OR($B77="Rack",$B77="Gabinete",$B77="Rack de pared",$B77="Gabinete de pared"))),MAX($I$5:$I76)+1,"")</f>
        <v>41</v>
      </c>
      <c r="J77" t="str">
        <f>IF(OR($B77="Rack",$B77="Gabinete",$B77="Rack de pared",$B77="Gabinete de pared"),MAX($J$5:$J76)+1,"")</f>
        <v/>
      </c>
      <c r="K77" t="str">
        <f>IF($B77="Organizador vertical",COUNTIF($B$6:$B77,"Organizador vertical"),"")</f>
        <v/>
      </c>
      <c r="L77" t="str">
        <f>IF($B77="Jack",COUNTIF($B$6:$B77,"Jack"),"")</f>
        <v/>
      </c>
      <c r="M77" t="str">
        <f>IF(AND($C77&lt;&gt;"",N($F77)=0,$B77&lt;&gt;"Rack",$B77&lt;&gt;"Gabinete",$B77&lt;&gt;"Organizador vertical",$B77&lt;&gt;"Jack"),MAX($M$5:$M76)+1,"")</f>
        <v/>
      </c>
      <c r="N77" s="6"/>
      <c r="O77" s="9" t="str">
        <f t="shared" si="2"/>
        <v/>
      </c>
      <c r="P77" s="6"/>
      <c r="Q77" s="6"/>
    </row>
    <row r="78" spans="2:17" ht="25.5" x14ac:dyDescent="0.45">
      <c r="B78" s="4" t="s">
        <v>51</v>
      </c>
      <c r="C78" s="4" t="s">
        <v>267</v>
      </c>
      <c r="D78" s="4" t="s">
        <v>268</v>
      </c>
      <c r="E78" s="4" t="s">
        <v>269</v>
      </c>
      <c r="F78" s="6">
        <v>1</v>
      </c>
      <c r="G78" s="6"/>
      <c r="H78" s="4" t="s">
        <v>270</v>
      </c>
      <c r="I78">
        <f>IF(AND($C78&lt;&gt;"",N($F78)&gt;0,NOT(OR($B78="Rack",$B78="Gabinete",$B78="Rack de pared",$B78="Gabinete de pared"))),MAX($I$5:$I77)+1,"")</f>
        <v>42</v>
      </c>
      <c r="J78" t="str">
        <f>IF(OR($B78="Rack",$B78="Gabinete",$B78="Rack de pared",$B78="Gabinete de pared"),MAX($J$5:$J77)+1,"")</f>
        <v/>
      </c>
      <c r="K78" t="str">
        <f>IF($B78="Organizador vertical",COUNTIF($B$6:$B78,"Organizador vertical"),"")</f>
        <v/>
      </c>
      <c r="L78" t="str">
        <f>IF($B78="Jack",COUNTIF($B$6:$B78,"Jack"),"")</f>
        <v/>
      </c>
      <c r="M78" t="str">
        <f>IF(AND($C78&lt;&gt;"",N($F78)=0,$B78&lt;&gt;"Rack",$B78&lt;&gt;"Gabinete",$B78&lt;&gt;"Organizador vertical",$B78&lt;&gt;"Jack"),MAX($M$5:$M77)+1,"")</f>
        <v/>
      </c>
      <c r="N78" s="6"/>
      <c r="O78" s="9" t="str">
        <f t="shared" si="2"/>
        <v/>
      </c>
      <c r="P78" s="6"/>
      <c r="Q78" s="6"/>
    </row>
    <row r="79" spans="2:17" ht="25.5" x14ac:dyDescent="0.45">
      <c r="B79" s="4" t="s">
        <v>51</v>
      </c>
      <c r="C79" s="4" t="s">
        <v>271</v>
      </c>
      <c r="D79" s="4" t="s">
        <v>268</v>
      </c>
      <c r="E79" s="4" t="s">
        <v>272</v>
      </c>
      <c r="F79" s="6">
        <v>1</v>
      </c>
      <c r="G79" s="6"/>
      <c r="H79" s="4" t="s">
        <v>273</v>
      </c>
      <c r="I79">
        <f>IF(AND($C79&lt;&gt;"",N($F79)&gt;0,NOT(OR($B79="Rack",$B79="Gabinete",$B79="Rack de pared",$B79="Gabinete de pared"))),MAX($I$5:$I78)+1,"")</f>
        <v>43</v>
      </c>
      <c r="J79" t="str">
        <f>IF(OR($B79="Rack",$B79="Gabinete",$B79="Rack de pared",$B79="Gabinete de pared"),MAX($J$5:$J78)+1,"")</f>
        <v/>
      </c>
      <c r="K79" t="str">
        <f>IF($B79="Organizador vertical",COUNTIF($B$6:$B79,"Organizador vertical"),"")</f>
        <v/>
      </c>
      <c r="L79" t="str">
        <f>IF($B79="Jack",COUNTIF($B$6:$B79,"Jack"),"")</f>
        <v/>
      </c>
      <c r="M79" t="str">
        <f>IF(AND($C79&lt;&gt;"",N($F79)=0,$B79&lt;&gt;"Rack",$B79&lt;&gt;"Gabinete",$B79&lt;&gt;"Organizador vertical",$B79&lt;&gt;"Jack"),MAX($M$5:$M78)+1,"")</f>
        <v/>
      </c>
      <c r="N79" s="6"/>
      <c r="O79" s="9" t="str">
        <f t="shared" si="2"/>
        <v/>
      </c>
      <c r="P79" s="6"/>
      <c r="Q79" s="6"/>
    </row>
    <row r="80" spans="2:17" ht="25.5" x14ac:dyDescent="0.45">
      <c r="B80" s="4" t="s">
        <v>51</v>
      </c>
      <c r="C80" s="4" t="s">
        <v>274</v>
      </c>
      <c r="D80" s="4" t="s">
        <v>275</v>
      </c>
      <c r="E80" s="4" t="s">
        <v>276</v>
      </c>
      <c r="F80" s="6">
        <v>3</v>
      </c>
      <c r="G80" s="6"/>
      <c r="H80" s="4" t="s">
        <v>277</v>
      </c>
      <c r="I80">
        <f>IF(AND($C80&lt;&gt;"",N($F80)&gt;0,NOT(OR($B80="Rack",$B80="Gabinete",$B80="Rack de pared",$B80="Gabinete de pared"))),MAX($I$5:$I79)+1,"")</f>
        <v>44</v>
      </c>
      <c r="J80" t="str">
        <f>IF(OR($B80="Rack",$B80="Gabinete",$B80="Rack de pared",$B80="Gabinete de pared"),MAX($J$5:$J79)+1,"")</f>
        <v/>
      </c>
      <c r="K80" t="str">
        <f>IF($B80="Organizador vertical",COUNTIF($B$6:$B80,"Organizador vertical"),"")</f>
        <v/>
      </c>
      <c r="L80" t="str">
        <f>IF($B80="Jack",COUNTIF($B$6:$B80,"Jack"),"")</f>
        <v/>
      </c>
      <c r="M80" t="str">
        <f>IF(AND($C80&lt;&gt;"",N($F80)=0,$B80&lt;&gt;"Rack",$B80&lt;&gt;"Gabinete",$B80&lt;&gt;"Organizador vertical",$B80&lt;&gt;"Jack"),MAX($M$5:$M79)+1,"")</f>
        <v/>
      </c>
      <c r="N80" s="6"/>
      <c r="O80" s="9" t="str">
        <f t="shared" si="2"/>
        <v/>
      </c>
      <c r="P80" s="6"/>
      <c r="Q80" s="6"/>
    </row>
    <row r="81" spans="2:17" ht="25.5" x14ac:dyDescent="0.45">
      <c r="B81" s="4" t="s">
        <v>51</v>
      </c>
      <c r="C81" s="4" t="s">
        <v>278</v>
      </c>
      <c r="D81" s="4" t="s">
        <v>275</v>
      </c>
      <c r="E81" s="4" t="s">
        <v>279</v>
      </c>
      <c r="F81" s="6">
        <v>3</v>
      </c>
      <c r="G81" s="6"/>
      <c r="H81" s="4" t="s">
        <v>277</v>
      </c>
      <c r="I81">
        <f>IF(AND($C81&lt;&gt;"",N($F81)&gt;0,NOT(OR($B81="Rack",$B81="Gabinete",$B81="Rack de pared",$B81="Gabinete de pared"))),MAX($I$5:$I80)+1,"")</f>
        <v>45</v>
      </c>
      <c r="J81" t="str">
        <f>IF(OR($B81="Rack",$B81="Gabinete",$B81="Rack de pared",$B81="Gabinete de pared"),MAX($J$5:$J80)+1,"")</f>
        <v/>
      </c>
      <c r="K81" t="str">
        <f>IF($B81="Organizador vertical",COUNTIF($B$6:$B81,"Organizador vertical"),"")</f>
        <v/>
      </c>
      <c r="L81" t="str">
        <f>IF($B81="Jack",COUNTIF($B$6:$B81,"Jack"),"")</f>
        <v/>
      </c>
      <c r="M81" t="str">
        <f>IF(AND($C81&lt;&gt;"",N($F81)=0,$B81&lt;&gt;"Rack",$B81&lt;&gt;"Gabinete",$B81&lt;&gt;"Organizador vertical",$B81&lt;&gt;"Jack"),MAX($M$5:$M80)+1,"")</f>
        <v/>
      </c>
      <c r="N81" s="6"/>
      <c r="O81" s="9" t="str">
        <f t="shared" si="2"/>
        <v/>
      </c>
      <c r="P81" s="6"/>
      <c r="Q81" s="6"/>
    </row>
    <row r="82" spans="2:17" ht="25.5" x14ac:dyDescent="0.45">
      <c r="B82" s="4" t="s">
        <v>280</v>
      </c>
      <c r="C82" s="4" t="s">
        <v>281</v>
      </c>
      <c r="D82" s="4" t="s">
        <v>282</v>
      </c>
      <c r="E82" s="4" t="s">
        <v>283</v>
      </c>
      <c r="F82" s="6"/>
      <c r="G82" s="6"/>
      <c r="H82" s="4" t="s">
        <v>284</v>
      </c>
      <c r="I82" t="str">
        <f>IF(AND($C82&lt;&gt;"",N($F82)&gt;0,NOT(OR($B82="Rack",$B82="Gabinete",$B82="Rack de pared",$B82="Gabinete de pared"))),MAX($I$5:$I81)+1,"")</f>
        <v/>
      </c>
      <c r="J82" t="str">
        <f>IF(OR($B82="Rack",$B82="Gabinete",$B82="Rack de pared",$B82="Gabinete de pared"),MAX($J$5:$J81)+1,"")</f>
        <v/>
      </c>
      <c r="K82" t="str">
        <f>IF($B82="Organizador vertical",COUNTIF($B$6:$B82,"Organizador vertical"),"")</f>
        <v/>
      </c>
      <c r="L82" t="str">
        <f>IF($B82="Jack",COUNTIF($B$6:$B82,"Jack"),"")</f>
        <v/>
      </c>
      <c r="M82">
        <f>IF(AND($C82&lt;&gt;"",N($F82)=0,$B82&lt;&gt;"Rack",$B82&lt;&gt;"Gabinete",$B82&lt;&gt;"Organizador vertical",$B82&lt;&gt;"Jack"),MAX($M$5:$M81)+1,"")</f>
        <v>4</v>
      </c>
      <c r="N82" s="6"/>
      <c r="O82" s="9" t="str">
        <f t="shared" si="2"/>
        <v/>
      </c>
      <c r="P82" s="6"/>
      <c r="Q82" s="6"/>
    </row>
    <row r="83" spans="2:17" x14ac:dyDescent="0.45">
      <c r="B83" s="4" t="s">
        <v>280</v>
      </c>
      <c r="C83" s="4" t="s">
        <v>285</v>
      </c>
      <c r="D83" s="4" t="s">
        <v>275</v>
      </c>
      <c r="E83" s="4" t="s">
        <v>286</v>
      </c>
      <c r="F83" s="6"/>
      <c r="G83" s="6"/>
      <c r="H83" s="4" t="s">
        <v>287</v>
      </c>
      <c r="I83" t="str">
        <f>IF(AND($C83&lt;&gt;"",N($F83)&gt;0,NOT(OR($B83="Rack",$B83="Gabinete",$B83="Rack de pared",$B83="Gabinete de pared"))),MAX($I$5:$I82)+1,"")</f>
        <v/>
      </c>
      <c r="J83" t="str">
        <f>IF(OR($B83="Rack",$B83="Gabinete",$B83="Rack de pared",$B83="Gabinete de pared"),MAX($J$5:$J82)+1,"")</f>
        <v/>
      </c>
      <c r="K83" t="str">
        <f>IF($B83="Organizador vertical",COUNTIF($B$6:$B83,"Organizador vertical"),"")</f>
        <v/>
      </c>
      <c r="L83" t="str">
        <f>IF($B83="Jack",COUNTIF($B$6:$B83,"Jack"),"")</f>
        <v/>
      </c>
      <c r="M83">
        <f>IF(AND($C83&lt;&gt;"",N($F83)=0,$B83&lt;&gt;"Rack",$B83&lt;&gt;"Gabinete",$B83&lt;&gt;"Organizador vertical",$B83&lt;&gt;"Jack"),MAX($M$5:$M82)+1,"")</f>
        <v>5</v>
      </c>
      <c r="N83" s="6"/>
      <c r="O83" s="9" t="str">
        <f t="shared" si="2"/>
        <v/>
      </c>
      <c r="P83" s="6"/>
      <c r="Q83" s="6"/>
    </row>
    <row r="84" spans="2:17" ht="25.5" x14ac:dyDescent="0.45">
      <c r="B84" s="4" t="s">
        <v>280</v>
      </c>
      <c r="C84" s="4" t="s">
        <v>288</v>
      </c>
      <c r="D84" s="4" t="s">
        <v>289</v>
      </c>
      <c r="E84" s="4" t="s">
        <v>290</v>
      </c>
      <c r="F84" s="6"/>
      <c r="G84" s="6"/>
      <c r="H84" s="4" t="s">
        <v>291</v>
      </c>
      <c r="I84" t="str">
        <f>IF(AND($C84&lt;&gt;"",N($F84)&gt;0,NOT(OR($B84="Rack",$B84="Gabinete",$B84="Rack de pared",$B84="Gabinete de pared"))),MAX($I$5:$I83)+1,"")</f>
        <v/>
      </c>
      <c r="J84" t="str">
        <f>IF(OR($B84="Rack",$B84="Gabinete",$B84="Rack de pared",$B84="Gabinete de pared"),MAX($J$5:$J83)+1,"")</f>
        <v/>
      </c>
      <c r="K84" t="str">
        <f>IF($B84="Organizador vertical",COUNTIF($B$6:$B84,"Organizador vertical"),"")</f>
        <v/>
      </c>
      <c r="L84" t="str">
        <f>IF($B84="Jack",COUNTIF($B$6:$B84,"Jack"),"")</f>
        <v/>
      </c>
      <c r="M84">
        <f>IF(AND($C84&lt;&gt;"",N($F84)=0,$B84&lt;&gt;"Rack",$B84&lt;&gt;"Gabinete",$B84&lt;&gt;"Organizador vertical",$B84&lt;&gt;"Jack"),MAX($M$5:$M83)+1,"")</f>
        <v>6</v>
      </c>
      <c r="N84" s="6"/>
      <c r="O84" s="9" t="str">
        <f t="shared" si="2"/>
        <v/>
      </c>
      <c r="P84" s="6"/>
      <c r="Q84" s="6"/>
    </row>
    <row r="85" spans="2:17" ht="25.5" x14ac:dyDescent="0.45">
      <c r="B85" s="4" t="s">
        <v>280</v>
      </c>
      <c r="C85" s="4" t="s">
        <v>292</v>
      </c>
      <c r="D85" s="4" t="s">
        <v>289</v>
      </c>
      <c r="E85" s="4" t="s">
        <v>293</v>
      </c>
      <c r="F85" s="6"/>
      <c r="G85" s="6"/>
      <c r="H85" s="4" t="s">
        <v>294</v>
      </c>
      <c r="I85" t="str">
        <f>IF(AND($C85&lt;&gt;"",N($F85)&gt;0,NOT(OR($B85="Rack",$B85="Gabinete",$B85="Rack de pared",$B85="Gabinete de pared"))),MAX($I$5:$I84)+1,"")</f>
        <v/>
      </c>
      <c r="J85" t="str">
        <f>IF(OR($B85="Rack",$B85="Gabinete",$B85="Rack de pared",$B85="Gabinete de pared"),MAX($J$5:$J84)+1,"")</f>
        <v/>
      </c>
      <c r="K85" t="str">
        <f>IF($B85="Organizador vertical",COUNTIF($B$6:$B85,"Organizador vertical"),"")</f>
        <v/>
      </c>
      <c r="L85" t="str">
        <f>IF($B85="Jack",COUNTIF($B$6:$B85,"Jack"),"")</f>
        <v/>
      </c>
      <c r="M85">
        <f>IF(AND($C85&lt;&gt;"",N($F85)=0,$B85&lt;&gt;"Rack",$B85&lt;&gt;"Gabinete",$B85&lt;&gt;"Organizador vertical",$B85&lt;&gt;"Jack"),MAX($M$5:$M84)+1,"")</f>
        <v>7</v>
      </c>
      <c r="N85" s="6"/>
      <c r="O85" s="9" t="str">
        <f t="shared" si="2"/>
        <v/>
      </c>
      <c r="P85" s="6"/>
      <c r="Q85" s="6"/>
    </row>
    <row r="86" spans="2:17" ht="25.5" x14ac:dyDescent="0.45">
      <c r="B86" s="4" t="s">
        <v>280</v>
      </c>
      <c r="C86" s="4" t="s">
        <v>295</v>
      </c>
      <c r="D86" s="4" t="s">
        <v>289</v>
      </c>
      <c r="E86" s="4" t="s">
        <v>296</v>
      </c>
      <c r="F86" s="6"/>
      <c r="G86" s="6"/>
      <c r="H86" s="4" t="s">
        <v>297</v>
      </c>
      <c r="I86" t="str">
        <f>IF(AND($C86&lt;&gt;"",N($F86)&gt;0,NOT(OR($B86="Rack",$B86="Gabinete",$B86="Rack de pared",$B86="Gabinete de pared"))),MAX($I$5:$I85)+1,"")</f>
        <v/>
      </c>
      <c r="J86" t="str">
        <f>IF(OR($B86="Rack",$B86="Gabinete",$B86="Rack de pared",$B86="Gabinete de pared"),MAX($J$5:$J85)+1,"")</f>
        <v/>
      </c>
      <c r="K86" t="str">
        <f>IF($B86="Organizador vertical",COUNTIF($B$6:$B86,"Organizador vertical"),"")</f>
        <v/>
      </c>
      <c r="L86" t="str">
        <f>IF($B86="Jack",COUNTIF($B$6:$B86,"Jack"),"")</f>
        <v/>
      </c>
      <c r="M86">
        <f>IF(AND($C86&lt;&gt;"",N($F86)=0,$B86&lt;&gt;"Rack",$B86&lt;&gt;"Gabinete",$B86&lt;&gt;"Organizador vertical",$B86&lt;&gt;"Jack"),MAX($M$5:$M85)+1,"")</f>
        <v>8</v>
      </c>
      <c r="N86" s="6"/>
      <c r="O86" s="9" t="str">
        <f t="shared" si="2"/>
        <v/>
      </c>
      <c r="P86" s="6"/>
      <c r="Q86" s="6"/>
    </row>
    <row r="87" spans="2:17" ht="25.5" x14ac:dyDescent="0.45">
      <c r="B87" s="4" t="s">
        <v>280</v>
      </c>
      <c r="C87" s="4" t="s">
        <v>298</v>
      </c>
      <c r="D87" s="4" t="s">
        <v>289</v>
      </c>
      <c r="E87" s="4" t="s">
        <v>299</v>
      </c>
      <c r="F87" s="6"/>
      <c r="G87" s="6"/>
      <c r="H87" s="4" t="s">
        <v>300</v>
      </c>
      <c r="I87" t="str">
        <f>IF(AND($C87&lt;&gt;"",N($F87)&gt;0,NOT(OR($B87="Rack",$B87="Gabinete",$B87="Rack de pared",$B87="Gabinete de pared"))),MAX($I$5:$I86)+1,"")</f>
        <v/>
      </c>
      <c r="J87" t="str">
        <f>IF(OR($B87="Rack",$B87="Gabinete",$B87="Rack de pared",$B87="Gabinete de pared"),MAX($J$5:$J86)+1,"")</f>
        <v/>
      </c>
      <c r="K87" t="str">
        <f>IF($B87="Organizador vertical",COUNTIF($B$6:$B87,"Organizador vertical"),"")</f>
        <v/>
      </c>
      <c r="L87" t="str">
        <f>IF($B87="Jack",COUNTIF($B$6:$B87,"Jack"),"")</f>
        <v/>
      </c>
      <c r="M87">
        <f>IF(AND($C87&lt;&gt;"",N($F87)=0,$B87&lt;&gt;"Rack",$B87&lt;&gt;"Gabinete",$B87&lt;&gt;"Organizador vertical",$B87&lt;&gt;"Jack"),MAX($M$5:$M86)+1,"")</f>
        <v>9</v>
      </c>
      <c r="N87" s="6"/>
      <c r="O87" s="9" t="str">
        <f t="shared" si="2"/>
        <v/>
      </c>
      <c r="P87" s="6"/>
      <c r="Q87" s="6"/>
    </row>
    <row r="88" spans="2:17" x14ac:dyDescent="0.45">
      <c r="B88" s="4" t="s">
        <v>301</v>
      </c>
      <c r="C88" s="4" t="s">
        <v>302</v>
      </c>
      <c r="D88" s="4" t="s">
        <v>67</v>
      </c>
      <c r="E88" s="4" t="s">
        <v>303</v>
      </c>
      <c r="F88" s="6">
        <v>42</v>
      </c>
      <c r="G88" s="6"/>
      <c r="H88" s="4" t="s">
        <v>304</v>
      </c>
      <c r="I88" t="str">
        <f>IF(AND($C88&lt;&gt;"",N($F88)&gt;0,NOT(OR($B88="Rack",$B88="Gabinete",$B88="Rack de pared",$B88="Gabinete de pared"))),MAX($I$5:$I87)+1,"")</f>
        <v/>
      </c>
      <c r="J88">
        <f>IF(OR($B88="Rack",$B88="Gabinete",$B88="Rack de pared",$B88="Gabinete de pared"),MAX($J$5:$J87)+1,"")</f>
        <v>19</v>
      </c>
      <c r="K88" t="str">
        <f>IF($B88="Organizador vertical",COUNTIF($B$6:$B88,"Organizador vertical"),"")</f>
        <v/>
      </c>
      <c r="L88" t="str">
        <f>IF($B88="Jack",COUNTIF($B$6:$B88,"Jack"),"")</f>
        <v/>
      </c>
      <c r="M88" t="str">
        <f>IF(AND($C88&lt;&gt;"",N($F88)=0,$B88&lt;&gt;"Rack",$B88&lt;&gt;"Gabinete",$B88&lt;&gt;"Organizador vertical",$B88&lt;&gt;"Jack"),MAX($M$5:$M87)+1,"")</f>
        <v/>
      </c>
      <c r="N88" s="6">
        <v>0</v>
      </c>
      <c r="O88" s="9">
        <f t="shared" si="2"/>
        <v>0</v>
      </c>
      <c r="P88" s="6"/>
      <c r="Q88" s="6"/>
    </row>
    <row r="89" spans="2:17" x14ac:dyDescent="0.45">
      <c r="B89" s="4" t="s">
        <v>301</v>
      </c>
      <c r="C89" s="4" t="s">
        <v>305</v>
      </c>
      <c r="D89" s="4" t="s">
        <v>67</v>
      </c>
      <c r="E89" s="4" t="s">
        <v>306</v>
      </c>
      <c r="F89" s="6">
        <v>42</v>
      </c>
      <c r="G89" s="6"/>
      <c r="H89" s="4" t="s">
        <v>304</v>
      </c>
      <c r="I89" t="str">
        <f>IF(AND($C89&lt;&gt;"",N($F89)&gt;0,NOT(OR($B89="Rack",$B89="Gabinete",$B89="Rack de pared",$B89="Gabinete de pared"))),MAX($I$5:$I88)+1,"")</f>
        <v/>
      </c>
      <c r="J89">
        <f>IF(OR($B89="Rack",$B89="Gabinete",$B89="Rack de pared",$B89="Gabinete de pared"),MAX($J$5:$J88)+1,"")</f>
        <v>20</v>
      </c>
      <c r="K89" t="str">
        <f>IF($B89="Organizador vertical",COUNTIF($B$6:$B89,"Organizador vertical"),"")</f>
        <v/>
      </c>
      <c r="L89" t="str">
        <f>IF($B89="Jack",COUNTIF($B$6:$B89,"Jack"),"")</f>
        <v/>
      </c>
      <c r="M89" t="str">
        <f>IF(AND($C89&lt;&gt;"",N($F89)=0,$B89&lt;&gt;"Rack",$B89&lt;&gt;"Gabinete",$B89&lt;&gt;"Organizador vertical",$B89&lt;&gt;"Jack"),MAX($M$5:$M88)+1,"")</f>
        <v/>
      </c>
      <c r="N89" s="6">
        <v>0</v>
      </c>
      <c r="O89" s="9">
        <f t="shared" si="2"/>
        <v>0</v>
      </c>
      <c r="P89" s="6"/>
      <c r="Q89" s="6"/>
    </row>
    <row r="90" spans="2:17" x14ac:dyDescent="0.45">
      <c r="B90" s="4" t="s">
        <v>301</v>
      </c>
      <c r="C90" s="4" t="s">
        <v>307</v>
      </c>
      <c r="D90" s="4" t="s">
        <v>67</v>
      </c>
      <c r="E90" s="4" t="s">
        <v>308</v>
      </c>
      <c r="F90" s="6">
        <v>48</v>
      </c>
      <c r="G90" s="6"/>
      <c r="H90" s="4" t="s">
        <v>304</v>
      </c>
      <c r="I90" t="str">
        <f>IF(AND($C90&lt;&gt;"",N($F90)&gt;0,NOT(OR($B90="Rack",$B90="Gabinete",$B90="Rack de pared",$B90="Gabinete de pared"))),MAX($I$5:$I89)+1,"")</f>
        <v/>
      </c>
      <c r="J90">
        <f>IF(OR($B90="Rack",$B90="Gabinete",$B90="Rack de pared",$B90="Gabinete de pared"),MAX($J$5:$J89)+1,"")</f>
        <v>21</v>
      </c>
      <c r="K90" t="str">
        <f>IF($B90="Organizador vertical",COUNTIF($B$6:$B90,"Organizador vertical"),"")</f>
        <v/>
      </c>
      <c r="L90" t="str">
        <f>IF($B90="Jack",COUNTIF($B$6:$B90,"Jack"),"")</f>
        <v/>
      </c>
      <c r="M90" t="str">
        <f>IF(AND($C90&lt;&gt;"",N($F90)=0,$B90&lt;&gt;"Rack",$B90&lt;&gt;"Gabinete",$B90&lt;&gt;"Organizador vertical",$B90&lt;&gt;"Jack"),MAX($M$5:$M89)+1,"")</f>
        <v/>
      </c>
      <c r="N90" s="6">
        <v>0</v>
      </c>
      <c r="O90" s="9">
        <f t="shared" si="2"/>
        <v>0</v>
      </c>
      <c r="P90" s="6"/>
      <c r="Q90" s="6"/>
    </row>
    <row r="91" spans="2:17" x14ac:dyDescent="0.45">
      <c r="B91" s="4" t="s">
        <v>301</v>
      </c>
      <c r="C91" s="4" t="s">
        <v>309</v>
      </c>
      <c r="D91" s="4" t="s">
        <v>67</v>
      </c>
      <c r="E91" s="4" t="s">
        <v>310</v>
      </c>
      <c r="F91" s="6">
        <v>42</v>
      </c>
      <c r="G91" s="6"/>
      <c r="H91" s="4" t="s">
        <v>311</v>
      </c>
      <c r="I91" t="str">
        <f>IF(AND($C91&lt;&gt;"",N($F91)&gt;0,NOT(OR($B91="Rack",$B91="Gabinete",$B91="Rack de pared",$B91="Gabinete de pared"))),MAX($I$5:$I90)+1,"")</f>
        <v/>
      </c>
      <c r="J91">
        <f>IF(OR($B91="Rack",$B91="Gabinete",$B91="Rack de pared",$B91="Gabinete de pared"),MAX($J$5:$J90)+1,"")</f>
        <v>22</v>
      </c>
      <c r="K91" t="str">
        <f>IF($B91="Organizador vertical",COUNTIF($B$6:$B91,"Organizador vertical"),"")</f>
        <v/>
      </c>
      <c r="L91" t="str">
        <f>IF($B91="Jack",COUNTIF($B$6:$B91,"Jack"),"")</f>
        <v/>
      </c>
      <c r="M91" t="str">
        <f>IF(AND($C91&lt;&gt;"",N($F91)=0,$B91&lt;&gt;"Rack",$B91&lt;&gt;"Gabinete",$B91&lt;&gt;"Organizador vertical",$B91&lt;&gt;"Jack"),MAX($M$5:$M90)+1,"")</f>
        <v/>
      </c>
      <c r="N91" s="6">
        <v>0</v>
      </c>
      <c r="O91" s="9">
        <f t="shared" si="2"/>
        <v>0</v>
      </c>
      <c r="P91" s="6"/>
      <c r="Q91" s="6"/>
    </row>
    <row r="92" spans="2:17" x14ac:dyDescent="0.45">
      <c r="B92" s="4" t="s">
        <v>301</v>
      </c>
      <c r="C92" s="4" t="s">
        <v>312</v>
      </c>
      <c r="D92" s="4" t="s">
        <v>67</v>
      </c>
      <c r="E92" s="4" t="s">
        <v>313</v>
      </c>
      <c r="F92" s="6">
        <v>42</v>
      </c>
      <c r="G92" s="6"/>
      <c r="H92" s="4" t="s">
        <v>304</v>
      </c>
      <c r="I92" t="str">
        <f>IF(AND($C92&lt;&gt;"",N($F92)&gt;0,NOT(OR($B92="Rack",$B92="Gabinete",$B92="Rack de pared",$B92="Gabinete de pared"))),MAX($I$5:$I91)+1,"")</f>
        <v/>
      </c>
      <c r="J92">
        <f>IF(OR($B92="Rack",$B92="Gabinete",$B92="Rack de pared",$B92="Gabinete de pared"),MAX($J$5:$J91)+1,"")</f>
        <v>23</v>
      </c>
      <c r="K92" t="str">
        <f>IF($B92="Organizador vertical",COUNTIF($B$6:$B92,"Organizador vertical"),"")</f>
        <v/>
      </c>
      <c r="L92" t="str">
        <f>IF($B92="Jack",COUNTIF($B$6:$B92,"Jack"),"")</f>
        <v/>
      </c>
      <c r="M92" t="str">
        <f>IF(AND($C92&lt;&gt;"",N($F92)=0,$B92&lt;&gt;"Rack",$B92&lt;&gt;"Gabinete",$B92&lt;&gt;"Organizador vertical",$B92&lt;&gt;"Jack"),MAX($M$5:$M91)+1,"")</f>
        <v/>
      </c>
      <c r="N92" s="6">
        <v>0</v>
      </c>
      <c r="O92" s="9">
        <f t="shared" si="2"/>
        <v>0</v>
      </c>
      <c r="P92" s="6"/>
      <c r="Q92" s="6"/>
    </row>
    <row r="93" spans="2:17" x14ac:dyDescent="0.45">
      <c r="B93" s="4" t="s">
        <v>301</v>
      </c>
      <c r="C93" s="4" t="s">
        <v>314</v>
      </c>
      <c r="D93" s="4" t="s">
        <v>67</v>
      </c>
      <c r="E93" s="4" t="s">
        <v>315</v>
      </c>
      <c r="F93" s="6">
        <v>48</v>
      </c>
      <c r="G93" s="6"/>
      <c r="H93" s="4" t="s">
        <v>304</v>
      </c>
      <c r="I93" t="str">
        <f>IF(AND($C93&lt;&gt;"",N($F93)&gt;0,NOT(OR($B93="Rack",$B93="Gabinete",$B93="Rack de pared",$B93="Gabinete de pared"))),MAX($I$5:$I92)+1,"")</f>
        <v/>
      </c>
      <c r="J93">
        <f>IF(OR($B93="Rack",$B93="Gabinete",$B93="Rack de pared",$B93="Gabinete de pared"),MAX($J$5:$J92)+1,"")</f>
        <v>24</v>
      </c>
      <c r="K93" t="str">
        <f>IF($B93="Organizador vertical",COUNTIF($B$6:$B93,"Organizador vertical"),"")</f>
        <v/>
      </c>
      <c r="L93" t="str">
        <f>IF($B93="Jack",COUNTIF($B$6:$B93,"Jack"),"")</f>
        <v/>
      </c>
      <c r="M93" t="str">
        <f>IF(AND($C93&lt;&gt;"",N($F93)=0,$B93&lt;&gt;"Rack",$B93&lt;&gt;"Gabinete",$B93&lt;&gt;"Organizador vertical",$B93&lt;&gt;"Jack"),MAX($M$5:$M92)+1,"")</f>
        <v/>
      </c>
      <c r="N93" s="6">
        <v>0</v>
      </c>
      <c r="O93" s="9">
        <f t="shared" si="2"/>
        <v>0</v>
      </c>
      <c r="P93" s="6"/>
      <c r="Q93" s="6"/>
    </row>
    <row r="94" spans="2:17" x14ac:dyDescent="0.45">
      <c r="B94" s="4" t="s">
        <v>316</v>
      </c>
      <c r="C94" s="4" t="s">
        <v>317</v>
      </c>
      <c r="D94" s="4" t="s">
        <v>318</v>
      </c>
      <c r="E94" s="4" t="s">
        <v>318</v>
      </c>
      <c r="F94" s="6">
        <v>1</v>
      </c>
      <c r="G94" s="6"/>
      <c r="H94" s="4" t="s">
        <v>319</v>
      </c>
      <c r="I94">
        <f>IF(AND($C94&lt;&gt;"",N($F94)&gt;0,NOT(OR($B94="Rack",$B94="Gabinete",$B94="Rack de pared",$B94="Gabinete de pared"))),MAX($I$5:$I93)+1,"")</f>
        <v>46</v>
      </c>
      <c r="J94" t="str">
        <f>IF(OR($B94="Rack",$B94="Gabinete",$B94="Rack de pared",$B94="Gabinete de pared"),MAX($J$5:$J93)+1,"")</f>
        <v/>
      </c>
      <c r="K94" t="str">
        <f>IF($B94="Organizador vertical",COUNTIF($B$6:$B94,"Organizador vertical"),"")</f>
        <v/>
      </c>
      <c r="L94" t="str">
        <f>IF($B94="Jack",COUNTIF($B$6:$B94,"Jack"),"")</f>
        <v/>
      </c>
      <c r="M94" t="str">
        <f>IF(AND($C94&lt;&gt;"",N($F94)=0,$B94&lt;&gt;"Rack",$B94&lt;&gt;"Gabinete",$B94&lt;&gt;"Organizador vertical",$B94&lt;&gt;"Jack"),MAX($M$5:$M93)+1,"")</f>
        <v/>
      </c>
      <c r="N94" s="6">
        <v>0</v>
      </c>
      <c r="O94" s="9">
        <f t="shared" si="2"/>
        <v>0</v>
      </c>
      <c r="P94" s="6">
        <v>3</v>
      </c>
      <c r="Q94" s="6"/>
    </row>
    <row r="95" spans="2:17" x14ac:dyDescent="0.45">
      <c r="B95" s="4" t="s">
        <v>316</v>
      </c>
      <c r="C95" s="4" t="s">
        <v>320</v>
      </c>
      <c r="D95" s="4" t="s">
        <v>318</v>
      </c>
      <c r="E95" s="4" t="s">
        <v>318</v>
      </c>
      <c r="F95" s="6">
        <v>1</v>
      </c>
      <c r="G95" s="6"/>
      <c r="H95" s="4" t="s">
        <v>321</v>
      </c>
      <c r="I95">
        <f>IF(AND($C95&lt;&gt;"",N($F95)&gt;0,NOT(OR($B95="Rack",$B95="Gabinete",$B95="Rack de pared",$B95="Gabinete de pared"))),MAX($I$5:$I94)+1,"")</f>
        <v>47</v>
      </c>
      <c r="J95" t="str">
        <f>IF(OR($B95="Rack",$B95="Gabinete",$B95="Rack de pared",$B95="Gabinete de pared"),MAX($J$5:$J94)+1,"")</f>
        <v/>
      </c>
      <c r="K95" t="str">
        <f>IF($B95="Organizador vertical",COUNTIF($B$6:$B95,"Organizador vertical"),"")</f>
        <v/>
      </c>
      <c r="L95" t="str">
        <f>IF($B95="Jack",COUNTIF($B$6:$B95,"Jack"),"")</f>
        <v/>
      </c>
      <c r="M95" t="str">
        <f>IF(AND($C95&lt;&gt;"",N($F95)=0,$B95&lt;&gt;"Rack",$B95&lt;&gt;"Gabinete",$B95&lt;&gt;"Organizador vertical",$B95&lt;&gt;"Jack"),MAX($M$5:$M94)+1,"")</f>
        <v/>
      </c>
      <c r="N95" s="6">
        <v>0</v>
      </c>
      <c r="O95" s="9">
        <f t="shared" si="2"/>
        <v>0</v>
      </c>
      <c r="P95" s="6">
        <v>3</v>
      </c>
      <c r="Q95" s="6"/>
    </row>
    <row r="96" spans="2:17" x14ac:dyDescent="0.45">
      <c r="B96" s="4" t="s">
        <v>322</v>
      </c>
      <c r="C96" s="4" t="s">
        <v>323</v>
      </c>
      <c r="D96" s="4" t="s">
        <v>318</v>
      </c>
      <c r="E96" s="4" t="s">
        <v>318</v>
      </c>
      <c r="F96" s="6">
        <v>2</v>
      </c>
      <c r="G96" s="6"/>
      <c r="H96" s="4" t="s">
        <v>324</v>
      </c>
      <c r="I96">
        <f>IF(AND($C96&lt;&gt;"",N($F96)&gt;0,NOT(OR($B96="Rack",$B96="Gabinete",$B96="Rack de pared",$B96="Gabinete de pared"))),MAX($I$5:$I95)+1,"")</f>
        <v>48</v>
      </c>
      <c r="J96" t="str">
        <f>IF(OR($B96="Rack",$B96="Gabinete",$B96="Rack de pared",$B96="Gabinete de pared"),MAX($J$5:$J95)+1,"")</f>
        <v/>
      </c>
      <c r="K96" t="str">
        <f>IF($B96="Organizador vertical",COUNTIF($B$6:$B96,"Organizador vertical"),"")</f>
        <v/>
      </c>
      <c r="L96" t="str">
        <f>IF($B96="Jack",COUNTIF($B$6:$B96,"Jack"),"")</f>
        <v/>
      </c>
      <c r="M96" t="str">
        <f>IF(AND($C96&lt;&gt;"",N($F96)=0,$B96&lt;&gt;"Rack",$B96&lt;&gt;"Gabinete",$B96&lt;&gt;"Organizador vertical",$B96&lt;&gt;"Jack"),MAX($M$5:$M95)+1,"")</f>
        <v/>
      </c>
      <c r="N96" s="6">
        <v>60</v>
      </c>
      <c r="O96" s="9">
        <f t="shared" si="2"/>
        <v>205</v>
      </c>
      <c r="P96" s="6">
        <v>25</v>
      </c>
      <c r="Q96" s="6">
        <v>1200</v>
      </c>
    </row>
    <row r="97" spans="2:17" x14ac:dyDescent="0.45">
      <c r="B97" s="4" t="s">
        <v>322</v>
      </c>
      <c r="C97" s="4" t="s">
        <v>325</v>
      </c>
      <c r="D97" s="4" t="s">
        <v>318</v>
      </c>
      <c r="E97" s="4" t="s">
        <v>318</v>
      </c>
      <c r="F97" s="6">
        <v>3</v>
      </c>
      <c r="G97" s="6"/>
      <c r="H97" s="4" t="s">
        <v>324</v>
      </c>
      <c r="I97">
        <f>IF(AND($C97&lt;&gt;"",N($F97)&gt;0,NOT(OR($B97="Rack",$B97="Gabinete",$B97="Rack de pared",$B97="Gabinete de pared"))),MAX($I$5:$I96)+1,"")</f>
        <v>49</v>
      </c>
      <c r="J97" t="str">
        <f>IF(OR($B97="Rack",$B97="Gabinete",$B97="Rack de pared",$B97="Gabinete de pared"),MAX($J$5:$J96)+1,"")</f>
        <v/>
      </c>
      <c r="K97" t="str">
        <f>IF($B97="Organizador vertical",COUNTIF($B$6:$B97,"Organizador vertical"),"")</f>
        <v/>
      </c>
      <c r="L97" t="str">
        <f>IF($B97="Jack",COUNTIF($B$6:$B97,"Jack"),"")</f>
        <v/>
      </c>
      <c r="M97" t="str">
        <f>IF(AND($C97&lt;&gt;"",N($F97)=0,$B97&lt;&gt;"Rack",$B97&lt;&gt;"Gabinete",$B97&lt;&gt;"Organizador vertical",$B97&lt;&gt;"Jack"),MAX($M$5:$M96)+1,"")</f>
        <v/>
      </c>
      <c r="N97" s="6">
        <v>100</v>
      </c>
      <c r="O97" s="9">
        <f t="shared" si="2"/>
        <v>341</v>
      </c>
      <c r="P97" s="6">
        <v>40</v>
      </c>
      <c r="Q97" s="6">
        <v>2400</v>
      </c>
    </row>
    <row r="98" spans="2:17" x14ac:dyDescent="0.45">
      <c r="B98" s="4" t="s">
        <v>326</v>
      </c>
      <c r="C98" s="4" t="s">
        <v>327</v>
      </c>
      <c r="D98" s="4" t="s">
        <v>67</v>
      </c>
      <c r="E98" s="4" t="s">
        <v>328</v>
      </c>
      <c r="F98" s="6">
        <v>1</v>
      </c>
      <c r="G98" s="6"/>
      <c r="H98" s="4" t="s">
        <v>329</v>
      </c>
      <c r="I98">
        <f>IF(AND($C98&lt;&gt;"",N($F98)&gt;0,NOT(OR($B98="Rack",$B98="Gabinete",$B98="Rack de pared",$B98="Gabinete de pared"))),MAX($I$5:$I97)+1,"")</f>
        <v>50</v>
      </c>
      <c r="J98" t="str">
        <f>IF(OR($B98="Rack",$B98="Gabinete",$B98="Rack de pared",$B98="Gabinete de pared"),MAX($J$5:$J97)+1,"")</f>
        <v/>
      </c>
      <c r="K98" t="str">
        <f>IF($B98="Organizador vertical",COUNTIF($B$6:$B98,"Organizador vertical"),"")</f>
        <v/>
      </c>
      <c r="L98" t="str">
        <f>IF($B98="Jack",COUNTIF($B$6:$B98,"Jack"),"")</f>
        <v/>
      </c>
      <c r="M98" t="str">
        <f>IF(AND($C98&lt;&gt;"",N($F98)=0,$B98&lt;&gt;"Rack",$B98&lt;&gt;"Gabinete",$B98&lt;&gt;"Organizador vertical",$B98&lt;&gt;"Jack"),MAX($M$5:$M97)+1,"")</f>
        <v/>
      </c>
      <c r="N98" s="6">
        <v>0</v>
      </c>
      <c r="O98" s="9">
        <f t="shared" si="2"/>
        <v>0</v>
      </c>
      <c r="P98" s="6">
        <v>0</v>
      </c>
      <c r="Q98" s="6"/>
    </row>
    <row r="99" spans="2:17" x14ac:dyDescent="0.45">
      <c r="B99" s="4" t="s">
        <v>330</v>
      </c>
      <c r="C99" s="4" t="s">
        <v>331</v>
      </c>
      <c r="D99" s="4" t="s">
        <v>318</v>
      </c>
      <c r="E99" s="4" t="s">
        <v>318</v>
      </c>
      <c r="F99" s="6">
        <v>2</v>
      </c>
      <c r="G99" s="6"/>
      <c r="H99" s="4" t="s">
        <v>332</v>
      </c>
      <c r="I99">
        <f>IF(AND($C99&lt;&gt;"",N($F99)&gt;0,NOT(OR($B99="Rack",$B99="Gabinete",$B99="Rack de pared",$B99="Gabinete de pared"))),MAX($I$5:$I98)+1,"")</f>
        <v>51</v>
      </c>
      <c r="J99" t="str">
        <f>IF(OR($B99="Rack",$B99="Gabinete",$B99="Rack de pared",$B99="Gabinete de pared"),MAX($J$5:$J98)+1,"")</f>
        <v/>
      </c>
      <c r="K99" t="str">
        <f>IF($B99="Organizador vertical",COUNTIF($B$6:$B99,"Organizador vertical"),"")</f>
        <v/>
      </c>
      <c r="L99" t="str">
        <f>IF($B99="Jack",COUNTIF($B$6:$B99,"Jack"),"")</f>
        <v/>
      </c>
      <c r="M99" t="str">
        <f>IF(AND($C99&lt;&gt;"",N($F99)=0,$B99&lt;&gt;"Rack",$B99&lt;&gt;"Gabinete",$B99&lt;&gt;"Organizador vertical",$B99&lt;&gt;"Jack"),MAX($M$5:$M98)+1,"")</f>
        <v/>
      </c>
      <c r="N99" s="6">
        <v>0</v>
      </c>
      <c r="O99" s="9">
        <f t="shared" si="2"/>
        <v>0</v>
      </c>
      <c r="P99" s="6">
        <v>3</v>
      </c>
      <c r="Q99" s="6"/>
    </row>
    <row r="100" spans="2:17" ht="25.5" x14ac:dyDescent="0.45">
      <c r="B100" s="4" t="s">
        <v>139</v>
      </c>
      <c r="C100" s="4" t="s">
        <v>333</v>
      </c>
      <c r="D100" s="4" t="s">
        <v>67</v>
      </c>
      <c r="E100" s="4" t="s">
        <v>334</v>
      </c>
      <c r="F100" s="6">
        <v>1</v>
      </c>
      <c r="G100" s="6"/>
      <c r="H100" s="4" t="s">
        <v>335</v>
      </c>
      <c r="I100">
        <f>IF(AND($C100&lt;&gt;"",N($F100)&gt;0,NOT(OR($B100="Rack",$B100="Gabinete",$B100="Rack de pared",$B100="Gabinete de pared"))),MAX($I$5:$I99)+1,"")</f>
        <v>52</v>
      </c>
      <c r="J100" t="str">
        <f>IF(OR($B100="Rack",$B100="Gabinete",$B100="Rack de pared",$B100="Gabinete de pared"),MAX($J$5:$J99)+1,"")</f>
        <v/>
      </c>
      <c r="K100" t="str">
        <f>IF($B100="Organizador vertical",COUNTIF($B$6:$B100,"Organizador vertical"),"")</f>
        <v/>
      </c>
      <c r="L100" t="str">
        <f>IF($B100="Jack",COUNTIF($B$6:$B100,"Jack"),"")</f>
        <v/>
      </c>
      <c r="M100" t="str">
        <f>IF(AND($C100&lt;&gt;"",N($F100)=0,$B100&lt;&gt;"Rack",$B100&lt;&gt;"Gabinete",$B100&lt;&gt;"Organizador vertical",$B100&lt;&gt;"Jack"),MAX($M$5:$M99)+1,"")</f>
        <v/>
      </c>
      <c r="N100" s="6">
        <v>0</v>
      </c>
      <c r="O100" s="9">
        <f t="shared" si="2"/>
        <v>0</v>
      </c>
      <c r="P100" s="6">
        <v>3</v>
      </c>
      <c r="Q100" s="6"/>
    </row>
    <row r="101" spans="2:17" ht="25.5" x14ac:dyDescent="0.45">
      <c r="B101" s="4" t="s">
        <v>120</v>
      </c>
      <c r="C101" s="4" t="s">
        <v>336</v>
      </c>
      <c r="D101" s="4" t="s">
        <v>67</v>
      </c>
      <c r="E101" s="4" t="s">
        <v>337</v>
      </c>
      <c r="F101" s="6">
        <v>2</v>
      </c>
      <c r="G101" s="6"/>
      <c r="H101" s="4" t="s">
        <v>338</v>
      </c>
      <c r="I101">
        <f>IF(AND($C101&lt;&gt;"",N($F101)&gt;0,NOT(OR($B101="Rack",$B101="Gabinete",$B101="Rack de pared",$B101="Gabinete de pared"))),MAX($I$5:$I100)+1,"")</f>
        <v>53</v>
      </c>
      <c r="J101" t="str">
        <f>IF(OR($B101="Rack",$B101="Gabinete",$B101="Rack de pared",$B101="Gabinete de pared"),MAX($J$5:$J100)+1,"")</f>
        <v/>
      </c>
      <c r="K101" t="str">
        <f>IF($B101="Organizador vertical",COUNTIF($B$6:$B101,"Organizador vertical"),"")</f>
        <v/>
      </c>
      <c r="L101" t="str">
        <f>IF($B101="Jack",COUNTIF($B$6:$B101,"Jack"),"")</f>
        <v/>
      </c>
      <c r="M101" t="str">
        <f>IF(AND($C101&lt;&gt;"",N($F101)=0,$B101&lt;&gt;"Rack",$B101&lt;&gt;"Gabinete",$B101&lt;&gt;"Organizador vertical",$B101&lt;&gt;"Jack"),MAX($M$5:$M100)+1,"")</f>
        <v/>
      </c>
      <c r="N101" s="6">
        <v>0</v>
      </c>
      <c r="O101" s="9">
        <f t="shared" si="2"/>
        <v>0</v>
      </c>
      <c r="P101" s="6">
        <v>2</v>
      </c>
      <c r="Q101" s="6"/>
    </row>
    <row r="102" spans="2:17" x14ac:dyDescent="0.45">
      <c r="B102" s="4" t="s">
        <v>339</v>
      </c>
      <c r="C102" s="4" t="s">
        <v>340</v>
      </c>
      <c r="D102" s="4"/>
      <c r="E102" s="4" t="s">
        <v>341</v>
      </c>
      <c r="F102" s="6">
        <v>1</v>
      </c>
      <c r="G102" s="6"/>
      <c r="H102" s="4" t="s">
        <v>342</v>
      </c>
      <c r="I102">
        <f>IF(AND($C102&lt;&gt;"",N($F102)&gt;0,NOT(OR($B102="Rack",$B102="Gabinete",$B102="Rack de pared",$B102="Gabinete de pared"))),MAX($I$5:$I101)+1,"")</f>
        <v>54</v>
      </c>
      <c r="J102" t="str">
        <f>IF(OR($B102="Rack",$B102="Gabinete",$B102="Rack de pared",$B102="Gabinete de pared"),MAX($J$5:$J101)+1,"")</f>
        <v/>
      </c>
      <c r="K102" t="str">
        <f>IF($B102="Organizador vertical",COUNTIF($B$6:$B102,"Organizador vertical"),"")</f>
        <v/>
      </c>
      <c r="L102" t="str">
        <f>IF($B102="Jack",COUNTIF($B$6:$B102,"Jack"),"")</f>
        <v/>
      </c>
      <c r="M102" t="str">
        <f>IF(AND($C102&lt;&gt;"",N($F102)=0,$B102&lt;&gt;"Rack",$B102&lt;&gt;"Gabinete",$B102&lt;&gt;"Organizador vertical",$B102&lt;&gt;"Jack"),MAX($M$5:$M101)+1,"")</f>
        <v/>
      </c>
      <c r="N102" s="6"/>
      <c r="O102" s="9" t="str">
        <f t="shared" ref="O102:O125" si="3">IF(N102="","",ROUND(N102*3.412,0))</f>
        <v/>
      </c>
      <c r="P102" s="6"/>
      <c r="Q102" s="6"/>
    </row>
    <row r="103" spans="2:17" x14ac:dyDescent="0.45">
      <c r="B103" s="4" t="s">
        <v>343</v>
      </c>
      <c r="C103" s="4" t="s">
        <v>344</v>
      </c>
      <c r="D103" s="4"/>
      <c r="E103" s="4" t="s">
        <v>341</v>
      </c>
      <c r="F103" s="6">
        <v>1</v>
      </c>
      <c r="G103" s="6"/>
      <c r="H103" s="4" t="s">
        <v>345</v>
      </c>
      <c r="I103">
        <f>IF(AND($C103&lt;&gt;"",N($F103)&gt;0,NOT(OR($B103="Rack",$B103="Gabinete",$B103="Rack de pared",$B103="Gabinete de pared"))),MAX($I$5:$I102)+1,"")</f>
        <v>55</v>
      </c>
      <c r="J103" t="str">
        <f>IF(OR($B103="Rack",$B103="Gabinete",$B103="Rack de pared",$B103="Gabinete de pared"),MAX($J$5:$J102)+1,"")</f>
        <v/>
      </c>
      <c r="K103" t="str">
        <f>IF($B103="Organizador vertical",COUNTIF($B$6:$B103,"Organizador vertical"),"")</f>
        <v/>
      </c>
      <c r="L103" t="str">
        <f>IF($B103="Jack",COUNTIF($B$6:$B103,"Jack"),"")</f>
        <v/>
      </c>
      <c r="M103" t="str">
        <f>IF(AND($C103&lt;&gt;"",N($F103)=0,$B103&lt;&gt;"Rack",$B103&lt;&gt;"Gabinete",$B103&lt;&gt;"Organizador vertical",$B103&lt;&gt;"Jack"),MAX($M$5:$M102)+1,"")</f>
        <v/>
      </c>
      <c r="N103" s="6"/>
      <c r="O103" s="9" t="str">
        <f t="shared" si="3"/>
        <v/>
      </c>
      <c r="P103" s="6"/>
      <c r="Q103" s="6"/>
    </row>
    <row r="104" spans="2:17" x14ac:dyDescent="0.45">
      <c r="B104" s="4" t="s">
        <v>343</v>
      </c>
      <c r="C104" s="4" t="s">
        <v>346</v>
      </c>
      <c r="D104" s="4"/>
      <c r="E104" s="4" t="s">
        <v>341</v>
      </c>
      <c r="F104" s="6">
        <v>1</v>
      </c>
      <c r="G104" s="6"/>
      <c r="H104" s="4" t="s">
        <v>345</v>
      </c>
      <c r="I104">
        <f>IF(AND($C104&lt;&gt;"",N($F104)&gt;0,NOT(OR($B104="Rack",$B104="Gabinete",$B104="Rack de pared",$B104="Gabinete de pared"))),MAX($I$5:$I103)+1,"")</f>
        <v>56</v>
      </c>
      <c r="J104" t="str">
        <f>IF(OR($B104="Rack",$B104="Gabinete",$B104="Rack de pared",$B104="Gabinete de pared"),MAX($J$5:$J103)+1,"")</f>
        <v/>
      </c>
      <c r="K104" t="str">
        <f>IF($B104="Organizador vertical",COUNTIF($B$6:$B104,"Organizador vertical"),"")</f>
        <v/>
      </c>
      <c r="L104" t="str">
        <f>IF($B104="Jack",COUNTIF($B$6:$B104,"Jack"),"")</f>
        <v/>
      </c>
      <c r="M104" t="str">
        <f>IF(AND($C104&lt;&gt;"",N($F104)=0,$B104&lt;&gt;"Rack",$B104&lt;&gt;"Gabinete",$B104&lt;&gt;"Organizador vertical",$B104&lt;&gt;"Jack"),MAX($M$5:$M103)+1,"")</f>
        <v/>
      </c>
      <c r="N104" s="6"/>
      <c r="O104" s="9" t="str">
        <f t="shared" si="3"/>
        <v/>
      </c>
      <c r="P104" s="6"/>
      <c r="Q104" s="6"/>
    </row>
    <row r="105" spans="2:17" x14ac:dyDescent="0.45">
      <c r="B105" s="4" t="s">
        <v>343</v>
      </c>
      <c r="C105" s="4" t="s">
        <v>347</v>
      </c>
      <c r="D105" s="4"/>
      <c r="E105" s="4" t="s">
        <v>341</v>
      </c>
      <c r="F105" s="6">
        <v>1</v>
      </c>
      <c r="G105" s="6"/>
      <c r="H105" s="4" t="s">
        <v>348</v>
      </c>
      <c r="I105">
        <f>IF(AND($C105&lt;&gt;"",N($F105)&gt;0,NOT(OR($B105="Rack",$B105="Gabinete",$B105="Rack de pared",$B105="Gabinete de pared"))),MAX($I$5:$I104)+1,"")</f>
        <v>57</v>
      </c>
      <c r="J105" t="str">
        <f>IF(OR($B105="Rack",$B105="Gabinete",$B105="Rack de pared",$B105="Gabinete de pared"),MAX($J$5:$J104)+1,"")</f>
        <v/>
      </c>
      <c r="K105" t="str">
        <f>IF($B105="Organizador vertical",COUNTIF($B$6:$B105,"Organizador vertical"),"")</f>
        <v/>
      </c>
      <c r="L105" t="str">
        <f>IF($B105="Jack",COUNTIF($B$6:$B105,"Jack"),"")</f>
        <v/>
      </c>
      <c r="M105" t="str">
        <f>IF(AND($C105&lt;&gt;"",N($F105)=0,$B105&lt;&gt;"Rack",$B105&lt;&gt;"Gabinete",$B105&lt;&gt;"Organizador vertical",$B105&lt;&gt;"Jack"),MAX($M$5:$M104)+1,"")</f>
        <v/>
      </c>
      <c r="N105" s="6"/>
      <c r="O105" s="9" t="str">
        <f t="shared" si="3"/>
        <v/>
      </c>
      <c r="P105" s="6"/>
      <c r="Q105" s="6"/>
    </row>
    <row r="106" spans="2:17" x14ac:dyDescent="0.45">
      <c r="B106" s="4" t="s">
        <v>349</v>
      </c>
      <c r="C106" s="4" t="s">
        <v>350</v>
      </c>
      <c r="D106" s="4" t="s">
        <v>318</v>
      </c>
      <c r="E106" s="4" t="s">
        <v>318</v>
      </c>
      <c r="F106" s="6">
        <v>1</v>
      </c>
      <c r="G106" s="6"/>
      <c r="H106" s="4"/>
      <c r="I106">
        <f>IF(AND($C106&lt;&gt;"",N($F106)&gt;0,NOT(OR($B106="Rack",$B106="Gabinete",$B106="Rack de pared",$B106="Gabinete de pared"))),MAX($I$5:$I105)+1,"")</f>
        <v>58</v>
      </c>
      <c r="J106" t="str">
        <f>IF(OR($B106="Rack",$B106="Gabinete",$B106="Rack de pared",$B106="Gabinete de pared"),MAX($J$5:$J105)+1,"")</f>
        <v/>
      </c>
      <c r="K106" t="str">
        <f>IF($B106="Organizador vertical",COUNTIF($B$6:$B106,"Organizador vertical"),"")</f>
        <v/>
      </c>
      <c r="L106" t="str">
        <f>IF($B106="Jack",COUNTIF($B$6:$B106,"Jack"),"")</f>
        <v/>
      </c>
      <c r="M106" t="str">
        <f>IF(AND($C106&lt;&gt;"",N($F106)=0,$B106&lt;&gt;"Rack",$B106&lt;&gt;"Gabinete",$B106&lt;&gt;"Organizador vertical",$B106&lt;&gt;"Jack"),MAX($M$5:$M105)+1,"")</f>
        <v/>
      </c>
      <c r="N106" s="6"/>
      <c r="O106" s="9" t="str">
        <f t="shared" si="3"/>
        <v/>
      </c>
      <c r="P106" s="6"/>
      <c r="Q106" s="6"/>
    </row>
    <row r="107" spans="2:17" x14ac:dyDescent="0.45">
      <c r="B107" s="4" t="s">
        <v>349</v>
      </c>
      <c r="C107" s="4" t="s">
        <v>351</v>
      </c>
      <c r="D107" s="4" t="s">
        <v>318</v>
      </c>
      <c r="E107" s="4" t="s">
        <v>318</v>
      </c>
      <c r="F107" s="6">
        <v>8</v>
      </c>
      <c r="G107" s="6"/>
      <c r="H107" s="4"/>
      <c r="I107">
        <f>IF(AND($C107&lt;&gt;"",N($F107)&gt;0,NOT(OR($B107="Rack",$B107="Gabinete",$B107="Rack de pared",$B107="Gabinete de pared"))),MAX($I$5:$I106)+1,"")</f>
        <v>59</v>
      </c>
      <c r="J107" t="str">
        <f>IF(OR($B107="Rack",$B107="Gabinete",$B107="Rack de pared",$B107="Gabinete de pared"),MAX($J$5:$J106)+1,"")</f>
        <v/>
      </c>
      <c r="K107" t="str">
        <f>IF($B107="Organizador vertical",COUNTIF($B$6:$B107,"Organizador vertical"),"")</f>
        <v/>
      </c>
      <c r="L107" t="str">
        <f>IF($B107="Jack",COUNTIF($B$6:$B107,"Jack"),"")</f>
        <v/>
      </c>
      <c r="M107" t="str">
        <f>IF(AND($C107&lt;&gt;"",N($F107)=0,$B107&lt;&gt;"Rack",$B107&lt;&gt;"Gabinete",$B107&lt;&gt;"Organizador vertical",$B107&lt;&gt;"Jack"),MAX($M$5:$M106)+1,"")</f>
        <v/>
      </c>
      <c r="N107" s="6"/>
      <c r="O107" s="9" t="str">
        <f t="shared" si="3"/>
        <v/>
      </c>
      <c r="P107" s="6"/>
      <c r="Q107" s="6"/>
    </row>
    <row r="108" spans="2:17" x14ac:dyDescent="0.45">
      <c r="B108" s="4" t="s">
        <v>352</v>
      </c>
      <c r="C108" s="4" t="s">
        <v>353</v>
      </c>
      <c r="D108" s="4" t="s">
        <v>318</v>
      </c>
      <c r="E108" s="4" t="s">
        <v>318</v>
      </c>
      <c r="F108" s="6">
        <v>1</v>
      </c>
      <c r="G108" s="6"/>
      <c r="H108" s="4"/>
      <c r="I108">
        <f>IF(AND($C108&lt;&gt;"",N($F108)&gt;0,NOT(OR($B108="Rack",$B108="Gabinete",$B108="Rack de pared",$B108="Gabinete de pared"))),MAX($I$5:$I107)+1,"")</f>
        <v>60</v>
      </c>
      <c r="J108" t="str">
        <f>IF(OR($B108="Rack",$B108="Gabinete",$B108="Rack de pared",$B108="Gabinete de pared"),MAX($J$5:$J107)+1,"")</f>
        <v/>
      </c>
      <c r="K108" t="str">
        <f>IF($B108="Organizador vertical",COUNTIF($B$6:$B108,"Organizador vertical"),"")</f>
        <v/>
      </c>
      <c r="L108" t="str">
        <f>IF($B108="Jack",COUNTIF($B$6:$B108,"Jack"),"")</f>
        <v/>
      </c>
      <c r="M108" t="str">
        <f>IF(AND($C108&lt;&gt;"",N($F108)=0,$B108&lt;&gt;"Rack",$B108&lt;&gt;"Gabinete",$B108&lt;&gt;"Organizador vertical",$B108&lt;&gt;"Jack"),MAX($M$5:$M107)+1,"")</f>
        <v/>
      </c>
      <c r="N108" s="6"/>
      <c r="O108" s="9" t="str">
        <f t="shared" si="3"/>
        <v/>
      </c>
      <c r="P108" s="6"/>
      <c r="Q108" s="6"/>
    </row>
    <row r="109" spans="2:17" x14ac:dyDescent="0.45">
      <c r="B109" s="4" t="s">
        <v>352</v>
      </c>
      <c r="C109" s="4" t="s">
        <v>354</v>
      </c>
      <c r="D109" s="4" t="s">
        <v>318</v>
      </c>
      <c r="E109" s="4" t="s">
        <v>318</v>
      </c>
      <c r="F109" s="6">
        <v>2</v>
      </c>
      <c r="G109" s="6"/>
      <c r="H109" s="4"/>
      <c r="I109">
        <f>IF(AND($C109&lt;&gt;"",N($F109)&gt;0,NOT(OR($B109="Rack",$B109="Gabinete",$B109="Rack de pared",$B109="Gabinete de pared"))),MAX($I$5:$I108)+1,"")</f>
        <v>61</v>
      </c>
      <c r="J109" t="str">
        <f>IF(OR($B109="Rack",$B109="Gabinete",$B109="Rack de pared",$B109="Gabinete de pared"),MAX($J$5:$J108)+1,"")</f>
        <v/>
      </c>
      <c r="K109" t="str">
        <f>IF($B109="Organizador vertical",COUNTIF($B$6:$B109,"Organizador vertical"),"")</f>
        <v/>
      </c>
      <c r="L109" t="str">
        <f>IF($B109="Jack",COUNTIF($B$6:$B109,"Jack"),"")</f>
        <v/>
      </c>
      <c r="M109" t="str">
        <f>IF(AND($C109&lt;&gt;"",N($F109)=0,$B109&lt;&gt;"Rack",$B109&lt;&gt;"Gabinete",$B109&lt;&gt;"Organizador vertical",$B109&lt;&gt;"Jack"),MAX($M$5:$M108)+1,"")</f>
        <v/>
      </c>
      <c r="N109" s="6"/>
      <c r="O109" s="9" t="str">
        <f t="shared" si="3"/>
        <v/>
      </c>
      <c r="P109" s="6"/>
      <c r="Q109" s="6"/>
    </row>
    <row r="110" spans="2:17" ht="25.5" x14ac:dyDescent="0.45">
      <c r="B110" s="4" t="s">
        <v>322</v>
      </c>
      <c r="C110" s="4" t="s">
        <v>355</v>
      </c>
      <c r="D110" s="4" t="s">
        <v>356</v>
      </c>
      <c r="E110" s="4" t="s">
        <v>357</v>
      </c>
      <c r="F110" s="6">
        <v>2</v>
      </c>
      <c r="G110" s="6"/>
      <c r="H110" s="4" t="s">
        <v>358</v>
      </c>
      <c r="I110">
        <f>IF(AND($C110&lt;&gt;"",N($F110)&gt;0,NOT(OR($B110="Rack",$B110="Gabinete",$B110="Rack de pared",$B110="Gabinete de pared"))),MAX($I$5:$I109)+1,"")</f>
        <v>62</v>
      </c>
      <c r="J110" t="str">
        <f>IF(OR($B110="Rack",$B110="Gabinete",$B110="Rack de pared",$B110="Gabinete de pared"),MAX($J$5:$J109)+1,"")</f>
        <v/>
      </c>
      <c r="K110" t="str">
        <f>IF($B110="Organizador vertical",COUNTIF($B$6:$B110,"Organizador vertical"),"")</f>
        <v/>
      </c>
      <c r="L110" t="str">
        <f>IF($B110="Jack",COUNTIF($B$6:$B110,"Jack"),"")</f>
        <v/>
      </c>
      <c r="M110" t="str">
        <f>IF(AND($C110&lt;&gt;"",N($F110)=0,$B110&lt;&gt;"Rack",$B110&lt;&gt;"Gabinete",$B110&lt;&gt;"Organizador vertical",$B110&lt;&gt;"Jack"),MAX($M$5:$M109)+1,"")</f>
        <v/>
      </c>
      <c r="N110" s="6">
        <v>100</v>
      </c>
      <c r="O110" s="9">
        <f t="shared" si="3"/>
        <v>341</v>
      </c>
      <c r="P110" s="6">
        <v>36</v>
      </c>
      <c r="Q110" s="6">
        <v>2700</v>
      </c>
    </row>
    <row r="111" spans="2:17" x14ac:dyDescent="0.45">
      <c r="B111" s="4" t="s">
        <v>359</v>
      </c>
      <c r="C111" s="4" t="s">
        <v>360</v>
      </c>
      <c r="D111" s="4" t="s">
        <v>67</v>
      </c>
      <c r="E111" s="4" t="s">
        <v>361</v>
      </c>
      <c r="F111" s="6">
        <v>1</v>
      </c>
      <c r="G111" s="6"/>
      <c r="H111" s="4" t="s">
        <v>362</v>
      </c>
      <c r="I111">
        <f>IF(AND($C111&lt;&gt;"",N($F111)&gt;0,NOT(OR($B111="Rack",$B111="Gabinete",$B111="Rack de pared",$B111="Gabinete de pared"))),MAX($I$5:$I110)+1,"")</f>
        <v>63</v>
      </c>
      <c r="J111" t="str">
        <f>IF(OR($B111="Rack",$B111="Gabinete",$B111="Rack de pared",$B111="Gabinete de pared"),MAX($J$5:$J110)+1,"")</f>
        <v/>
      </c>
      <c r="K111" t="str">
        <f>IF($B111="Organizador vertical",COUNTIF($B$6:$B111,"Organizador vertical"),"")</f>
        <v/>
      </c>
      <c r="L111" t="str">
        <f>IF($B111="Jack",COUNTIF($B$6:$B111,"Jack"),"")</f>
        <v/>
      </c>
      <c r="M111" t="str">
        <f>IF(AND($C111&lt;&gt;"",N($F111)=0,$B111&lt;&gt;"Rack",$B111&lt;&gt;"Gabinete",$B111&lt;&gt;"Organizador vertical",$B111&lt;&gt;"Jack"),MAX($M$5:$M110)+1,"")</f>
        <v/>
      </c>
      <c r="N111" s="6">
        <v>0</v>
      </c>
      <c r="O111" s="9">
        <f t="shared" si="3"/>
        <v>0</v>
      </c>
      <c r="P111" s="6">
        <v>1</v>
      </c>
      <c r="Q111" s="6"/>
    </row>
    <row r="112" spans="2:17" x14ac:dyDescent="0.45">
      <c r="B112" s="4" t="s">
        <v>363</v>
      </c>
      <c r="C112" s="4" t="s">
        <v>9</v>
      </c>
      <c r="D112" s="4" t="s">
        <v>67</v>
      </c>
      <c r="E112" s="4" t="s">
        <v>364</v>
      </c>
      <c r="F112" s="6"/>
      <c r="G112" s="6"/>
      <c r="H112" s="4" t="s">
        <v>365</v>
      </c>
      <c r="I112" t="str">
        <f>IF(AND($C112&lt;&gt;"",N($F112)&gt;0,NOT(OR($B112="Rack",$B112="Gabinete",$B112="Rack de pared",$B112="Gabinete de pared"))),MAX($I$5:$I111)+1,"")</f>
        <v/>
      </c>
      <c r="J112" t="str">
        <f>IF(OR($B112="Rack",$B112="Gabinete",$B112="Rack de pared",$B112="Gabinete de pared"),MAX($J$5:$J111)+1,"")</f>
        <v/>
      </c>
      <c r="K112" t="str">
        <f>IF($B112="Organizador vertical",COUNTIF($B$6:$B112,"Organizador vertical"),"")</f>
        <v/>
      </c>
      <c r="L112">
        <f>IF($B112="Jack",COUNTIF($B$6:$B112,"Jack"),"")</f>
        <v>1</v>
      </c>
      <c r="M112" t="str">
        <f>IF(AND($C112&lt;&gt;"",N($F112)=0,$B112&lt;&gt;"Rack",$B112&lt;&gt;"Gabinete",$B112&lt;&gt;"Organizador vertical",$B112&lt;&gt;"Jack"),MAX($M$5:$M111)+1,"")</f>
        <v/>
      </c>
      <c r="N112" s="6"/>
      <c r="O112" s="9" t="str">
        <f t="shared" si="3"/>
        <v/>
      </c>
      <c r="P112" s="6"/>
      <c r="Q112" s="6"/>
    </row>
    <row r="113" spans="2:17" x14ac:dyDescent="0.45">
      <c r="B113" s="4" t="s">
        <v>363</v>
      </c>
      <c r="C113" s="4" t="s">
        <v>366</v>
      </c>
      <c r="D113" s="4" t="s">
        <v>67</v>
      </c>
      <c r="E113" s="4" t="s">
        <v>367</v>
      </c>
      <c r="F113" s="6"/>
      <c r="G113" s="6"/>
      <c r="H113" s="4" t="s">
        <v>368</v>
      </c>
      <c r="I113" t="str">
        <f>IF(AND($C113&lt;&gt;"",N($F113)&gt;0,NOT(OR($B113="Rack",$B113="Gabinete",$B113="Rack de pared",$B113="Gabinete de pared"))),MAX($I$5:$I112)+1,"")</f>
        <v/>
      </c>
      <c r="J113" t="str">
        <f>IF(OR($B113="Rack",$B113="Gabinete",$B113="Rack de pared",$B113="Gabinete de pared"),MAX($J$5:$J112)+1,"")</f>
        <v/>
      </c>
      <c r="K113" t="str">
        <f>IF($B113="Organizador vertical",COUNTIF($B$6:$B113,"Organizador vertical"),"")</f>
        <v/>
      </c>
      <c r="L113">
        <f>IF($B113="Jack",COUNTIF($B$6:$B113,"Jack"),"")</f>
        <v>2</v>
      </c>
      <c r="M113" t="str">
        <f>IF(AND($C113&lt;&gt;"",N($F113)=0,$B113&lt;&gt;"Rack",$B113&lt;&gt;"Gabinete",$B113&lt;&gt;"Organizador vertical",$B113&lt;&gt;"Jack"),MAX($M$5:$M112)+1,"")</f>
        <v/>
      </c>
      <c r="N113" s="6"/>
      <c r="O113" s="9" t="str">
        <f t="shared" si="3"/>
        <v/>
      </c>
      <c r="P113" s="6"/>
      <c r="Q113" s="6"/>
    </row>
    <row r="114" spans="2:17" x14ac:dyDescent="0.45">
      <c r="B114" s="4"/>
      <c r="C114" s="4"/>
      <c r="D114" s="4"/>
      <c r="E114" s="4"/>
      <c r="F114" s="6"/>
      <c r="G114" s="6"/>
      <c r="H114" s="4"/>
      <c r="I114" t="str">
        <f>IF(AND($C114&lt;&gt;"",N($F114)&gt;0,NOT(OR($B114="Rack",$B114="Gabinete",$B114="Rack de pared",$B114="Gabinete de pared"))),MAX($I$5:$I113)+1,"")</f>
        <v/>
      </c>
      <c r="J114" t="str">
        <f>IF(OR($B114="Rack",$B114="Gabinete",$B114="Rack de pared",$B114="Gabinete de pared"),MAX($J$5:$J113)+1,"")</f>
        <v/>
      </c>
      <c r="K114" t="str">
        <f>IF($B114="Organizador vertical",COUNTIF($B$6:$B114,"Organizador vertical"),"")</f>
        <v/>
      </c>
      <c r="L114" t="str">
        <f>IF($B114="Jack",COUNTIF($B$6:$B114,"Jack"),"")</f>
        <v/>
      </c>
      <c r="M114" t="str">
        <f>IF(AND($C114&lt;&gt;"",N($F114)=0,$B114&lt;&gt;"Rack",$B114&lt;&gt;"Gabinete",$B114&lt;&gt;"Organizador vertical",$B114&lt;&gt;"Jack"),MAX($M$5:$M113)+1,"")</f>
        <v/>
      </c>
      <c r="N114" s="6"/>
      <c r="O114" s="9" t="str">
        <f t="shared" si="3"/>
        <v/>
      </c>
      <c r="P114" s="6"/>
      <c r="Q114" s="6"/>
    </row>
    <row r="115" spans="2:17" x14ac:dyDescent="0.45">
      <c r="B115" s="4"/>
      <c r="C115" s="4"/>
      <c r="D115" s="4"/>
      <c r="E115" s="4"/>
      <c r="F115" s="6"/>
      <c r="G115" s="6"/>
      <c r="H115" s="4"/>
      <c r="I115" t="str">
        <f>IF(AND($C115&lt;&gt;"",N($F115)&gt;0,NOT(OR($B115="Rack",$B115="Gabinete",$B115="Rack de pared",$B115="Gabinete de pared"))),MAX($I$5:$I114)+1,"")</f>
        <v/>
      </c>
      <c r="J115" t="str">
        <f>IF(OR($B115="Rack",$B115="Gabinete",$B115="Rack de pared",$B115="Gabinete de pared"),MAX($J$5:$J114)+1,"")</f>
        <v/>
      </c>
      <c r="K115" t="str">
        <f>IF($B115="Organizador vertical",COUNTIF($B$6:$B115,"Organizador vertical"),"")</f>
        <v/>
      </c>
      <c r="L115" t="str">
        <f>IF($B115="Jack",COUNTIF($B$6:$B115,"Jack"),"")</f>
        <v/>
      </c>
      <c r="M115" t="str">
        <f>IF(AND($C115&lt;&gt;"",N($F115)=0,$B115&lt;&gt;"Rack",$B115&lt;&gt;"Gabinete",$B115&lt;&gt;"Organizador vertical",$B115&lt;&gt;"Jack"),MAX($M$5:$M114)+1,"")</f>
        <v/>
      </c>
      <c r="N115" s="6"/>
      <c r="O115" s="9" t="str">
        <f t="shared" si="3"/>
        <v/>
      </c>
      <c r="P115" s="6"/>
      <c r="Q115" s="6"/>
    </row>
    <row r="116" spans="2:17" x14ac:dyDescent="0.45">
      <c r="B116" s="4"/>
      <c r="C116" s="4"/>
      <c r="D116" s="4"/>
      <c r="E116" s="4"/>
      <c r="F116" s="6"/>
      <c r="G116" s="6"/>
      <c r="H116" s="4"/>
      <c r="I116" t="str">
        <f>IF(AND($C116&lt;&gt;"",N($F116)&gt;0,NOT(OR($B116="Rack",$B116="Gabinete",$B116="Rack de pared",$B116="Gabinete de pared"))),MAX($I$5:$I115)+1,"")</f>
        <v/>
      </c>
      <c r="J116" t="str">
        <f>IF(OR($B116="Rack",$B116="Gabinete",$B116="Rack de pared",$B116="Gabinete de pared"),MAX($J$5:$J115)+1,"")</f>
        <v/>
      </c>
      <c r="K116" t="str">
        <f>IF($B116="Organizador vertical",COUNTIF($B$6:$B116,"Organizador vertical"),"")</f>
        <v/>
      </c>
      <c r="L116" t="str">
        <f>IF($B116="Jack",COUNTIF($B$6:$B116,"Jack"),"")</f>
        <v/>
      </c>
      <c r="M116" t="str">
        <f>IF(AND($C116&lt;&gt;"",N($F116)=0,$B116&lt;&gt;"Rack",$B116&lt;&gt;"Gabinete",$B116&lt;&gt;"Organizador vertical",$B116&lt;&gt;"Jack"),MAX($M$5:$M115)+1,"")</f>
        <v/>
      </c>
      <c r="N116" s="6"/>
      <c r="O116" s="9" t="str">
        <f t="shared" si="3"/>
        <v/>
      </c>
      <c r="P116" s="6"/>
      <c r="Q116" s="6"/>
    </row>
    <row r="117" spans="2:17" x14ac:dyDescent="0.45">
      <c r="B117" s="4"/>
      <c r="C117" s="4"/>
      <c r="D117" s="4"/>
      <c r="E117" s="4"/>
      <c r="F117" s="6"/>
      <c r="G117" s="6"/>
      <c r="H117" s="4"/>
      <c r="I117" t="str">
        <f>IF(AND($C117&lt;&gt;"",N($F117)&gt;0,NOT(OR($B117="Rack",$B117="Gabinete",$B117="Rack de pared",$B117="Gabinete de pared"))),MAX($I$5:$I116)+1,"")</f>
        <v/>
      </c>
      <c r="J117" t="str">
        <f>IF(OR($B117="Rack",$B117="Gabinete",$B117="Rack de pared",$B117="Gabinete de pared"),MAX($J$5:$J116)+1,"")</f>
        <v/>
      </c>
      <c r="K117" t="str">
        <f>IF($B117="Organizador vertical",COUNTIF($B$6:$B117,"Organizador vertical"),"")</f>
        <v/>
      </c>
      <c r="L117" t="str">
        <f>IF($B117="Jack",COUNTIF($B$6:$B117,"Jack"),"")</f>
        <v/>
      </c>
      <c r="M117" t="str">
        <f>IF(AND($C117&lt;&gt;"",N($F117)=0,$B117&lt;&gt;"Rack",$B117&lt;&gt;"Gabinete",$B117&lt;&gt;"Organizador vertical",$B117&lt;&gt;"Jack"),MAX($M$5:$M116)+1,"")</f>
        <v/>
      </c>
      <c r="N117" s="6"/>
      <c r="O117" s="9" t="str">
        <f t="shared" si="3"/>
        <v/>
      </c>
      <c r="P117" s="6"/>
      <c r="Q117" s="6"/>
    </row>
    <row r="118" spans="2:17" x14ac:dyDescent="0.45">
      <c r="B118" s="4"/>
      <c r="C118" s="4"/>
      <c r="D118" s="4"/>
      <c r="E118" s="4"/>
      <c r="F118" s="6"/>
      <c r="G118" s="6"/>
      <c r="H118" s="4"/>
      <c r="I118" t="str">
        <f>IF(AND($C118&lt;&gt;"",N($F118)&gt;0,NOT(OR($B118="Rack",$B118="Gabinete",$B118="Rack de pared",$B118="Gabinete de pared"))),MAX($I$5:$I117)+1,"")</f>
        <v/>
      </c>
      <c r="J118" t="str">
        <f>IF(OR($B118="Rack",$B118="Gabinete",$B118="Rack de pared",$B118="Gabinete de pared"),MAX($J$5:$J117)+1,"")</f>
        <v/>
      </c>
      <c r="K118" t="str">
        <f>IF($B118="Organizador vertical",COUNTIF($B$6:$B118,"Organizador vertical"),"")</f>
        <v/>
      </c>
      <c r="L118" t="str">
        <f>IF($B118="Jack",COUNTIF($B$6:$B118,"Jack"),"")</f>
        <v/>
      </c>
      <c r="M118" t="str">
        <f>IF(AND($C118&lt;&gt;"",N($F118)=0,$B118&lt;&gt;"Rack",$B118&lt;&gt;"Gabinete",$B118&lt;&gt;"Organizador vertical",$B118&lt;&gt;"Jack"),MAX($M$5:$M117)+1,"")</f>
        <v/>
      </c>
      <c r="N118" s="6"/>
      <c r="O118" s="9" t="str">
        <f t="shared" si="3"/>
        <v/>
      </c>
      <c r="P118" s="6"/>
      <c r="Q118" s="6"/>
    </row>
    <row r="119" spans="2:17" x14ac:dyDescent="0.45">
      <c r="B119" s="4"/>
      <c r="C119" s="4"/>
      <c r="D119" s="4"/>
      <c r="E119" s="4"/>
      <c r="F119" s="6"/>
      <c r="G119" s="6"/>
      <c r="H119" s="4"/>
      <c r="I119" t="str">
        <f>IF(AND($C119&lt;&gt;"",N($F119)&gt;0,NOT(OR($B119="Rack",$B119="Gabinete",$B119="Rack de pared",$B119="Gabinete de pared"))),MAX($I$5:$I118)+1,"")</f>
        <v/>
      </c>
      <c r="J119" t="str">
        <f>IF(OR($B119="Rack",$B119="Gabinete",$B119="Rack de pared",$B119="Gabinete de pared"),MAX($J$5:$J118)+1,"")</f>
        <v/>
      </c>
      <c r="K119" t="str">
        <f>IF($B119="Organizador vertical",COUNTIF($B$6:$B119,"Organizador vertical"),"")</f>
        <v/>
      </c>
      <c r="L119" t="str">
        <f>IF($B119="Jack",COUNTIF($B$6:$B119,"Jack"),"")</f>
        <v/>
      </c>
      <c r="M119" t="str">
        <f>IF(AND($C119&lt;&gt;"",N($F119)=0,$B119&lt;&gt;"Rack",$B119&lt;&gt;"Gabinete",$B119&lt;&gt;"Organizador vertical",$B119&lt;&gt;"Jack"),MAX($M$5:$M118)+1,"")</f>
        <v/>
      </c>
      <c r="N119" s="6"/>
      <c r="O119" s="9" t="str">
        <f t="shared" si="3"/>
        <v/>
      </c>
      <c r="P119" s="6"/>
      <c r="Q119" s="6"/>
    </row>
    <row r="120" spans="2:17" x14ac:dyDescent="0.45">
      <c r="B120" s="4"/>
      <c r="C120" s="4"/>
      <c r="D120" s="4"/>
      <c r="E120" s="4"/>
      <c r="F120" s="6"/>
      <c r="G120" s="6"/>
      <c r="H120" s="4"/>
      <c r="I120" t="str">
        <f>IF(AND($C120&lt;&gt;"",N($F120)&gt;0,NOT(OR($B120="Rack",$B120="Gabinete",$B120="Rack de pared",$B120="Gabinete de pared"))),MAX($I$5:$I119)+1,"")</f>
        <v/>
      </c>
      <c r="J120" t="str">
        <f>IF(OR($B120="Rack",$B120="Gabinete",$B120="Rack de pared",$B120="Gabinete de pared"),MAX($J$5:$J119)+1,"")</f>
        <v/>
      </c>
      <c r="K120" t="str">
        <f>IF($B120="Organizador vertical",COUNTIF($B$6:$B120,"Organizador vertical"),"")</f>
        <v/>
      </c>
      <c r="L120" t="str">
        <f>IF($B120="Jack",COUNTIF($B$6:$B120,"Jack"),"")</f>
        <v/>
      </c>
      <c r="M120" t="str">
        <f>IF(AND($C120&lt;&gt;"",N($F120)=0,$B120&lt;&gt;"Rack",$B120&lt;&gt;"Gabinete",$B120&lt;&gt;"Organizador vertical",$B120&lt;&gt;"Jack"),MAX($M$5:$M119)+1,"")</f>
        <v/>
      </c>
      <c r="N120" s="6"/>
      <c r="O120" s="9" t="str">
        <f t="shared" si="3"/>
        <v/>
      </c>
      <c r="P120" s="6"/>
      <c r="Q120" s="6"/>
    </row>
    <row r="121" spans="2:17" x14ac:dyDescent="0.45">
      <c r="B121" s="4"/>
      <c r="C121" s="4"/>
      <c r="D121" s="4"/>
      <c r="E121" s="4"/>
      <c r="F121" s="6"/>
      <c r="G121" s="6"/>
      <c r="H121" s="4"/>
      <c r="I121" t="str">
        <f>IF(AND($C121&lt;&gt;"",N($F121)&gt;0,NOT(OR($B121="Rack",$B121="Gabinete",$B121="Rack de pared",$B121="Gabinete de pared"))),MAX($I$5:$I120)+1,"")</f>
        <v/>
      </c>
      <c r="J121" t="str">
        <f>IF(OR($B121="Rack",$B121="Gabinete",$B121="Rack de pared",$B121="Gabinete de pared"),MAX($J$5:$J120)+1,"")</f>
        <v/>
      </c>
      <c r="K121" t="str">
        <f>IF($B121="Organizador vertical",COUNTIF($B$6:$B121,"Organizador vertical"),"")</f>
        <v/>
      </c>
      <c r="L121" t="str">
        <f>IF($B121="Jack",COUNTIF($B$6:$B121,"Jack"),"")</f>
        <v/>
      </c>
      <c r="M121" t="str">
        <f>IF(AND($C121&lt;&gt;"",N($F121)=0,$B121&lt;&gt;"Rack",$B121&lt;&gt;"Gabinete",$B121&lt;&gt;"Organizador vertical",$B121&lt;&gt;"Jack"),MAX($M$5:$M120)+1,"")</f>
        <v/>
      </c>
      <c r="N121" s="6"/>
      <c r="O121" s="9" t="str">
        <f t="shared" si="3"/>
        <v/>
      </c>
      <c r="P121" s="6"/>
      <c r="Q121" s="6"/>
    </row>
    <row r="122" spans="2:17" x14ac:dyDescent="0.45">
      <c r="B122" s="4"/>
      <c r="C122" s="4"/>
      <c r="D122" s="4"/>
      <c r="E122" s="4"/>
      <c r="F122" s="6"/>
      <c r="G122" s="6"/>
      <c r="H122" s="4"/>
      <c r="I122" t="str">
        <f>IF(AND($C122&lt;&gt;"",N($F122)&gt;0,NOT(OR($B122="Rack",$B122="Gabinete",$B122="Rack de pared",$B122="Gabinete de pared"))),MAX($I$5:$I121)+1,"")</f>
        <v/>
      </c>
      <c r="J122" t="str">
        <f>IF(OR($B122="Rack",$B122="Gabinete",$B122="Rack de pared",$B122="Gabinete de pared"),MAX($J$5:$J121)+1,"")</f>
        <v/>
      </c>
      <c r="K122" t="str">
        <f>IF($B122="Organizador vertical",COUNTIF($B$6:$B122,"Organizador vertical"),"")</f>
        <v/>
      </c>
      <c r="L122" t="str">
        <f>IF($B122="Jack",COUNTIF($B$6:$B122,"Jack"),"")</f>
        <v/>
      </c>
      <c r="M122" t="str">
        <f>IF(AND($C122&lt;&gt;"",N($F122)=0,$B122&lt;&gt;"Rack",$B122&lt;&gt;"Gabinete",$B122&lt;&gt;"Organizador vertical",$B122&lt;&gt;"Jack"),MAX($M$5:$M121)+1,"")</f>
        <v/>
      </c>
      <c r="N122" s="6"/>
      <c r="O122" s="9" t="str">
        <f t="shared" si="3"/>
        <v/>
      </c>
      <c r="P122" s="6"/>
      <c r="Q122" s="6"/>
    </row>
    <row r="123" spans="2:17" x14ac:dyDescent="0.45">
      <c r="B123" s="4"/>
      <c r="C123" s="4"/>
      <c r="D123" s="4"/>
      <c r="E123" s="4"/>
      <c r="F123" s="6"/>
      <c r="G123" s="6"/>
      <c r="H123" s="4"/>
      <c r="I123" t="str">
        <f>IF(AND($C123&lt;&gt;"",N($F123)&gt;0,NOT(OR($B123="Rack",$B123="Gabinete",$B123="Rack de pared",$B123="Gabinete de pared"))),MAX($I$5:$I122)+1,"")</f>
        <v/>
      </c>
      <c r="J123" t="str">
        <f>IF(OR($B123="Rack",$B123="Gabinete",$B123="Rack de pared",$B123="Gabinete de pared"),MAX($J$5:$J122)+1,"")</f>
        <v/>
      </c>
      <c r="K123" t="str">
        <f>IF($B123="Organizador vertical",COUNTIF($B$6:$B123,"Organizador vertical"),"")</f>
        <v/>
      </c>
      <c r="L123" t="str">
        <f>IF($B123="Jack",COUNTIF($B$6:$B123,"Jack"),"")</f>
        <v/>
      </c>
      <c r="M123" t="str">
        <f>IF(AND($C123&lt;&gt;"",N($F123)=0,$B123&lt;&gt;"Rack",$B123&lt;&gt;"Gabinete",$B123&lt;&gt;"Organizador vertical",$B123&lt;&gt;"Jack"),MAX($M$5:$M122)+1,"")</f>
        <v/>
      </c>
      <c r="N123" s="6"/>
      <c r="O123" s="9" t="str">
        <f t="shared" si="3"/>
        <v/>
      </c>
      <c r="P123" s="6"/>
      <c r="Q123" s="6"/>
    </row>
    <row r="124" spans="2:17" x14ac:dyDescent="0.45">
      <c r="B124" s="4"/>
      <c r="C124" s="4"/>
      <c r="D124" s="4"/>
      <c r="E124" s="4"/>
      <c r="F124" s="6"/>
      <c r="G124" s="6"/>
      <c r="H124" s="4"/>
      <c r="I124" t="str">
        <f>IF(AND($C124&lt;&gt;"",N($F124)&gt;0,NOT(OR($B124="Rack",$B124="Gabinete",$B124="Rack de pared",$B124="Gabinete de pared"))),MAX($I$5:$I123)+1,"")</f>
        <v/>
      </c>
      <c r="J124" t="str">
        <f>IF(OR($B124="Rack",$B124="Gabinete",$B124="Rack de pared",$B124="Gabinete de pared"),MAX($J$5:$J123)+1,"")</f>
        <v/>
      </c>
      <c r="K124" t="str">
        <f>IF($B124="Organizador vertical",COUNTIF($B$6:$B124,"Organizador vertical"),"")</f>
        <v/>
      </c>
      <c r="L124" t="str">
        <f>IF($B124="Jack",COUNTIF($B$6:$B124,"Jack"),"")</f>
        <v/>
      </c>
      <c r="M124" t="str">
        <f>IF(AND($C124&lt;&gt;"",N($F124)=0,$B124&lt;&gt;"Rack",$B124&lt;&gt;"Gabinete",$B124&lt;&gt;"Organizador vertical",$B124&lt;&gt;"Jack"),MAX($M$5:$M123)+1,"")</f>
        <v/>
      </c>
      <c r="N124" s="6"/>
      <c r="O124" s="9" t="str">
        <f t="shared" si="3"/>
        <v/>
      </c>
      <c r="P124" s="6"/>
      <c r="Q124" s="6"/>
    </row>
    <row r="125" spans="2:17" x14ac:dyDescent="0.45">
      <c r="B125" s="4"/>
      <c r="C125" s="4"/>
      <c r="D125" s="4"/>
      <c r="E125" s="4"/>
      <c r="F125" s="6"/>
      <c r="G125" s="6"/>
      <c r="H125" s="4"/>
      <c r="I125" t="str">
        <f>IF(AND($C125&lt;&gt;"",N($F125)&gt;0,NOT(OR($B125="Rack",$B125="Gabinete",$B125="Rack de pared",$B125="Gabinete de pared"))),MAX($I$5:$I124)+1,"")</f>
        <v/>
      </c>
      <c r="J125" t="str">
        <f>IF(OR($B125="Rack",$B125="Gabinete",$B125="Rack de pared",$B125="Gabinete de pared"),MAX($J$5:$J124)+1,"")</f>
        <v/>
      </c>
      <c r="K125" t="str">
        <f>IF($B125="Organizador vertical",COUNTIF($B$6:$B125,"Organizador vertical"),"")</f>
        <v/>
      </c>
      <c r="L125" t="str">
        <f>IF($B125="Jack",COUNTIF($B$6:$B125,"Jack"),"")</f>
        <v/>
      </c>
      <c r="M125" t="str">
        <f>IF(AND($C125&lt;&gt;"",N($F125)=0,$B125&lt;&gt;"Rack",$B125&lt;&gt;"Gabinete",$B125&lt;&gt;"Organizador vertical",$B125&lt;&gt;"Jack"),MAX($M$5:$M124)+1,"")</f>
        <v/>
      </c>
      <c r="N125" s="6"/>
      <c r="O125" s="9" t="str">
        <f t="shared" si="3"/>
        <v/>
      </c>
      <c r="P125" s="6"/>
      <c r="Q125" s="6"/>
    </row>
  </sheetData>
  <mergeCells count="1">
    <mergeCell ref="B2:H2"/>
  </mergeCells>
  <pageMargins left="0.75" right="0.75" top="1" bottom="1" header="0.5" footer="0.5"/>
  <pageSetup fitToHeight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200-000000000000}">
          <x14:formula1>
            <xm:f>listas!$G$2:$G$30</xm:f>
          </x14:formula1>
          <xm:sqref>B6:B125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D7D31"/>
    <pageSetUpPr fitToPage="1"/>
  </sheetPr>
  <dimension ref="B2:CO185"/>
  <sheetViews>
    <sheetView showGridLines="0" topLeftCell="A7" zoomScale="40" zoomScaleNormal="40" workbookViewId="0">
      <selection activeCell="A68" sqref="A68:XFD185"/>
    </sheetView>
  </sheetViews>
  <sheetFormatPr defaultRowHeight="14.25" x14ac:dyDescent="0.45"/>
  <cols>
    <col min="1" max="1" width="2" customWidth="1"/>
    <col min="2" max="26" width="10" customWidth="1"/>
    <col min="27" max="93" width="13" hidden="1" customWidth="1"/>
  </cols>
  <sheetData>
    <row r="2" spans="2:93" ht="22.05" customHeight="1" x14ac:dyDescent="0.45">
      <c r="B2" s="41" t="s">
        <v>369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</row>
    <row r="3" spans="2:93" x14ac:dyDescent="0.45">
      <c r="B3" s="46" t="str">
        <f>Proyecto!D6&amp;""&amp;IF(Proyecto!D7&lt;&gt;"","  ·  Proyecto N.º "&amp;Proyecto!D7,"")&amp;IF(Proyecto!D8&lt;&gt;"","  ·  "&amp;Proyecto!D8,"")&amp;IF(Proyecto!D11&lt;&gt;"","  ·  Rev. "&amp;Proyecto!D11,"")&amp;IF(Proyecto!D9&lt;&gt;"","  ·  Fecha: "&amp;IF(ISNUMBER(Proyecto!D9),TEXT(Proyecto!D9,"dd/mm/yyyy"),Proyecto!D9),"")&amp;IF(Proyecto!D10&lt;&gt;"","  ·  Elaboró: "&amp;Proyecto!D10,"")</f>
        <v/>
      </c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AS3" t="str">
        <f>$E$6&amp;""</f>
        <v>1A</v>
      </c>
      <c r="AT3" t="str">
        <f>$J$6&amp;""</f>
        <v>Rack de piso 2 postes 45RU (machote)</v>
      </c>
      <c r="AU3">
        <f>H43</f>
        <v>45</v>
      </c>
      <c r="AV3">
        <f>I43</f>
        <v>0</v>
      </c>
      <c r="AW3" t="str">
        <f>TEXT(J43,"0%")</f>
        <v>100%</v>
      </c>
      <c r="AX3">
        <f>COUNT($AE$13:$AE$42)</f>
        <v>4</v>
      </c>
      <c r="AY3">
        <f>SUM($BF$13:$BF$28)</f>
        <v>96</v>
      </c>
      <c r="AZ3">
        <f>$AQ$4</f>
        <v>0</v>
      </c>
      <c r="BA3" t="str">
        <f>IFERROR(TEXT($AZ$3/$AY$3,"0%"),"-")</f>
        <v>0%</v>
      </c>
    </row>
    <row r="4" spans="2:93" x14ac:dyDescent="0.45">
      <c r="B4" s="11" t="s">
        <v>370</v>
      </c>
      <c r="AQ4">
        <f>COUNTIF($CA$72:$CA$95,"?*")+COUNTIF($CB$72:$CB$95,"?*")+COUNTIF($CC$72:$CC$95,"?*")+COUNTIF($CD$72:$CD$95,"?*")+COUNTIF($CA$100:$CA$123,"?*")+COUNTIF($CB$100:$CB$123,"?*")+COUNTIF($CC$100:$CC$123,"?*")+COUNTIF($CD$100:$CD$123,"?*")+COUNTIF($CA$128:$CA$151,"?*")+COUNTIF($CB$128:$CB$151,"?*")+COUNTIF($CC$128:$CC$151,"?*")+COUNTIF($CD$128:$CD$151,"?*")+COUNTIF($CA$156:$CA$179,"?*")+COUNTIF($CB$156:$CB$179,"?*")+COUNTIF($CC$156:$CC$179,"?*")+COUNTIF($CD$156:$CD$179,"?*")</f>
        <v>0</v>
      </c>
    </row>
    <row r="5" spans="2:93" ht="18" customHeight="1" x14ac:dyDescent="0.45">
      <c r="B5" s="2" t="s">
        <v>371</v>
      </c>
      <c r="C5" s="2"/>
      <c r="D5" s="2"/>
      <c r="E5" s="2" t="s">
        <v>372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AR5">
        <f>IFERROR(IF(N(INDEX(Catalogo!$F$6:$F$125,MATCH($E$7,Catalogo!$C$6:$C$125,0)))=0,45,N(INDEX(Catalogo!$F$6:$F$125,MATCH($E$7,Catalogo!$C$6:$C$125,0)))),45)</f>
        <v>45</v>
      </c>
    </row>
    <row r="6" spans="2:93" x14ac:dyDescent="0.45">
      <c r="B6" s="42" t="s">
        <v>373</v>
      </c>
      <c r="C6" s="43"/>
      <c r="D6" s="44"/>
      <c r="E6" s="53" t="s">
        <v>374</v>
      </c>
      <c r="F6" s="39"/>
      <c r="H6" s="42" t="s">
        <v>60</v>
      </c>
      <c r="I6" s="44"/>
      <c r="J6" s="37" t="s">
        <v>375</v>
      </c>
      <c r="K6" s="38"/>
      <c r="L6" s="38"/>
      <c r="M6" s="38"/>
      <c r="N6" s="38"/>
      <c r="O6" s="38"/>
      <c r="P6" s="38"/>
      <c r="Q6" s="39"/>
      <c r="AR6">
        <f>SUM(H13:H42)</f>
        <v>45</v>
      </c>
      <c r="BA6">
        <f>IF(OR(Catalogo!$C6="",Catalogo!$B6="Espacio libre",Catalogo!$B6="Espacio reservado"),0,COUNTIF($C$13:$C$42,Catalogo!$C6)+IF($E$7=Catalogo!$C6,N($K$7),0)+IF($E$8=Catalogo!$C6,N($N$8),0)+IF(Proyecto!$D$12=Catalogo!$C6,$AQ$4,0)+SUMIF($C$49:$C$58,Catalogo!$C6,$K$49:$K$58))</f>
        <v>1</v>
      </c>
    </row>
    <row r="7" spans="2:93" x14ac:dyDescent="0.45">
      <c r="B7" s="42" t="s">
        <v>376</v>
      </c>
      <c r="C7" s="43"/>
      <c r="D7" s="44"/>
      <c r="E7" s="37" t="s">
        <v>66</v>
      </c>
      <c r="F7" s="38"/>
      <c r="G7" s="38"/>
      <c r="H7" s="38"/>
      <c r="I7" s="39"/>
      <c r="J7" s="5" t="s">
        <v>377</v>
      </c>
      <c r="K7" s="6">
        <v>1</v>
      </c>
      <c r="L7" s="42" t="s">
        <v>378</v>
      </c>
      <c r="M7" s="44"/>
      <c r="N7" s="52" t="str">
        <f>IFERROR(INDEX(Catalogo!$B$6:$B$125,MATCH($E$7,Catalogo!$C$6:$C$125,0))&amp;" "&amp;$AR$5&amp;"RU","")</f>
        <v>Rack 45RU</v>
      </c>
      <c r="O7" s="38"/>
      <c r="P7" s="38"/>
      <c r="Q7" s="39"/>
      <c r="BA7">
        <f>IF(OR(Catalogo!$C7="",Catalogo!$B7="Espacio libre",Catalogo!$B7="Espacio reservado"),0,COUNTIF($C$13:$C$42,Catalogo!$C7)+IF($E$7=Catalogo!$C7,N($K$7),0)+IF($E$8=Catalogo!$C7,N($N$8),0)+IF(Proyecto!$D$12=Catalogo!$C7,$AQ$4,0)+SUMIF($C$49:$C$58,Catalogo!$C7,$K$49:$K$58))</f>
        <v>0</v>
      </c>
    </row>
    <row r="8" spans="2:93" ht="26.25" x14ac:dyDescent="0.45">
      <c r="B8" s="42" t="s">
        <v>79</v>
      </c>
      <c r="C8" s="43"/>
      <c r="D8" s="44"/>
      <c r="E8" s="37" t="s">
        <v>89</v>
      </c>
      <c r="F8" s="38"/>
      <c r="G8" s="38"/>
      <c r="H8" s="38"/>
      <c r="I8" s="39"/>
      <c r="J8" s="5" t="s">
        <v>5</v>
      </c>
      <c r="K8" s="53" t="s">
        <v>379</v>
      </c>
      <c r="L8" s="39"/>
      <c r="M8" s="5" t="s">
        <v>377</v>
      </c>
      <c r="N8" s="9">
        <f>IF($K$8="Ambos lados",2,IF(OR($K$8="Lado izquierdo",$K$8="Lado derecho"),1,0))*N($K$7)</f>
        <v>2</v>
      </c>
      <c r="BA8">
        <f>IF(OR(Catalogo!$C8="",Catalogo!$B8="Espacio libre",Catalogo!$B8="Espacio reservado"),0,COUNTIF($C$13:$C$42,Catalogo!$C8)+IF($E$7=Catalogo!$C8,N($K$7),0)+IF($E$8=Catalogo!$C8,N($N$8),0)+IF(Proyecto!$D$12=Catalogo!$C8,$AQ$4,0)+SUMIF($C$49:$C$58,Catalogo!$C8,$K$49:$K$58))</f>
        <v>0</v>
      </c>
    </row>
    <row r="9" spans="2:93" x14ac:dyDescent="0.45">
      <c r="B9" s="42" t="s">
        <v>380</v>
      </c>
      <c r="C9" s="43"/>
      <c r="D9" s="44"/>
      <c r="E9" s="45" t="str">
        <f>Proyecto!D12&amp;""</f>
        <v>Jack Cat 6A UTP azul (Mini-Com TX6A)</v>
      </c>
      <c r="F9" s="38"/>
      <c r="G9" s="38"/>
      <c r="H9" s="38"/>
      <c r="I9" s="39"/>
      <c r="K9" s="10" t="s">
        <v>381</v>
      </c>
      <c r="BA9">
        <f>IF(OR(Catalogo!$C9="",Catalogo!$B9="Espacio libre",Catalogo!$B9="Espacio reservado"),0,COUNTIF($C$13:$C$42,Catalogo!$C9)+IF($E$7=Catalogo!$C9,N($K$7),0)+IF($E$8=Catalogo!$C9,N($N$8),0)+IF(Proyecto!$D$12=Catalogo!$C9,$AQ$4,0)+SUMIF($C$49:$C$58,Catalogo!$C9,$K$49:$K$58))</f>
        <v>0</v>
      </c>
    </row>
    <row r="10" spans="2:93" x14ac:dyDescent="0.45">
      <c r="BA10">
        <f>IF(OR(Catalogo!$C10="",Catalogo!$B10="Espacio libre",Catalogo!$B10="Espacio reservado"),0,COUNTIF($C$13:$C$42,Catalogo!$C10)+IF($E$7=Catalogo!$C10,N($K$7),0)+IF($E$8=Catalogo!$C10,N($N$8),0)+IF(Proyecto!$D$12=Catalogo!$C10,$AQ$4,0)+SUMIF($C$49:$C$58,Catalogo!$C10,$K$49:$K$58))</f>
        <v>0</v>
      </c>
    </row>
    <row r="11" spans="2:93" ht="18" customHeight="1" x14ac:dyDescent="0.45">
      <c r="B11" s="2" t="s">
        <v>382</v>
      </c>
      <c r="C11" s="2"/>
      <c r="D11" s="2"/>
      <c r="E11" s="2" t="s">
        <v>383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 t="s">
        <v>384</v>
      </c>
      <c r="S11" s="2"/>
      <c r="T11" s="2"/>
      <c r="U11" s="2"/>
      <c r="V11" s="2"/>
      <c r="W11" s="2"/>
      <c r="X11" s="2"/>
      <c r="BA11">
        <f>IF(OR(Catalogo!$C11="",Catalogo!$B11="Espacio libre",Catalogo!$B11="Espacio reservado"),0,COUNTIF($C$13:$C$42,Catalogo!$C11)+IF($E$7=Catalogo!$C11,N($K$7),0)+IF($E$8=Catalogo!$C11,N($N$8),0)+IF(Proyecto!$D$12=Catalogo!$C11,$AQ$4,0)+SUMIF($C$49:$C$58,Catalogo!$C11,$K$49:$K$58))</f>
        <v>0</v>
      </c>
    </row>
    <row r="12" spans="2:93" ht="26.25" x14ac:dyDescent="0.45">
      <c r="B12" s="5" t="s">
        <v>385</v>
      </c>
      <c r="C12" s="42" t="s">
        <v>386</v>
      </c>
      <c r="D12" s="43"/>
      <c r="E12" s="44"/>
      <c r="F12" s="42" t="s">
        <v>61</v>
      </c>
      <c r="G12" s="44"/>
      <c r="H12" s="5" t="s">
        <v>62</v>
      </c>
      <c r="I12" s="5" t="s">
        <v>63</v>
      </c>
      <c r="J12" s="5" t="s">
        <v>387</v>
      </c>
      <c r="K12" s="5" t="s">
        <v>388</v>
      </c>
      <c r="L12" s="5" t="s">
        <v>389</v>
      </c>
      <c r="M12" s="5" t="s">
        <v>390</v>
      </c>
      <c r="N12" s="5" t="s">
        <v>391</v>
      </c>
      <c r="O12" s="5" t="s">
        <v>392</v>
      </c>
      <c r="P12" s="42" t="s">
        <v>393</v>
      </c>
      <c r="Q12" s="44"/>
      <c r="R12" s="5" t="s">
        <v>394</v>
      </c>
      <c r="S12" s="5" t="s">
        <v>62</v>
      </c>
      <c r="T12" s="42" t="s">
        <v>386</v>
      </c>
      <c r="U12" s="43"/>
      <c r="V12" s="44"/>
      <c r="W12" s="5" t="s">
        <v>62</v>
      </c>
      <c r="X12" s="5" t="s">
        <v>394</v>
      </c>
      <c r="BA12">
        <f>IF(OR(Catalogo!$C12="",Catalogo!$B12="Espacio libre",Catalogo!$B12="Espacio reservado"),0,COUNTIF($C$13:$C$42,Catalogo!$C12)+IF($E$7=Catalogo!$C12,N($K$7),0)+IF($E$8=Catalogo!$C12,N($N$8),0)+IF(Proyecto!$D$12=Catalogo!$C12,$AQ$4,0)+SUMIF($C$49:$C$58,Catalogo!$C12,$K$49:$K$58))</f>
        <v>0</v>
      </c>
      <c r="BK12">
        <f>SUM($BG$13:$BG$28)</f>
        <v>4</v>
      </c>
    </row>
    <row r="13" spans="2:93" ht="14" customHeight="1" x14ac:dyDescent="0.45">
      <c r="B13" s="9">
        <v>1</v>
      </c>
      <c r="C13" s="47" t="s">
        <v>333</v>
      </c>
      <c r="D13" s="38"/>
      <c r="E13" s="39"/>
      <c r="F13" s="48" t="str">
        <f>IF($C13="","",IFERROR(INDEX(Catalogo!$E$6:$E$125,MATCH($C13,Catalogo!$C$6:$C$125,0)),""))</f>
        <v>FMD1 + FAP12WAQDLCZ</v>
      </c>
      <c r="G13" s="39"/>
      <c r="H13" s="9">
        <f>IF($C13="","",N(IFERROR(INDEX(Catalogo!$F$6:$F$125,MATCH($C13,Catalogo!$C$6:$C$125,0)),"")))</f>
        <v>1</v>
      </c>
      <c r="I13" s="9" t="str">
        <f>IF($AD13&lt;&gt;"Patch panel cobre","",IFERROR(INDEX(Catalogo!$G$6:$G$125,MATCH($C13,Catalogo!$C$6:$C$125,0)),""))</f>
        <v/>
      </c>
      <c r="J13" s="9">
        <f>IF(OR($C13="",$H13=0),"",$AR$5-0)</f>
        <v>45</v>
      </c>
      <c r="K13" s="9">
        <f t="shared" ref="K13:K42" si="0">IF($J13="","",$J13-$H13+1)</f>
        <v>45</v>
      </c>
      <c r="L13" s="9" t="str">
        <f t="shared" ref="L13:L42" si="1">IF($AE13="","",$E$6&amp;"-"&amp;CHAR(65+INT(($AE13-1)/26))&amp;CHAR(65+MOD($AE13-1,26)))</f>
        <v/>
      </c>
      <c r="M13" s="6"/>
      <c r="N13" s="6"/>
      <c r="O13" s="12" t="str">
        <f t="shared" ref="O13:O42" si="2">IF($AE13="","",IFERROR(INDEX($BS$13:$BS$28,$AE13)/INDEX($BF$13:$BF$28,$AE13),0))</f>
        <v/>
      </c>
      <c r="P13" s="37" t="s">
        <v>395</v>
      </c>
      <c r="Q13" s="39"/>
      <c r="R13" s="50" t="str">
        <f>IF(AND(OR($K$8="Ambos lados",$K$8="Lado izquierdo"),$E$8&lt;&gt;""),"ORGANIZADOR VERTICAL  "&amp;IFERROR(INDEX(Catalogo!$E$6:$E$125,MATCH($E$8,Catalogo!$C$6:$C$125,0)),""),"")</f>
        <v>ORGANIZADOR VERTICAL  PR2VD06</v>
      </c>
      <c r="S13" s="13">
        <v>45</v>
      </c>
      <c r="T13" s="49" t="str">
        <f>IF($AM13=0,"",IF(INDEX($J$13:$J$42,$AM13)=45,INDEX($AH$13:$AH$42,$AM13),""))</f>
        <v>Bandeja de fibra 1RU FMD1 + adaptador LC FAP12WAQDLCZ</v>
      </c>
      <c r="U13" s="38"/>
      <c r="V13" s="39"/>
      <c r="W13" s="13">
        <v>45</v>
      </c>
      <c r="X13" s="50" t="str">
        <f>IF(AND(OR($K$8="Ambos lados",$K$8="Lado derecho"),$E$8&lt;&gt;""),"ORGANIZADOR VERTICAL  "&amp;IFERROR(INDEX(Catalogo!$E$6:$E$125,MATCH($E$8,Catalogo!$C$6:$C$125,0)),""),"")</f>
        <v>ORGANIZADOR VERTICAL  PR2VD06</v>
      </c>
      <c r="AD13" t="str">
        <f>IF($C13="","",IFERROR(INDEX(Catalogo!$B$6:$B$125,MATCH($C13,Catalogo!$C$6:$C$125,0)),""))</f>
        <v>Fibra</v>
      </c>
      <c r="AE13" t="str">
        <f>IF($AD13="Patch panel cobre",COUNTIF($AD$13:$AD13,"Patch panel cobre"),"")</f>
        <v/>
      </c>
      <c r="AH13" t="str">
        <f t="shared" ref="AH13:AH42" si="3">IF($C13="","",IF($L13&lt;&gt;"","Patch panel "&amp;$L13&amp;" · "&amp;$I13&amp;" p"&amp;IF($M13&lt;&gt;""," · "&amp;$M13,""),$C13))</f>
        <v>Bandeja de fibra 1RU FMD1 + adaptador LC FAP12WAQDLCZ</v>
      </c>
      <c r="AM13">
        <f>IFERROR(MATCH(1,INDEX(($K$13:$K$42&lt;=45)*($J$13:$J$42&gt;=45),0),0),0)</f>
        <v>1</v>
      </c>
      <c r="AN13" t="str">
        <f>IF(45&gt;$AR$5,"Fuera",IF($AM13=0,"",INDEX($AD$13:$AD$42,$AM13)))</f>
        <v>Fibra</v>
      </c>
      <c r="BA13">
        <f>IF(OR(Catalogo!$C13="",Catalogo!$B13="Espacio libre",Catalogo!$B13="Espacio reservado"),0,COUNTIF($C$13:$C$42,Catalogo!$C13)+IF($E$7=Catalogo!$C13,N($K$7),0)+IF($E$8=Catalogo!$C13,N($N$8),0)+IF(Proyecto!$D$12=Catalogo!$C13,$AQ$4,0)+SUMIF($C$49:$C$58,Catalogo!$C13,$K$49:$K$58))</f>
        <v>0</v>
      </c>
      <c r="BD13">
        <f>IFERROR(MATCH(1,$AE$13:$AE$42,0),"")</f>
        <v>4</v>
      </c>
      <c r="BE13" t="str">
        <f t="shared" ref="BE13:BE28" si="4">IF($BD13="","",INDEX($L$13:$L$42,$BD13))</f>
        <v>1A-AA</v>
      </c>
      <c r="BF13">
        <f t="shared" ref="BF13:BF28" si="5">IF($BD13="",0,N(INDEX($I$13:$I$42,$BD13)))</f>
        <v>24</v>
      </c>
      <c r="BG13">
        <f t="shared" ref="BG13:BG28" si="6">IF($BF13=0,0,ROUNDUP($BF13/24,0))</f>
        <v>1</v>
      </c>
      <c r="BH13">
        <f>0</f>
        <v>0</v>
      </c>
      <c r="BI13" t="str">
        <f t="shared" ref="BI13:BI28" si="7">IF($BD13="","",INDEX($M$13:$M$42,$BD13)&amp;"")</f>
        <v/>
      </c>
      <c r="BJ13" cm="1">
        <f t="array" ref="BJ13">IF($BD13="",0,IF(ISNUMBER(SEARCH(":",$BI13)),MIN($BF13,SUM(--MID(_xlfn.TEXTSPLIT($BI13,","),FIND(":",_xlfn.TEXTSPLIT($BI13,","))+1,9))),IF(INDEX($N$13:$N$42,$BD13)="",$BF13,MIN($BF13,N(INDEX($N$13:$N$42,$BD13))))))</f>
        <v>24</v>
      </c>
      <c r="BL13">
        <f>IF(1&gt;$BK$12,"",MATCH(0,$BH$13:$BH$28,1))</f>
        <v>1</v>
      </c>
      <c r="BM13">
        <f>IF($BL13="",0,(0-INDEX($BH$13:$BH$28,$BL13))*24)</f>
        <v>0</v>
      </c>
      <c r="BN13" t="str">
        <f t="shared" ref="BN13:BN28" si="8">IF($BL13="","",INDEX($BE$13:$BE$28,$BL13))</f>
        <v>1A-AA</v>
      </c>
      <c r="BO13">
        <f t="shared" ref="BO13:BO28" si="9">IF($BL13="",0,INDEX($BF$13:$BF$28,$BL13))</f>
        <v>24</v>
      </c>
      <c r="BP13" t="str">
        <f t="shared" ref="BP13:BP28" si="10">IF($BL13="","",INDEX($BI$13:$BI$28,$BL13))</f>
        <v/>
      </c>
      <c r="BQ13">
        <f t="shared" ref="BQ13:BQ28" si="11">IF($BL13="",0,INDEX($BJ$13:$BJ$28,$BL13))</f>
        <v>24</v>
      </c>
      <c r="BR13">
        <f>COUNTIF($CA$72:$CA$95,"?*")</f>
        <v>0</v>
      </c>
      <c r="BS13">
        <f>SUMIF($BL$13:$BL$28,1,$BR$13:$BR$28)</f>
        <v>0</v>
      </c>
      <c r="CL13">
        <f>IF($C13="",0,N(IFERROR(INDEX(Catalogo!$N$6:$N$125,MATCH($C13,Catalogo!$C$6:$C$125,0)),0)))</f>
        <v>0</v>
      </c>
      <c r="CM13">
        <f>IF($C13="",0,N(IFERROR(INDEX(Catalogo!$P$6:$P$125,MATCH($C13,Catalogo!$C$6:$C$125,0)),0)))</f>
        <v>3</v>
      </c>
      <c r="CN13">
        <f>IF($C13="",0,N(IFERROR(INDEX(Catalogo!$Q$6:$Q$125,MATCH($C13,Catalogo!$C$6:$C$125,0)),0)))</f>
        <v>0</v>
      </c>
      <c r="CO13">
        <f>IF($C13="",0,IF(OR($AD13="Espacio libre",$AD13="Espacio reservado"),0,IF(IFERROR(INDEX(Catalogo!$N$6:$N$125,MATCH($C13,Catalogo!$C$6:$C$125,0))="",TRUE),1,0)))</f>
        <v>0</v>
      </c>
    </row>
    <row r="14" spans="2:93" ht="14" customHeight="1" x14ac:dyDescent="0.45">
      <c r="B14" s="9">
        <v>2</v>
      </c>
      <c r="C14" s="47" t="s">
        <v>333</v>
      </c>
      <c r="D14" s="38"/>
      <c r="E14" s="39"/>
      <c r="F14" s="48" t="str">
        <f>IF($C14="","",IFERROR(INDEX(Catalogo!$E$6:$E$125,MATCH($C14,Catalogo!$C$6:$C$125,0)),""))</f>
        <v>FMD1 + FAP12WAQDLCZ</v>
      </c>
      <c r="G14" s="39"/>
      <c r="H14" s="9">
        <f>IF($C14="","",N(IFERROR(INDEX(Catalogo!$F$6:$F$125,MATCH($C14,Catalogo!$C$6:$C$125,0)),"")))</f>
        <v>1</v>
      </c>
      <c r="I14" s="9" t="str">
        <f>IF($AD14&lt;&gt;"Patch panel cobre","",IFERROR(INDEX(Catalogo!$G$6:$G$125,MATCH($C14,Catalogo!$C$6:$C$125,0)),""))</f>
        <v/>
      </c>
      <c r="J14" s="9">
        <f>IF(OR($C14="",$H14=0),"",$AR$5-SUM($H$13:H13))</f>
        <v>44</v>
      </c>
      <c r="K14" s="9">
        <f t="shared" si="0"/>
        <v>44</v>
      </c>
      <c r="L14" s="9" t="str">
        <f t="shared" si="1"/>
        <v/>
      </c>
      <c r="M14" s="6"/>
      <c r="N14" s="6"/>
      <c r="O14" s="12" t="str">
        <f t="shared" si="2"/>
        <v/>
      </c>
      <c r="P14" s="37" t="s">
        <v>395</v>
      </c>
      <c r="Q14" s="39"/>
      <c r="R14" s="40"/>
      <c r="S14" s="13">
        <v>44</v>
      </c>
      <c r="T14" s="49" t="str">
        <f>IF($AM14=0,"",IF(INDEX($J$13:$J$42,$AM14)=44,INDEX($AH$13:$AH$42,$AM14),""))</f>
        <v>Bandeja de fibra 1RU FMD1 + adaptador LC FAP12WAQDLCZ</v>
      </c>
      <c r="U14" s="38"/>
      <c r="V14" s="39"/>
      <c r="W14" s="13">
        <v>44</v>
      </c>
      <c r="X14" s="40"/>
      <c r="AD14" t="str">
        <f>IF($C14="","",IFERROR(INDEX(Catalogo!$B$6:$B$125,MATCH($C14,Catalogo!$C$6:$C$125,0)),""))</f>
        <v>Fibra</v>
      </c>
      <c r="AE14" t="str">
        <f>IF($AD14="Patch panel cobre",COUNTIF($AD$13:$AD14,"Patch panel cobre"),"")</f>
        <v/>
      </c>
      <c r="AH14" t="str">
        <f t="shared" si="3"/>
        <v>Bandeja de fibra 1RU FMD1 + adaptador LC FAP12WAQDLCZ</v>
      </c>
      <c r="AM14">
        <f>IFERROR(MATCH(1,INDEX(($K$13:$K$42&lt;=44)*($J$13:$J$42&gt;=44),0),0),0)</f>
        <v>2</v>
      </c>
      <c r="AN14" t="str">
        <f>IF(44&gt;$AR$5,"Fuera",IF($AM14=0,"",INDEX($AD$13:$AD$42,$AM14)))</f>
        <v>Fibra</v>
      </c>
      <c r="BA14">
        <f>IF(OR(Catalogo!$C14="",Catalogo!$B14="Espacio libre",Catalogo!$B14="Espacio reservado"),0,COUNTIF($C$13:$C$42,Catalogo!$C14)+IF($E$7=Catalogo!$C14,N($K$7),0)+IF($E$8=Catalogo!$C14,N($N$8),0)+IF(Proyecto!$D$12=Catalogo!$C14,$AQ$4,0)+SUMIF($C$49:$C$58,Catalogo!$C14,$K$49:$K$58))</f>
        <v>2</v>
      </c>
      <c r="BD14">
        <f>IFERROR(MATCH(2,$AE$13:$AE$42,0),"")</f>
        <v>12</v>
      </c>
      <c r="BE14" t="str">
        <f t="shared" si="4"/>
        <v>1A-AB</v>
      </c>
      <c r="BF14">
        <f t="shared" si="5"/>
        <v>24</v>
      </c>
      <c r="BG14">
        <f t="shared" si="6"/>
        <v>1</v>
      </c>
      <c r="BH14">
        <f>SUM($BG$13:$BG13)</f>
        <v>1</v>
      </c>
      <c r="BI14" t="str">
        <f t="shared" si="7"/>
        <v/>
      </c>
      <c r="BJ14" cm="1">
        <f t="array" ref="BJ14">IF($BD14="",0,IF(ISNUMBER(SEARCH(":",$BI14)),MIN($BF14,SUM(--MID(_xlfn.TEXTSPLIT($BI14,","),FIND(":",_xlfn.TEXTSPLIT($BI14,","))+1,9))),IF(INDEX($N$13:$N$42,$BD14)="",$BF14,MIN($BF14,N(INDEX($N$13:$N$42,$BD14))))))</f>
        <v>24</v>
      </c>
      <c r="BL14">
        <f>IF(2&gt;$BK$12,"",MATCH(1,$BH$13:$BH$28,1))</f>
        <v>2</v>
      </c>
      <c r="BM14">
        <f>IF($BL14="",0,(1-INDEX($BH$13:$BH$28,$BL14))*24)</f>
        <v>0</v>
      </c>
      <c r="BN14" t="str">
        <f t="shared" si="8"/>
        <v>1A-AB</v>
      </c>
      <c r="BO14">
        <f t="shared" si="9"/>
        <v>24</v>
      </c>
      <c r="BP14" t="str">
        <f t="shared" si="10"/>
        <v/>
      </c>
      <c r="BQ14">
        <f t="shared" si="11"/>
        <v>24</v>
      </c>
      <c r="BR14">
        <f>COUNTIF($CB$72:$CB$95,"?*")</f>
        <v>0</v>
      </c>
      <c r="BS14">
        <f>SUMIF($BL$13:$BL$28,2,$BR$13:$BR$28)</f>
        <v>0</v>
      </c>
      <c r="CL14">
        <f>IF($C14="",0,N(IFERROR(INDEX(Catalogo!$N$6:$N$125,MATCH($C14,Catalogo!$C$6:$C$125,0)),0)))</f>
        <v>0</v>
      </c>
      <c r="CM14">
        <f>IF($C14="",0,N(IFERROR(INDEX(Catalogo!$P$6:$P$125,MATCH($C14,Catalogo!$C$6:$C$125,0)),0)))</f>
        <v>3</v>
      </c>
      <c r="CN14">
        <f>IF($C14="",0,N(IFERROR(INDEX(Catalogo!$Q$6:$Q$125,MATCH($C14,Catalogo!$C$6:$C$125,0)),0)))</f>
        <v>0</v>
      </c>
      <c r="CO14">
        <f>IF($C14="",0,IF(OR($AD14="Espacio libre",$AD14="Espacio reservado"),0,IF(IFERROR(INDEX(Catalogo!$N$6:$N$125,MATCH($C14,Catalogo!$C$6:$C$125,0))="",TRUE),1,0)))</f>
        <v>0</v>
      </c>
    </row>
    <row r="15" spans="2:93" ht="14" customHeight="1" x14ac:dyDescent="0.45">
      <c r="B15" s="9">
        <v>3</v>
      </c>
      <c r="C15" s="47" t="s">
        <v>327</v>
      </c>
      <c r="D15" s="38"/>
      <c r="E15" s="39"/>
      <c r="F15" s="48" t="str">
        <f>IF($C15="","",IFERROR(INDEX(Catalogo!$E$6:$E$125,MATCH($C15,Catalogo!$C$6:$C$125,0)),""))</f>
        <v>TLBP1S-V</v>
      </c>
      <c r="G15" s="39"/>
      <c r="H15" s="9">
        <f>IF($C15="","",N(IFERROR(INDEX(Catalogo!$F$6:$F$125,MATCH($C15,Catalogo!$C$6:$C$125,0)),"")))</f>
        <v>1</v>
      </c>
      <c r="I15" s="9" t="str">
        <f>IF($AD15&lt;&gt;"Patch panel cobre","",IFERROR(INDEX(Catalogo!$G$6:$G$125,MATCH($C15,Catalogo!$C$6:$C$125,0)),""))</f>
        <v/>
      </c>
      <c r="J15" s="9">
        <f>IF(OR($C15="",$H15=0),"",$AR$5-SUM($H$13:H14))</f>
        <v>43</v>
      </c>
      <c r="K15" s="9">
        <f t="shared" si="0"/>
        <v>43</v>
      </c>
      <c r="L15" s="9" t="str">
        <f t="shared" si="1"/>
        <v/>
      </c>
      <c r="M15" s="6"/>
      <c r="N15" s="6"/>
      <c r="O15" s="12" t="str">
        <f t="shared" si="2"/>
        <v/>
      </c>
      <c r="P15" s="37"/>
      <c r="Q15" s="39"/>
      <c r="R15" s="40"/>
      <c r="S15" s="13">
        <v>43</v>
      </c>
      <c r="T15" s="49" t="str">
        <f>IF($AM15=0,"",IF(INDEX($J$13:$J$42,$AM15)=43,INDEX($AH$13:$AH$42,$AM15),""))</f>
        <v>Tapa ciega 1RU sin herramienta</v>
      </c>
      <c r="U15" s="38"/>
      <c r="V15" s="39"/>
      <c r="W15" s="13">
        <v>43</v>
      </c>
      <c r="X15" s="40"/>
      <c r="AD15" t="str">
        <f>IF($C15="","",IFERROR(INDEX(Catalogo!$B$6:$B$125,MATCH($C15,Catalogo!$C$6:$C$125,0)),""))</f>
        <v>Tapa ciega</v>
      </c>
      <c r="AE15" t="str">
        <f>IF($AD15="Patch panel cobre",COUNTIF($AD$13:$AD15,"Patch panel cobre"),"")</f>
        <v/>
      </c>
      <c r="AH15" t="str">
        <f t="shared" si="3"/>
        <v>Tapa ciega 1RU sin herramienta</v>
      </c>
      <c r="AM15">
        <f>IFERROR(MATCH(1,INDEX(($K$13:$K$42&lt;=43)*($J$13:$J$42&gt;=43),0),0),0)</f>
        <v>3</v>
      </c>
      <c r="AN15" t="str">
        <f>IF(43&gt;$AR$5,"Fuera",IF($AM15=0,"",INDEX($AD$13:$AD$42,$AM15)))</f>
        <v>Tapa ciega</v>
      </c>
      <c r="BA15">
        <f>IF(OR(Catalogo!$C15="",Catalogo!$B15="Espacio libre",Catalogo!$B15="Espacio reservado"),0,COUNTIF($C$13:$C$42,Catalogo!$C15)+IF($E$7=Catalogo!$C15,N($K$7),0)+IF($E$8=Catalogo!$C15,N($N$8),0)+IF(Proyecto!$D$12=Catalogo!$C15,$AQ$4,0)+SUMIF($C$49:$C$58,Catalogo!$C15,$K$49:$K$58))</f>
        <v>0</v>
      </c>
      <c r="BD15">
        <f>IFERROR(MATCH(3,$AE$13:$AE$42,0),"")</f>
        <v>16</v>
      </c>
      <c r="BE15" t="str">
        <f t="shared" si="4"/>
        <v>1A-AC</v>
      </c>
      <c r="BF15">
        <f t="shared" si="5"/>
        <v>24</v>
      </c>
      <c r="BG15">
        <f t="shared" si="6"/>
        <v>1</v>
      </c>
      <c r="BH15">
        <f>SUM($BG$13:$BG14)</f>
        <v>2</v>
      </c>
      <c r="BI15" t="str">
        <f t="shared" si="7"/>
        <v/>
      </c>
      <c r="BJ15" cm="1">
        <f t="array" ref="BJ15">IF($BD15="",0,IF(ISNUMBER(SEARCH(":",$BI15)),MIN($BF15,SUM(--MID(_xlfn.TEXTSPLIT($BI15,","),FIND(":",_xlfn.TEXTSPLIT($BI15,","))+1,9))),IF(INDEX($N$13:$N$42,$BD15)="",$BF15,MIN($BF15,N(INDEX($N$13:$N$42,$BD15))))))</f>
        <v>24</v>
      </c>
      <c r="BL15">
        <f>IF(3&gt;$BK$12,"",MATCH(2,$BH$13:$BH$28,1))</f>
        <v>3</v>
      </c>
      <c r="BM15">
        <f>IF($BL15="",0,(2-INDEX($BH$13:$BH$28,$BL15))*24)</f>
        <v>0</v>
      </c>
      <c r="BN15" t="str">
        <f t="shared" si="8"/>
        <v>1A-AC</v>
      </c>
      <c r="BO15">
        <f t="shared" si="9"/>
        <v>24</v>
      </c>
      <c r="BP15" t="str">
        <f t="shared" si="10"/>
        <v/>
      </c>
      <c r="BQ15">
        <f t="shared" si="11"/>
        <v>24</v>
      </c>
      <c r="BR15">
        <f>COUNTIF($CC$72:$CC$95,"?*")</f>
        <v>0</v>
      </c>
      <c r="BS15">
        <f>SUMIF($BL$13:$BL$28,3,$BR$13:$BR$28)</f>
        <v>0</v>
      </c>
      <c r="CL15">
        <f>IF($C15="",0,N(IFERROR(INDEX(Catalogo!$N$6:$N$125,MATCH($C15,Catalogo!$C$6:$C$125,0)),0)))</f>
        <v>0</v>
      </c>
      <c r="CM15">
        <f>IF($C15="",0,N(IFERROR(INDEX(Catalogo!$P$6:$P$125,MATCH($C15,Catalogo!$C$6:$C$125,0)),0)))</f>
        <v>0</v>
      </c>
      <c r="CN15">
        <f>IF($C15="",0,N(IFERROR(INDEX(Catalogo!$Q$6:$Q$125,MATCH($C15,Catalogo!$C$6:$C$125,0)),0)))</f>
        <v>0</v>
      </c>
      <c r="CO15">
        <f>IF($C15="",0,IF(OR($AD15="Espacio libre",$AD15="Espacio reservado"),0,IF(IFERROR(INDEX(Catalogo!$N$6:$N$125,MATCH($C15,Catalogo!$C$6:$C$125,0))="",TRUE),1,0)))</f>
        <v>0</v>
      </c>
    </row>
    <row r="16" spans="2:93" ht="14" customHeight="1" x14ac:dyDescent="0.45">
      <c r="B16" s="9">
        <v>4</v>
      </c>
      <c r="C16" s="47" t="s">
        <v>109</v>
      </c>
      <c r="D16" s="38"/>
      <c r="E16" s="39"/>
      <c r="F16" s="48" t="str">
        <f>IF($C16="","",IFERROR(INDEX(Catalogo!$E$6:$E$125,MATCH($C16,Catalogo!$C$6:$C$125,0)),""))</f>
        <v>CPPA24FMWBLY</v>
      </c>
      <c r="G16" s="39"/>
      <c r="H16" s="9">
        <f>IF($C16="","",N(IFERROR(INDEX(Catalogo!$F$6:$F$125,MATCH($C16,Catalogo!$C$6:$C$125,0)),"")))</f>
        <v>1</v>
      </c>
      <c r="I16" s="9">
        <f>IF($AD16&lt;&gt;"Patch panel cobre","",IFERROR(INDEX(Catalogo!$G$6:$G$125,MATCH($C16,Catalogo!$C$6:$C$125,0)),""))</f>
        <v>24</v>
      </c>
      <c r="J16" s="9">
        <f>IF(OR($C16="",$H16=0),"",$AR$5-SUM($H$13:H15))</f>
        <v>42</v>
      </c>
      <c r="K16" s="9">
        <f t="shared" si="0"/>
        <v>42</v>
      </c>
      <c r="L16" s="9" t="str">
        <f t="shared" si="1"/>
        <v>1A-AA</v>
      </c>
      <c r="M16" s="6"/>
      <c r="N16" s="6"/>
      <c r="O16" s="12">
        <f t="shared" si="2"/>
        <v>0</v>
      </c>
      <c r="P16" s="37"/>
      <c r="Q16" s="39"/>
      <c r="R16" s="40"/>
      <c r="S16" s="13">
        <v>42</v>
      </c>
      <c r="T16" s="49" t="str">
        <f>IF($AM16=0,"",IF(INDEX($J$13:$J$42,$AM16)=42,INDEX($AH$13:$AH$42,$AM16),""))</f>
        <v>Patch panel 1A-AA · 24 p</v>
      </c>
      <c r="U16" s="38"/>
      <c r="V16" s="39"/>
      <c r="W16" s="13">
        <v>42</v>
      </c>
      <c r="X16" s="40"/>
      <c r="AD16" t="str">
        <f>IF($C16="","",IFERROR(INDEX(Catalogo!$B$6:$B$125,MATCH($C16,Catalogo!$C$6:$C$125,0)),""))</f>
        <v>Patch panel cobre</v>
      </c>
      <c r="AE16">
        <f>IF($AD16="Patch panel cobre",COUNTIF($AD$13:$AD16,"Patch panel cobre"),"")</f>
        <v>1</v>
      </c>
      <c r="AH16" t="str">
        <f t="shared" si="3"/>
        <v>Patch panel 1A-AA · 24 p</v>
      </c>
      <c r="AM16">
        <f>IFERROR(MATCH(1,INDEX(($K$13:$K$42&lt;=42)*($J$13:$J$42&gt;=42),0),0),0)</f>
        <v>4</v>
      </c>
      <c r="AN16" t="str">
        <f>IF(42&gt;$AR$5,"Fuera",IF($AM16=0,"",INDEX($AD$13:$AD$42,$AM16)))</f>
        <v>Patch panel cobre</v>
      </c>
      <c r="AQ16">
        <f>IF(OR(Proyecto!$C16="",Proyecto!$C16="-"),0,COUNTIF($CA$72:$CA$95,Proyecto!$C16)+COUNTIF($CB$72:$CB$95,Proyecto!$C16)+COUNTIF($CC$72:$CC$95,Proyecto!$C16)+COUNTIF($CD$72:$CD$95,Proyecto!$C16)+COUNTIF($CA$100:$CA$123,Proyecto!$C16)+COUNTIF($CB$100:$CB$123,Proyecto!$C16)+COUNTIF($CC$100:$CC$123,Proyecto!$C16)+COUNTIF($CD$100:$CD$123,Proyecto!$C16)+COUNTIF($CA$128:$CA$151,Proyecto!$C16)+COUNTIF($CB$128:$CB$151,Proyecto!$C16)+COUNTIF($CC$128:$CC$151,Proyecto!$C16)+COUNTIF($CD$128:$CD$151,Proyecto!$C16)+COUNTIF($CA$156:$CA$179,Proyecto!$C16)+COUNTIF($CB$156:$CB$179,Proyecto!$C16)+COUNTIF($CC$156:$CC$179,Proyecto!$C16)+COUNTIF($CD$156:$CD$179,Proyecto!$C16))</f>
        <v>0</v>
      </c>
      <c r="BA16">
        <f>IF(OR(Catalogo!$C16="",Catalogo!$B16="Espacio libre",Catalogo!$B16="Espacio reservado"),0,COUNTIF($C$13:$C$42,Catalogo!$C16)+IF($E$7=Catalogo!$C16,N($K$7),0)+IF($E$8=Catalogo!$C16,N($N$8),0)+IF(Proyecto!$D$12=Catalogo!$C16,$AQ$4,0)+SUMIF($C$49:$C$58,Catalogo!$C16,$K$49:$K$58))</f>
        <v>0</v>
      </c>
      <c r="BD16">
        <f>IFERROR(MATCH(4,$AE$13:$AE$42,0),"")</f>
        <v>19</v>
      </c>
      <c r="BE16" t="str">
        <f t="shared" si="4"/>
        <v>1A-AD</v>
      </c>
      <c r="BF16">
        <f t="shared" si="5"/>
        <v>24</v>
      </c>
      <c r="BG16">
        <f t="shared" si="6"/>
        <v>1</v>
      </c>
      <c r="BH16">
        <f>SUM($BG$13:$BG15)</f>
        <v>3</v>
      </c>
      <c r="BI16" t="str">
        <f t="shared" si="7"/>
        <v/>
      </c>
      <c r="BJ16" cm="1">
        <f t="array" ref="BJ16">IF($BD16="",0,IF(ISNUMBER(SEARCH(":",$BI16)),MIN($BF16,SUM(--MID(_xlfn.TEXTSPLIT($BI16,","),FIND(":",_xlfn.TEXTSPLIT($BI16,","))+1,9))),IF(INDEX($N$13:$N$42,$BD16)="",$BF16,MIN($BF16,N(INDEX($N$13:$N$42,$BD16))))))</f>
        <v>24</v>
      </c>
      <c r="BL16">
        <f>IF(4&gt;$BK$12,"",MATCH(3,$BH$13:$BH$28,1))</f>
        <v>4</v>
      </c>
      <c r="BM16">
        <f>IF($BL16="",0,(3-INDEX($BH$13:$BH$28,$BL16))*24)</f>
        <v>0</v>
      </c>
      <c r="BN16" t="str">
        <f t="shared" si="8"/>
        <v>1A-AD</v>
      </c>
      <c r="BO16">
        <f t="shared" si="9"/>
        <v>24</v>
      </c>
      <c r="BP16" t="str">
        <f t="shared" si="10"/>
        <v/>
      </c>
      <c r="BQ16">
        <f t="shared" si="11"/>
        <v>24</v>
      </c>
      <c r="BR16">
        <f>COUNTIF($CD$72:$CD$95,"?*")</f>
        <v>0</v>
      </c>
      <c r="BS16">
        <f>SUMIF($BL$13:$BL$28,4,$BR$13:$BR$28)</f>
        <v>0</v>
      </c>
      <c r="CL16">
        <f>IF($C16="",0,N(IFERROR(INDEX(Catalogo!$N$6:$N$125,MATCH($C16,Catalogo!$C$6:$C$125,0)),0)))</f>
        <v>0</v>
      </c>
      <c r="CM16">
        <f>IF($C16="",0,N(IFERROR(INDEX(Catalogo!$P$6:$P$125,MATCH($C16,Catalogo!$C$6:$C$125,0)),0)))</f>
        <v>1</v>
      </c>
      <c r="CN16">
        <f>IF($C16="",0,N(IFERROR(INDEX(Catalogo!$Q$6:$Q$125,MATCH($C16,Catalogo!$C$6:$C$125,0)),0)))</f>
        <v>0</v>
      </c>
      <c r="CO16">
        <f>IF($C16="",0,IF(OR($AD16="Espacio libre",$AD16="Espacio reservado"),0,IF(IFERROR(INDEX(Catalogo!$N$6:$N$125,MATCH($C16,Catalogo!$C$6:$C$125,0))="",TRUE),1,0)))</f>
        <v>0</v>
      </c>
    </row>
    <row r="17" spans="2:93" ht="14" customHeight="1" x14ac:dyDescent="0.45">
      <c r="B17" s="9">
        <v>5</v>
      </c>
      <c r="C17" s="47" t="s">
        <v>344</v>
      </c>
      <c r="D17" s="38"/>
      <c r="E17" s="39"/>
      <c r="F17" s="48" t="str">
        <f>IF($C17="","",IFERROR(INDEX(Catalogo!$E$6:$E$125,MATCH($C17,Catalogo!$C$6:$C$125,0)),""))</f>
        <v>—</v>
      </c>
      <c r="G17" s="39"/>
      <c r="H17" s="9">
        <f>IF($C17="","",N(IFERROR(INDEX(Catalogo!$F$6:$F$125,MATCH($C17,Catalogo!$C$6:$C$125,0)),"")))</f>
        <v>1</v>
      </c>
      <c r="I17" s="9" t="str">
        <f>IF($AD17&lt;&gt;"Patch panel cobre","",IFERROR(INDEX(Catalogo!$G$6:$G$125,MATCH($C17,Catalogo!$C$6:$C$125,0)),""))</f>
        <v/>
      </c>
      <c r="J17" s="9">
        <f>IF(OR($C17="",$H17=0),"",$AR$5-SUM($H$13:H16))</f>
        <v>41</v>
      </c>
      <c r="K17" s="9">
        <f t="shared" si="0"/>
        <v>41</v>
      </c>
      <c r="L17" s="9" t="str">
        <f t="shared" si="1"/>
        <v/>
      </c>
      <c r="M17" s="6"/>
      <c r="N17" s="6"/>
      <c r="O17" s="12" t="str">
        <f t="shared" si="2"/>
        <v/>
      </c>
      <c r="P17" s="37"/>
      <c r="Q17" s="39"/>
      <c r="R17" s="40"/>
      <c r="S17" s="13">
        <v>41</v>
      </c>
      <c r="T17" s="49" t="str">
        <f>IF($AM17=0,"",IF(INDEX($J$13:$J$42,$AM17)=41,INDEX($AH$13:$AH$42,$AM17),""))</f>
        <v>Espacio para switch 24 puertos 1RU</v>
      </c>
      <c r="U17" s="38"/>
      <c r="V17" s="39"/>
      <c r="W17" s="13">
        <v>41</v>
      </c>
      <c r="X17" s="40"/>
      <c r="AD17" t="str">
        <f>IF($C17="","",IFERROR(INDEX(Catalogo!$B$6:$B$125,MATCH($C17,Catalogo!$C$6:$C$125,0)),""))</f>
        <v>Espacio reservado</v>
      </c>
      <c r="AE17" t="str">
        <f>IF($AD17="Patch panel cobre",COUNTIF($AD$13:$AD17,"Patch panel cobre"),"")</f>
        <v/>
      </c>
      <c r="AH17" t="str">
        <f t="shared" si="3"/>
        <v>Espacio para switch 24 puertos 1RU</v>
      </c>
      <c r="AM17">
        <f>IFERROR(MATCH(1,INDEX(($K$13:$K$42&lt;=41)*($J$13:$J$42&gt;=41),0),0),0)</f>
        <v>5</v>
      </c>
      <c r="AN17" t="str">
        <f>IF(41&gt;$AR$5,"Fuera",IF($AM17=0,"",INDEX($AD$13:$AD$42,$AM17)))</f>
        <v>Espacio reservado</v>
      </c>
      <c r="AQ17">
        <f>IF(OR(Proyecto!$C17="",Proyecto!$C17="-"),0,COUNTIF($CA$72:$CA$95,Proyecto!$C17)+COUNTIF($CB$72:$CB$95,Proyecto!$C17)+COUNTIF($CC$72:$CC$95,Proyecto!$C17)+COUNTIF($CD$72:$CD$95,Proyecto!$C17)+COUNTIF($CA$100:$CA$123,Proyecto!$C17)+COUNTIF($CB$100:$CB$123,Proyecto!$C17)+COUNTIF($CC$100:$CC$123,Proyecto!$C17)+COUNTIF($CD$100:$CD$123,Proyecto!$C17)+COUNTIF($CA$128:$CA$151,Proyecto!$C17)+COUNTIF($CB$128:$CB$151,Proyecto!$C17)+COUNTIF($CC$128:$CC$151,Proyecto!$C17)+COUNTIF($CD$128:$CD$151,Proyecto!$C17)+COUNTIF($CA$156:$CA$179,Proyecto!$C17)+COUNTIF($CB$156:$CB$179,Proyecto!$C17)+COUNTIF($CC$156:$CC$179,Proyecto!$C17)+COUNTIF($CD$156:$CD$179,Proyecto!$C17))</f>
        <v>0</v>
      </c>
      <c r="BA17">
        <f>IF(OR(Catalogo!$C17="",Catalogo!$B17="Espacio libre",Catalogo!$B17="Espacio reservado"),0,COUNTIF($C$13:$C$42,Catalogo!$C17)+IF($E$7=Catalogo!$C17,N($K$7),0)+IF($E$8=Catalogo!$C17,N($N$8),0)+IF(Proyecto!$D$12=Catalogo!$C17,$AQ$4,0)+SUMIF($C$49:$C$58,Catalogo!$C17,$K$49:$K$58))</f>
        <v>0</v>
      </c>
      <c r="BD17" t="str">
        <f>IFERROR(MATCH(5,$AE$13:$AE$42,0),"")</f>
        <v/>
      </c>
      <c r="BE17" t="str">
        <f t="shared" si="4"/>
        <v/>
      </c>
      <c r="BF17">
        <f t="shared" si="5"/>
        <v>0</v>
      </c>
      <c r="BG17">
        <f t="shared" si="6"/>
        <v>0</v>
      </c>
      <c r="BH17">
        <f>SUM($BG$13:$BG16)</f>
        <v>4</v>
      </c>
      <c r="BI17" t="str">
        <f t="shared" si="7"/>
        <v/>
      </c>
      <c r="BJ17" cm="1">
        <f t="array" ref="BJ17">IF($BD17="",0,IF(ISNUMBER(SEARCH(":",$BI17)),MIN($BF17,SUM(--MID(_xlfn.TEXTSPLIT($BI17,","),FIND(":",_xlfn.TEXTSPLIT($BI17,","))+1,9))),IF(INDEX($N$13:$N$42,$BD17)="",$BF17,MIN($BF17,N(INDEX($N$13:$N$42,$BD17))))))</f>
        <v>0</v>
      </c>
      <c r="BL17" t="str">
        <f>IF(5&gt;$BK$12,"",MATCH(4,$BH$13:$BH$28,1))</f>
        <v/>
      </c>
      <c r="BM17">
        <f>IF($BL17="",0,(4-INDEX($BH$13:$BH$28,$BL17))*24)</f>
        <v>0</v>
      </c>
      <c r="BN17" t="str">
        <f t="shared" si="8"/>
        <v/>
      </c>
      <c r="BO17">
        <f t="shared" si="9"/>
        <v>0</v>
      </c>
      <c r="BP17" t="str">
        <f t="shared" si="10"/>
        <v/>
      </c>
      <c r="BQ17">
        <f t="shared" si="11"/>
        <v>0</v>
      </c>
      <c r="BR17">
        <f>COUNTIF($CA$100:$CA$123,"?*")</f>
        <v>0</v>
      </c>
      <c r="BS17">
        <f>SUMIF($BL$13:$BL$28,5,$BR$13:$BR$28)</f>
        <v>0</v>
      </c>
      <c r="CL17">
        <f>IF($C17="",0,N(IFERROR(INDEX(Catalogo!$N$6:$N$125,MATCH($C17,Catalogo!$C$6:$C$125,0)),0)))</f>
        <v>0</v>
      </c>
      <c r="CM17">
        <f>IF($C17="",0,N(IFERROR(INDEX(Catalogo!$P$6:$P$125,MATCH($C17,Catalogo!$C$6:$C$125,0)),0)))</f>
        <v>0</v>
      </c>
      <c r="CN17">
        <f>IF($C17="",0,N(IFERROR(INDEX(Catalogo!$Q$6:$Q$125,MATCH($C17,Catalogo!$C$6:$C$125,0)),0)))</f>
        <v>0</v>
      </c>
      <c r="CO17">
        <f>IF($C17="",0,IF(OR($AD17="Espacio libre",$AD17="Espacio reservado"),0,IF(IFERROR(INDEX(Catalogo!$N$6:$N$125,MATCH($C17,Catalogo!$C$6:$C$125,0))="",TRUE),1,0)))</f>
        <v>0</v>
      </c>
    </row>
    <row r="18" spans="2:93" ht="14" customHeight="1" x14ac:dyDescent="0.45">
      <c r="B18" s="9">
        <v>6</v>
      </c>
      <c r="C18" s="47" t="s">
        <v>336</v>
      </c>
      <c r="D18" s="38"/>
      <c r="E18" s="39"/>
      <c r="F18" s="48" t="str">
        <f>IF($C18="","",IFERROR(INDEX(Catalogo!$E$6:$E$125,MATCH($C18,Catalogo!$C$6:$C$125,0)),""))</f>
        <v>WMPH2E</v>
      </c>
      <c r="G18" s="39"/>
      <c r="H18" s="9">
        <f>IF($C18="","",N(IFERROR(INDEX(Catalogo!$F$6:$F$125,MATCH($C18,Catalogo!$C$6:$C$125,0)),"")))</f>
        <v>2</v>
      </c>
      <c r="I18" s="9" t="str">
        <f>IF($AD18&lt;&gt;"Patch panel cobre","",IFERROR(INDEX(Catalogo!$G$6:$G$125,MATCH($C18,Catalogo!$C$6:$C$125,0)),""))</f>
        <v/>
      </c>
      <c r="J18" s="9">
        <f>IF(OR($C18="",$H18=0),"",$AR$5-SUM($H$13:H17))</f>
        <v>40</v>
      </c>
      <c r="K18" s="9">
        <f t="shared" si="0"/>
        <v>39</v>
      </c>
      <c r="L18" s="9" t="str">
        <f t="shared" si="1"/>
        <v/>
      </c>
      <c r="M18" s="6"/>
      <c r="N18" s="6"/>
      <c r="O18" s="12" t="str">
        <f t="shared" si="2"/>
        <v/>
      </c>
      <c r="P18" s="37" t="s">
        <v>120</v>
      </c>
      <c r="Q18" s="39"/>
      <c r="R18" s="40"/>
      <c r="S18" s="13">
        <v>40</v>
      </c>
      <c r="T18" s="49" t="str">
        <f>IF($AM18=0,"",IF(INDEX($J$13:$J$42,$AM18)=40,INDEX($AH$13:$AH$42,$AM18),""))</f>
        <v>Org. horizontal 2RU frontal/posterior con radio de curvatura (NetRunner)</v>
      </c>
      <c r="U18" s="38"/>
      <c r="V18" s="39"/>
      <c r="W18" s="13">
        <v>40</v>
      </c>
      <c r="X18" s="40"/>
      <c r="AD18" t="str">
        <f>IF($C18="","",IFERROR(INDEX(Catalogo!$B$6:$B$125,MATCH($C18,Catalogo!$C$6:$C$125,0)),""))</f>
        <v>Organizador horizontal</v>
      </c>
      <c r="AE18" t="str">
        <f>IF($AD18="Patch panel cobre",COUNTIF($AD$13:$AD18,"Patch panel cobre"),"")</f>
        <v/>
      </c>
      <c r="AH18" t="str">
        <f t="shared" si="3"/>
        <v>Org. horizontal 2RU frontal/posterior con radio de curvatura (NetRunner)</v>
      </c>
      <c r="AM18">
        <f>IFERROR(MATCH(1,INDEX(($K$13:$K$42&lt;=40)*($J$13:$J$42&gt;=40),0),0),0)</f>
        <v>6</v>
      </c>
      <c r="AN18" t="str">
        <f>IF(40&gt;$AR$5,"Fuera",IF($AM18=0,"",INDEX($AD$13:$AD$42,$AM18)))</f>
        <v>Organizador horizontal</v>
      </c>
      <c r="AQ18">
        <f>IF(OR(Proyecto!$C18="",Proyecto!$C18="-"),0,COUNTIF($CA$72:$CA$95,Proyecto!$C18)+COUNTIF($CB$72:$CB$95,Proyecto!$C18)+COUNTIF($CC$72:$CC$95,Proyecto!$C18)+COUNTIF($CD$72:$CD$95,Proyecto!$C18)+COUNTIF($CA$100:$CA$123,Proyecto!$C18)+COUNTIF($CB$100:$CB$123,Proyecto!$C18)+COUNTIF($CC$100:$CC$123,Proyecto!$C18)+COUNTIF($CD$100:$CD$123,Proyecto!$C18)+COUNTIF($CA$128:$CA$151,Proyecto!$C18)+COUNTIF($CB$128:$CB$151,Proyecto!$C18)+COUNTIF($CC$128:$CC$151,Proyecto!$C18)+COUNTIF($CD$128:$CD$151,Proyecto!$C18)+COUNTIF($CA$156:$CA$179,Proyecto!$C18)+COUNTIF($CB$156:$CB$179,Proyecto!$C18)+COUNTIF($CC$156:$CC$179,Proyecto!$C18)+COUNTIF($CD$156:$CD$179,Proyecto!$C18))</f>
        <v>0</v>
      </c>
      <c r="BA18">
        <f>IF(OR(Catalogo!$C18="",Catalogo!$B18="Espacio libre",Catalogo!$B18="Espacio reservado"),0,COUNTIF($C$13:$C$42,Catalogo!$C18)+IF($E$7=Catalogo!$C18,N($K$7),0)+IF($E$8=Catalogo!$C18,N($N$8),0)+IF(Proyecto!$D$12=Catalogo!$C18,$AQ$4,0)+SUMIF($C$49:$C$58,Catalogo!$C18,$K$49:$K$58))</f>
        <v>0</v>
      </c>
      <c r="BD18" t="str">
        <f>IFERROR(MATCH(6,$AE$13:$AE$42,0),"")</f>
        <v/>
      </c>
      <c r="BE18" t="str">
        <f t="shared" si="4"/>
        <v/>
      </c>
      <c r="BF18">
        <f t="shared" si="5"/>
        <v>0</v>
      </c>
      <c r="BG18">
        <f t="shared" si="6"/>
        <v>0</v>
      </c>
      <c r="BH18">
        <f>SUM($BG$13:$BG17)</f>
        <v>4</v>
      </c>
      <c r="BI18" t="str">
        <f t="shared" si="7"/>
        <v/>
      </c>
      <c r="BJ18" cm="1">
        <f t="array" ref="BJ18">IF($BD18="",0,IF(ISNUMBER(SEARCH(":",$BI18)),MIN($BF18,SUM(--MID(_xlfn.TEXTSPLIT($BI18,","),FIND(":",_xlfn.TEXTSPLIT($BI18,","))+1,9))),IF(INDEX($N$13:$N$42,$BD18)="",$BF18,MIN($BF18,N(INDEX($N$13:$N$42,$BD18))))))</f>
        <v>0</v>
      </c>
      <c r="BL18" t="str">
        <f>IF(6&gt;$BK$12,"",MATCH(5,$BH$13:$BH$28,1))</f>
        <v/>
      </c>
      <c r="BM18">
        <f>IF($BL18="",0,(5-INDEX($BH$13:$BH$28,$BL18))*24)</f>
        <v>0</v>
      </c>
      <c r="BN18" t="str">
        <f t="shared" si="8"/>
        <v/>
      </c>
      <c r="BO18">
        <f t="shared" si="9"/>
        <v>0</v>
      </c>
      <c r="BP18" t="str">
        <f t="shared" si="10"/>
        <v/>
      </c>
      <c r="BQ18">
        <f t="shared" si="11"/>
        <v>0</v>
      </c>
      <c r="BR18">
        <f>COUNTIF($CB$100:$CB$123,"?*")</f>
        <v>0</v>
      </c>
      <c r="BS18">
        <f>SUMIF($BL$13:$BL$28,6,$BR$13:$BR$28)</f>
        <v>0</v>
      </c>
      <c r="CL18">
        <f>IF($C18="",0,N(IFERROR(INDEX(Catalogo!$N$6:$N$125,MATCH($C18,Catalogo!$C$6:$C$125,0)),0)))</f>
        <v>0</v>
      </c>
      <c r="CM18">
        <f>IF($C18="",0,N(IFERROR(INDEX(Catalogo!$P$6:$P$125,MATCH($C18,Catalogo!$C$6:$C$125,0)),0)))</f>
        <v>2</v>
      </c>
      <c r="CN18">
        <f>IF($C18="",0,N(IFERROR(INDEX(Catalogo!$Q$6:$Q$125,MATCH($C18,Catalogo!$C$6:$C$125,0)),0)))</f>
        <v>0</v>
      </c>
      <c r="CO18">
        <f>IF($C18="",0,IF(OR($AD18="Espacio libre",$AD18="Espacio reservado"),0,IF(IFERROR(INDEX(Catalogo!$N$6:$N$125,MATCH($C18,Catalogo!$C$6:$C$125,0))="",TRUE),1,0)))</f>
        <v>0</v>
      </c>
    </row>
    <row r="19" spans="2:93" ht="14" customHeight="1" x14ac:dyDescent="0.45">
      <c r="B19" s="9">
        <v>7</v>
      </c>
      <c r="C19" s="47" t="s">
        <v>347</v>
      </c>
      <c r="D19" s="38"/>
      <c r="E19" s="39"/>
      <c r="F19" s="48" t="str">
        <f>IF($C19="","",IFERROR(INDEX(Catalogo!$E$6:$E$125,MATCH($C19,Catalogo!$C$6:$C$125,0)),""))</f>
        <v>—</v>
      </c>
      <c r="G19" s="39"/>
      <c r="H19" s="9">
        <f>IF($C19="","",N(IFERROR(INDEX(Catalogo!$F$6:$F$125,MATCH($C19,Catalogo!$C$6:$C$125,0)),"")))</f>
        <v>1</v>
      </c>
      <c r="I19" s="9" t="str">
        <f>IF($AD19&lt;&gt;"Patch panel cobre","",IFERROR(INDEX(Catalogo!$G$6:$G$125,MATCH($C19,Catalogo!$C$6:$C$125,0)),""))</f>
        <v/>
      </c>
      <c r="J19" s="9">
        <f>IF(OR($C19="",$H19=0),"",$AR$5-SUM($H$13:H18))</f>
        <v>38</v>
      </c>
      <c r="K19" s="9">
        <f t="shared" si="0"/>
        <v>38</v>
      </c>
      <c r="L19" s="9" t="str">
        <f t="shared" si="1"/>
        <v/>
      </c>
      <c r="M19" s="6"/>
      <c r="N19" s="6"/>
      <c r="O19" s="12" t="str">
        <f t="shared" si="2"/>
        <v/>
      </c>
      <c r="P19" s="37"/>
      <c r="Q19" s="39"/>
      <c r="R19" s="40"/>
      <c r="S19" s="13">
        <v>39</v>
      </c>
      <c r="T19" s="49" t="str">
        <f>IF($AM19=0,"",IF(INDEX($J$13:$J$42,$AM19)=39,INDEX($AH$13:$AH$42,$AM19),""))</f>
        <v/>
      </c>
      <c r="U19" s="38"/>
      <c r="V19" s="39"/>
      <c r="W19" s="13">
        <v>39</v>
      </c>
      <c r="X19" s="40"/>
      <c r="AD19" t="str">
        <f>IF($C19="","",IFERROR(INDEX(Catalogo!$B$6:$B$125,MATCH($C19,Catalogo!$C$6:$C$125,0)),""))</f>
        <v>Espacio reservado</v>
      </c>
      <c r="AE19" t="str">
        <f>IF($AD19="Patch panel cobre",COUNTIF($AD$13:$AD19,"Patch panel cobre"),"")</f>
        <v/>
      </c>
      <c r="AH19" t="str">
        <f t="shared" si="3"/>
        <v>Espacio para fibra del proveedor (ICE) 1RU</v>
      </c>
      <c r="AM19">
        <f>IFERROR(MATCH(1,INDEX(($K$13:$K$42&lt;=39)*($J$13:$J$42&gt;=39),0),0),0)</f>
        <v>6</v>
      </c>
      <c r="AN19" t="str">
        <f>IF(39&gt;$AR$5,"Fuera",IF($AM19=0,"",INDEX($AD$13:$AD$42,$AM19)))</f>
        <v>Organizador horizontal</v>
      </c>
      <c r="AQ19">
        <f>IF(OR(Proyecto!$C19="",Proyecto!$C19="-"),0,COUNTIF($CA$72:$CA$95,Proyecto!$C19)+COUNTIF($CB$72:$CB$95,Proyecto!$C19)+COUNTIF($CC$72:$CC$95,Proyecto!$C19)+COUNTIF($CD$72:$CD$95,Proyecto!$C19)+COUNTIF($CA$100:$CA$123,Proyecto!$C19)+COUNTIF($CB$100:$CB$123,Proyecto!$C19)+COUNTIF($CC$100:$CC$123,Proyecto!$C19)+COUNTIF($CD$100:$CD$123,Proyecto!$C19)+COUNTIF($CA$128:$CA$151,Proyecto!$C19)+COUNTIF($CB$128:$CB$151,Proyecto!$C19)+COUNTIF($CC$128:$CC$151,Proyecto!$C19)+COUNTIF($CD$128:$CD$151,Proyecto!$C19)+COUNTIF($CA$156:$CA$179,Proyecto!$C19)+COUNTIF($CB$156:$CB$179,Proyecto!$C19)+COUNTIF($CC$156:$CC$179,Proyecto!$C19)+COUNTIF($CD$156:$CD$179,Proyecto!$C19))</f>
        <v>0</v>
      </c>
      <c r="BA19">
        <f>IF(OR(Catalogo!$C19="",Catalogo!$B19="Espacio libre",Catalogo!$B19="Espacio reservado"),0,COUNTIF($C$13:$C$42,Catalogo!$C19)+IF($E$7=Catalogo!$C19,N($K$7),0)+IF($E$8=Catalogo!$C19,N($N$8),0)+IF(Proyecto!$D$12=Catalogo!$C19,$AQ$4,0)+SUMIF($C$49:$C$58,Catalogo!$C19,$K$49:$K$58))</f>
        <v>0</v>
      </c>
      <c r="BD19" t="str">
        <f>IFERROR(MATCH(7,$AE$13:$AE$42,0),"")</f>
        <v/>
      </c>
      <c r="BE19" t="str">
        <f t="shared" si="4"/>
        <v/>
      </c>
      <c r="BF19">
        <f t="shared" si="5"/>
        <v>0</v>
      </c>
      <c r="BG19">
        <f t="shared" si="6"/>
        <v>0</v>
      </c>
      <c r="BH19">
        <f>SUM($BG$13:$BG18)</f>
        <v>4</v>
      </c>
      <c r="BI19" t="str">
        <f t="shared" si="7"/>
        <v/>
      </c>
      <c r="BJ19" cm="1">
        <f t="array" ref="BJ19">IF($BD19="",0,IF(ISNUMBER(SEARCH(":",$BI19)),MIN($BF19,SUM(--MID(_xlfn.TEXTSPLIT($BI19,","),FIND(":",_xlfn.TEXTSPLIT($BI19,","))+1,9))),IF(INDEX($N$13:$N$42,$BD19)="",$BF19,MIN($BF19,N(INDEX($N$13:$N$42,$BD19))))))</f>
        <v>0</v>
      </c>
      <c r="BL19" t="str">
        <f>IF(7&gt;$BK$12,"",MATCH(6,$BH$13:$BH$28,1))</f>
        <v/>
      </c>
      <c r="BM19">
        <f>IF($BL19="",0,(6-INDEX($BH$13:$BH$28,$BL19))*24)</f>
        <v>0</v>
      </c>
      <c r="BN19" t="str">
        <f t="shared" si="8"/>
        <v/>
      </c>
      <c r="BO19">
        <f t="shared" si="9"/>
        <v>0</v>
      </c>
      <c r="BP19" t="str">
        <f t="shared" si="10"/>
        <v/>
      </c>
      <c r="BQ19">
        <f t="shared" si="11"/>
        <v>0</v>
      </c>
      <c r="BR19">
        <f>COUNTIF($CC$100:$CC$123,"?*")</f>
        <v>0</v>
      </c>
      <c r="BS19">
        <f>SUMIF($BL$13:$BL$28,7,$BR$13:$BR$28)</f>
        <v>0</v>
      </c>
      <c r="CL19">
        <f>IF($C19="",0,N(IFERROR(INDEX(Catalogo!$N$6:$N$125,MATCH($C19,Catalogo!$C$6:$C$125,0)),0)))</f>
        <v>0</v>
      </c>
      <c r="CM19">
        <f>IF($C19="",0,N(IFERROR(INDEX(Catalogo!$P$6:$P$125,MATCH($C19,Catalogo!$C$6:$C$125,0)),0)))</f>
        <v>0</v>
      </c>
      <c r="CN19">
        <f>IF($C19="",0,N(IFERROR(INDEX(Catalogo!$Q$6:$Q$125,MATCH($C19,Catalogo!$C$6:$C$125,0)),0)))</f>
        <v>0</v>
      </c>
      <c r="CO19">
        <f>IF($C19="",0,IF(OR($AD19="Espacio libre",$AD19="Espacio reservado"),0,IF(IFERROR(INDEX(Catalogo!$N$6:$N$125,MATCH($C19,Catalogo!$C$6:$C$125,0))="",TRUE),1,0)))</f>
        <v>0</v>
      </c>
    </row>
    <row r="20" spans="2:93" ht="14" customHeight="1" x14ac:dyDescent="0.45">
      <c r="B20" s="9">
        <v>8</v>
      </c>
      <c r="C20" s="47" t="s">
        <v>344</v>
      </c>
      <c r="D20" s="38"/>
      <c r="E20" s="39"/>
      <c r="F20" s="48" t="str">
        <f>IF($C20="","",IFERROR(INDEX(Catalogo!$E$6:$E$125,MATCH($C20,Catalogo!$C$6:$C$125,0)),""))</f>
        <v>—</v>
      </c>
      <c r="G20" s="39"/>
      <c r="H20" s="9">
        <f>IF($C20="","",N(IFERROR(INDEX(Catalogo!$F$6:$F$125,MATCH($C20,Catalogo!$C$6:$C$125,0)),"")))</f>
        <v>1</v>
      </c>
      <c r="I20" s="9" t="str">
        <f>IF($AD20&lt;&gt;"Patch panel cobre","",IFERROR(INDEX(Catalogo!$G$6:$G$125,MATCH($C20,Catalogo!$C$6:$C$125,0)),""))</f>
        <v/>
      </c>
      <c r="J20" s="9">
        <f>IF(OR($C20="",$H20=0),"",$AR$5-SUM($H$13:H19))</f>
        <v>37</v>
      </c>
      <c r="K20" s="9">
        <f t="shared" si="0"/>
        <v>37</v>
      </c>
      <c r="L20" s="9" t="str">
        <f t="shared" si="1"/>
        <v/>
      </c>
      <c r="M20" s="6"/>
      <c r="N20" s="6"/>
      <c r="O20" s="12" t="str">
        <f t="shared" si="2"/>
        <v/>
      </c>
      <c r="P20" s="37"/>
      <c r="Q20" s="39"/>
      <c r="R20" s="40"/>
      <c r="S20" s="13">
        <v>38</v>
      </c>
      <c r="T20" s="49" t="str">
        <f>IF($AM20=0,"",IF(INDEX($J$13:$J$42,$AM20)=38,INDEX($AH$13:$AH$42,$AM20),""))</f>
        <v>Espacio para fibra del proveedor (ICE) 1RU</v>
      </c>
      <c r="U20" s="38"/>
      <c r="V20" s="39"/>
      <c r="W20" s="13">
        <v>38</v>
      </c>
      <c r="X20" s="40"/>
      <c r="AD20" t="str">
        <f>IF($C20="","",IFERROR(INDEX(Catalogo!$B$6:$B$125,MATCH($C20,Catalogo!$C$6:$C$125,0)),""))</f>
        <v>Espacio reservado</v>
      </c>
      <c r="AE20" t="str">
        <f>IF($AD20="Patch panel cobre",COUNTIF($AD$13:$AD20,"Patch panel cobre"),"")</f>
        <v/>
      </c>
      <c r="AH20" t="str">
        <f t="shared" si="3"/>
        <v>Espacio para switch 24 puertos 1RU</v>
      </c>
      <c r="AM20">
        <f>IFERROR(MATCH(1,INDEX(($K$13:$K$42&lt;=38)*($J$13:$J$42&gt;=38),0),0),0)</f>
        <v>7</v>
      </c>
      <c r="AN20" t="str">
        <f>IF(38&gt;$AR$5,"Fuera",IF($AM20=0,"",INDEX($AD$13:$AD$42,$AM20)))</f>
        <v>Espacio reservado</v>
      </c>
      <c r="AQ20">
        <f>IF(OR(Proyecto!$C20="",Proyecto!$C20="-"),0,COUNTIF($CA$72:$CA$95,Proyecto!$C20)+COUNTIF($CB$72:$CB$95,Proyecto!$C20)+COUNTIF($CC$72:$CC$95,Proyecto!$C20)+COUNTIF($CD$72:$CD$95,Proyecto!$C20)+COUNTIF($CA$100:$CA$123,Proyecto!$C20)+COUNTIF($CB$100:$CB$123,Proyecto!$C20)+COUNTIF($CC$100:$CC$123,Proyecto!$C20)+COUNTIF($CD$100:$CD$123,Proyecto!$C20)+COUNTIF($CA$128:$CA$151,Proyecto!$C20)+COUNTIF($CB$128:$CB$151,Proyecto!$C20)+COUNTIF($CC$128:$CC$151,Proyecto!$C20)+COUNTIF($CD$128:$CD$151,Proyecto!$C20)+COUNTIF($CA$156:$CA$179,Proyecto!$C20)+COUNTIF($CB$156:$CB$179,Proyecto!$C20)+COUNTIF($CC$156:$CC$179,Proyecto!$C20)+COUNTIF($CD$156:$CD$179,Proyecto!$C20))</f>
        <v>0</v>
      </c>
      <c r="BA20">
        <f>IF(OR(Catalogo!$C20="",Catalogo!$B20="Espacio libre",Catalogo!$B20="Espacio reservado"),0,COUNTIF($C$13:$C$42,Catalogo!$C20)+IF($E$7=Catalogo!$C20,N($K$7),0)+IF($E$8=Catalogo!$C20,N($N$8),0)+IF(Proyecto!$D$12=Catalogo!$C20,$AQ$4,0)+SUMIF($C$49:$C$58,Catalogo!$C20,$K$49:$K$58))</f>
        <v>0</v>
      </c>
      <c r="BD20" t="str">
        <f>IFERROR(MATCH(8,$AE$13:$AE$42,0),"")</f>
        <v/>
      </c>
      <c r="BE20" t="str">
        <f t="shared" si="4"/>
        <v/>
      </c>
      <c r="BF20">
        <f t="shared" si="5"/>
        <v>0</v>
      </c>
      <c r="BG20">
        <f t="shared" si="6"/>
        <v>0</v>
      </c>
      <c r="BH20">
        <f>SUM($BG$13:$BG19)</f>
        <v>4</v>
      </c>
      <c r="BI20" t="str">
        <f t="shared" si="7"/>
        <v/>
      </c>
      <c r="BJ20" cm="1">
        <f t="array" ref="BJ20">IF($BD20="",0,IF(ISNUMBER(SEARCH(":",$BI20)),MIN($BF20,SUM(--MID(_xlfn.TEXTSPLIT($BI20,","),FIND(":",_xlfn.TEXTSPLIT($BI20,","))+1,9))),IF(INDEX($N$13:$N$42,$BD20)="",$BF20,MIN($BF20,N(INDEX($N$13:$N$42,$BD20))))))</f>
        <v>0</v>
      </c>
      <c r="BL20" t="str">
        <f>IF(8&gt;$BK$12,"",MATCH(7,$BH$13:$BH$28,1))</f>
        <v/>
      </c>
      <c r="BM20">
        <f>IF($BL20="",0,(7-INDEX($BH$13:$BH$28,$BL20))*24)</f>
        <v>0</v>
      </c>
      <c r="BN20" t="str">
        <f t="shared" si="8"/>
        <v/>
      </c>
      <c r="BO20">
        <f t="shared" si="9"/>
        <v>0</v>
      </c>
      <c r="BP20" t="str">
        <f t="shared" si="10"/>
        <v/>
      </c>
      <c r="BQ20">
        <f t="shared" si="11"/>
        <v>0</v>
      </c>
      <c r="BR20">
        <f>COUNTIF($CD$100:$CD$123,"?*")</f>
        <v>0</v>
      </c>
      <c r="BS20">
        <f>SUMIF($BL$13:$BL$28,8,$BR$13:$BR$28)</f>
        <v>0</v>
      </c>
      <c r="CL20">
        <f>IF($C20="",0,N(IFERROR(INDEX(Catalogo!$N$6:$N$125,MATCH($C20,Catalogo!$C$6:$C$125,0)),0)))</f>
        <v>0</v>
      </c>
      <c r="CM20">
        <f>IF($C20="",0,N(IFERROR(INDEX(Catalogo!$P$6:$P$125,MATCH($C20,Catalogo!$C$6:$C$125,0)),0)))</f>
        <v>0</v>
      </c>
      <c r="CN20">
        <f>IF($C20="",0,N(IFERROR(INDEX(Catalogo!$Q$6:$Q$125,MATCH($C20,Catalogo!$C$6:$C$125,0)),0)))</f>
        <v>0</v>
      </c>
      <c r="CO20">
        <f>IF($C20="",0,IF(OR($AD20="Espacio libre",$AD20="Espacio reservado"),0,IF(IFERROR(INDEX(Catalogo!$N$6:$N$125,MATCH($C20,Catalogo!$C$6:$C$125,0))="",TRUE),1,0)))</f>
        <v>0</v>
      </c>
    </row>
    <row r="21" spans="2:93" ht="14" customHeight="1" x14ac:dyDescent="0.45">
      <c r="B21" s="9">
        <v>9</v>
      </c>
      <c r="C21" s="47" t="s">
        <v>336</v>
      </c>
      <c r="D21" s="38"/>
      <c r="E21" s="39"/>
      <c r="F21" s="48" t="str">
        <f>IF($C21="","",IFERROR(INDEX(Catalogo!$E$6:$E$125,MATCH($C21,Catalogo!$C$6:$C$125,0)),""))</f>
        <v>WMPH2E</v>
      </c>
      <c r="G21" s="39"/>
      <c r="H21" s="9">
        <f>IF($C21="","",N(IFERROR(INDEX(Catalogo!$F$6:$F$125,MATCH($C21,Catalogo!$C$6:$C$125,0)),"")))</f>
        <v>2</v>
      </c>
      <c r="I21" s="9" t="str">
        <f>IF($AD21&lt;&gt;"Patch panel cobre","",IFERROR(INDEX(Catalogo!$G$6:$G$125,MATCH($C21,Catalogo!$C$6:$C$125,0)),""))</f>
        <v/>
      </c>
      <c r="J21" s="9">
        <f>IF(OR($C21="",$H21=0),"",$AR$5-SUM($H$13:H20))</f>
        <v>36</v>
      </c>
      <c r="K21" s="9">
        <f t="shared" si="0"/>
        <v>35</v>
      </c>
      <c r="L21" s="9" t="str">
        <f t="shared" si="1"/>
        <v/>
      </c>
      <c r="M21" s="6"/>
      <c r="N21" s="6"/>
      <c r="O21" s="12" t="str">
        <f t="shared" si="2"/>
        <v/>
      </c>
      <c r="P21" s="37" t="s">
        <v>120</v>
      </c>
      <c r="Q21" s="39"/>
      <c r="R21" s="40"/>
      <c r="S21" s="13">
        <v>37</v>
      </c>
      <c r="T21" s="49" t="str">
        <f>IF($AM21=0,"",IF(INDEX($J$13:$J$42,$AM21)=37,INDEX($AH$13:$AH$42,$AM21),""))</f>
        <v>Espacio para switch 24 puertos 1RU</v>
      </c>
      <c r="U21" s="38"/>
      <c r="V21" s="39"/>
      <c r="W21" s="13">
        <v>37</v>
      </c>
      <c r="X21" s="40"/>
      <c r="AD21" t="str">
        <f>IF($C21="","",IFERROR(INDEX(Catalogo!$B$6:$B$125,MATCH($C21,Catalogo!$C$6:$C$125,0)),""))</f>
        <v>Organizador horizontal</v>
      </c>
      <c r="AE21" t="str">
        <f>IF($AD21="Patch panel cobre",COUNTIF($AD$13:$AD21,"Patch panel cobre"),"")</f>
        <v/>
      </c>
      <c r="AH21" t="str">
        <f t="shared" si="3"/>
        <v>Org. horizontal 2RU frontal/posterior con radio de curvatura (NetRunner)</v>
      </c>
      <c r="AM21">
        <f>IFERROR(MATCH(1,INDEX(($K$13:$K$42&lt;=37)*($J$13:$J$42&gt;=37),0),0),0)</f>
        <v>8</v>
      </c>
      <c r="AN21" t="str">
        <f>IF(37&gt;$AR$5,"Fuera",IF($AM21=0,"",INDEX($AD$13:$AD$42,$AM21)))</f>
        <v>Espacio reservado</v>
      </c>
      <c r="AQ21">
        <f>IF(OR(Proyecto!$C21="",Proyecto!$C21="-"),0,COUNTIF($CA$72:$CA$95,Proyecto!$C21)+COUNTIF($CB$72:$CB$95,Proyecto!$C21)+COUNTIF($CC$72:$CC$95,Proyecto!$C21)+COUNTIF($CD$72:$CD$95,Proyecto!$C21)+COUNTIF($CA$100:$CA$123,Proyecto!$C21)+COUNTIF($CB$100:$CB$123,Proyecto!$C21)+COUNTIF($CC$100:$CC$123,Proyecto!$C21)+COUNTIF($CD$100:$CD$123,Proyecto!$C21)+COUNTIF($CA$128:$CA$151,Proyecto!$C21)+COUNTIF($CB$128:$CB$151,Proyecto!$C21)+COUNTIF($CC$128:$CC$151,Proyecto!$C21)+COUNTIF($CD$128:$CD$151,Proyecto!$C21)+COUNTIF($CA$156:$CA$179,Proyecto!$C21)+COUNTIF($CB$156:$CB$179,Proyecto!$C21)+COUNTIF($CC$156:$CC$179,Proyecto!$C21)+COUNTIF($CD$156:$CD$179,Proyecto!$C21))</f>
        <v>0</v>
      </c>
      <c r="BA21">
        <f>IF(OR(Catalogo!$C21="",Catalogo!$B21="Espacio libre",Catalogo!$B21="Espacio reservado"),0,COUNTIF($C$13:$C$42,Catalogo!$C21)+IF($E$7=Catalogo!$C21,N($K$7),0)+IF($E$8=Catalogo!$C21,N($N$8),0)+IF(Proyecto!$D$12=Catalogo!$C21,$AQ$4,0)+SUMIF($C$49:$C$58,Catalogo!$C21,$K$49:$K$58))</f>
        <v>0</v>
      </c>
      <c r="BD21" t="str">
        <f>IFERROR(MATCH(9,$AE$13:$AE$42,0),"")</f>
        <v/>
      </c>
      <c r="BE21" t="str">
        <f t="shared" si="4"/>
        <v/>
      </c>
      <c r="BF21">
        <f t="shared" si="5"/>
        <v>0</v>
      </c>
      <c r="BG21">
        <f t="shared" si="6"/>
        <v>0</v>
      </c>
      <c r="BH21">
        <f>SUM($BG$13:$BG20)</f>
        <v>4</v>
      </c>
      <c r="BI21" t="str">
        <f t="shared" si="7"/>
        <v/>
      </c>
      <c r="BJ21" cm="1">
        <f t="array" ref="BJ21">IF($BD21="",0,IF(ISNUMBER(SEARCH(":",$BI21)),MIN($BF21,SUM(--MID(_xlfn.TEXTSPLIT($BI21,","),FIND(":",_xlfn.TEXTSPLIT($BI21,","))+1,9))),IF(INDEX($N$13:$N$42,$BD21)="",$BF21,MIN($BF21,N(INDEX($N$13:$N$42,$BD21))))))</f>
        <v>0</v>
      </c>
      <c r="BL21" t="str">
        <f>IF(9&gt;$BK$12,"",MATCH(8,$BH$13:$BH$28,1))</f>
        <v/>
      </c>
      <c r="BM21">
        <f>IF($BL21="",0,(8-INDEX($BH$13:$BH$28,$BL21))*24)</f>
        <v>0</v>
      </c>
      <c r="BN21" t="str">
        <f t="shared" si="8"/>
        <v/>
      </c>
      <c r="BO21">
        <f t="shared" si="9"/>
        <v>0</v>
      </c>
      <c r="BP21" t="str">
        <f t="shared" si="10"/>
        <v/>
      </c>
      <c r="BQ21">
        <f t="shared" si="11"/>
        <v>0</v>
      </c>
      <c r="BR21">
        <f>COUNTIF($CA$128:$CA$151,"?*")</f>
        <v>0</v>
      </c>
      <c r="BS21">
        <f>SUMIF($BL$13:$BL$28,9,$BR$13:$BR$28)</f>
        <v>0</v>
      </c>
      <c r="CL21">
        <f>IF($C21="",0,N(IFERROR(INDEX(Catalogo!$N$6:$N$125,MATCH($C21,Catalogo!$C$6:$C$125,0)),0)))</f>
        <v>0</v>
      </c>
      <c r="CM21">
        <f>IF($C21="",0,N(IFERROR(INDEX(Catalogo!$P$6:$P$125,MATCH($C21,Catalogo!$C$6:$C$125,0)),0)))</f>
        <v>2</v>
      </c>
      <c r="CN21">
        <f>IF($C21="",0,N(IFERROR(INDEX(Catalogo!$Q$6:$Q$125,MATCH($C21,Catalogo!$C$6:$C$125,0)),0)))</f>
        <v>0</v>
      </c>
      <c r="CO21">
        <f>IF($C21="",0,IF(OR($AD21="Espacio libre",$AD21="Espacio reservado"),0,IF(IFERROR(INDEX(Catalogo!$N$6:$N$125,MATCH($C21,Catalogo!$C$6:$C$125,0))="",TRUE),1,0)))</f>
        <v>0</v>
      </c>
    </row>
    <row r="22" spans="2:93" ht="14" customHeight="1" x14ac:dyDescent="0.45">
      <c r="B22" s="9">
        <v>10</v>
      </c>
      <c r="C22" s="47" t="s">
        <v>344</v>
      </c>
      <c r="D22" s="38"/>
      <c r="E22" s="39"/>
      <c r="F22" s="48" t="str">
        <f>IF($C22="","",IFERROR(INDEX(Catalogo!$E$6:$E$125,MATCH($C22,Catalogo!$C$6:$C$125,0)),""))</f>
        <v>—</v>
      </c>
      <c r="G22" s="39"/>
      <c r="H22" s="9">
        <f>IF($C22="","",N(IFERROR(INDEX(Catalogo!$F$6:$F$125,MATCH($C22,Catalogo!$C$6:$C$125,0)),"")))</f>
        <v>1</v>
      </c>
      <c r="I22" s="9" t="str">
        <f>IF($AD22&lt;&gt;"Patch panel cobre","",IFERROR(INDEX(Catalogo!$G$6:$G$125,MATCH($C22,Catalogo!$C$6:$C$125,0)),""))</f>
        <v/>
      </c>
      <c r="J22" s="9">
        <f>IF(OR($C22="",$H22=0),"",$AR$5-SUM($H$13:H21))</f>
        <v>34</v>
      </c>
      <c r="K22" s="9">
        <f t="shared" si="0"/>
        <v>34</v>
      </c>
      <c r="L22" s="9" t="str">
        <f t="shared" si="1"/>
        <v/>
      </c>
      <c r="M22" s="6"/>
      <c r="N22" s="6"/>
      <c r="O22" s="12" t="str">
        <f t="shared" si="2"/>
        <v/>
      </c>
      <c r="P22" s="37"/>
      <c r="Q22" s="39"/>
      <c r="R22" s="40"/>
      <c r="S22" s="13">
        <v>36</v>
      </c>
      <c r="T22" s="49" t="str">
        <f>IF($AM22=0,"",IF(INDEX($J$13:$J$42,$AM22)=36,INDEX($AH$13:$AH$42,$AM22),""))</f>
        <v>Org. horizontal 2RU frontal/posterior con radio de curvatura (NetRunner)</v>
      </c>
      <c r="U22" s="38"/>
      <c r="V22" s="39"/>
      <c r="W22" s="13">
        <v>36</v>
      </c>
      <c r="X22" s="40"/>
      <c r="AD22" t="str">
        <f>IF($C22="","",IFERROR(INDEX(Catalogo!$B$6:$B$125,MATCH($C22,Catalogo!$C$6:$C$125,0)),""))</f>
        <v>Espacio reservado</v>
      </c>
      <c r="AE22" t="str">
        <f>IF($AD22="Patch panel cobre",COUNTIF($AD$13:$AD22,"Patch panel cobre"),"")</f>
        <v/>
      </c>
      <c r="AH22" t="str">
        <f t="shared" si="3"/>
        <v>Espacio para switch 24 puertos 1RU</v>
      </c>
      <c r="AM22">
        <f>IFERROR(MATCH(1,INDEX(($K$13:$K$42&lt;=36)*($J$13:$J$42&gt;=36),0),0),0)</f>
        <v>9</v>
      </c>
      <c r="AN22" t="str">
        <f>IF(36&gt;$AR$5,"Fuera",IF($AM22=0,"",INDEX($AD$13:$AD$42,$AM22)))</f>
        <v>Organizador horizontal</v>
      </c>
      <c r="AQ22">
        <f>IF(OR(Proyecto!$C22="",Proyecto!$C22="-"),0,COUNTIF($CA$72:$CA$95,Proyecto!$C22)+COUNTIF($CB$72:$CB$95,Proyecto!$C22)+COUNTIF($CC$72:$CC$95,Proyecto!$C22)+COUNTIF($CD$72:$CD$95,Proyecto!$C22)+COUNTIF($CA$100:$CA$123,Proyecto!$C22)+COUNTIF($CB$100:$CB$123,Proyecto!$C22)+COUNTIF($CC$100:$CC$123,Proyecto!$C22)+COUNTIF($CD$100:$CD$123,Proyecto!$C22)+COUNTIF($CA$128:$CA$151,Proyecto!$C22)+COUNTIF($CB$128:$CB$151,Proyecto!$C22)+COUNTIF($CC$128:$CC$151,Proyecto!$C22)+COUNTIF($CD$128:$CD$151,Proyecto!$C22)+COUNTIF($CA$156:$CA$179,Proyecto!$C22)+COUNTIF($CB$156:$CB$179,Proyecto!$C22)+COUNTIF($CC$156:$CC$179,Proyecto!$C22)+COUNTIF($CD$156:$CD$179,Proyecto!$C22))</f>
        <v>0</v>
      </c>
      <c r="BA22">
        <f>IF(OR(Catalogo!$C22="",Catalogo!$B22="Espacio libre",Catalogo!$B22="Espacio reservado"),0,COUNTIF($C$13:$C$42,Catalogo!$C22)+IF($E$7=Catalogo!$C22,N($K$7),0)+IF($E$8=Catalogo!$C22,N($N$8),0)+IF(Proyecto!$D$12=Catalogo!$C22,$AQ$4,0)+SUMIF($C$49:$C$58,Catalogo!$C22,$K$49:$K$58))</f>
        <v>4</v>
      </c>
      <c r="BD22" t="str">
        <f>IFERROR(MATCH(10,$AE$13:$AE$42,0),"")</f>
        <v/>
      </c>
      <c r="BE22" t="str">
        <f t="shared" si="4"/>
        <v/>
      </c>
      <c r="BF22">
        <f t="shared" si="5"/>
        <v>0</v>
      </c>
      <c r="BG22">
        <f t="shared" si="6"/>
        <v>0</v>
      </c>
      <c r="BH22">
        <f>SUM($BG$13:$BG21)</f>
        <v>4</v>
      </c>
      <c r="BI22" t="str">
        <f t="shared" si="7"/>
        <v/>
      </c>
      <c r="BJ22" cm="1">
        <f t="array" ref="BJ22">IF($BD22="",0,IF(ISNUMBER(SEARCH(":",$BI22)),MIN($BF22,SUM(--MID(_xlfn.TEXTSPLIT($BI22,","),FIND(":",_xlfn.TEXTSPLIT($BI22,","))+1,9))),IF(INDEX($N$13:$N$42,$BD22)="",$BF22,MIN($BF22,N(INDEX($N$13:$N$42,$BD22))))))</f>
        <v>0</v>
      </c>
      <c r="BL22" t="str">
        <f>IF(10&gt;$BK$12,"",MATCH(9,$BH$13:$BH$28,1))</f>
        <v/>
      </c>
      <c r="BM22">
        <f>IF($BL22="",0,(9-INDEX($BH$13:$BH$28,$BL22))*24)</f>
        <v>0</v>
      </c>
      <c r="BN22" t="str">
        <f t="shared" si="8"/>
        <v/>
      </c>
      <c r="BO22">
        <f t="shared" si="9"/>
        <v>0</v>
      </c>
      <c r="BP22" t="str">
        <f t="shared" si="10"/>
        <v/>
      </c>
      <c r="BQ22">
        <f t="shared" si="11"/>
        <v>0</v>
      </c>
      <c r="BR22">
        <f>COUNTIF($CB$128:$CB$151,"?*")</f>
        <v>0</v>
      </c>
      <c r="BS22">
        <f>SUMIF($BL$13:$BL$28,10,$BR$13:$BR$28)</f>
        <v>0</v>
      </c>
      <c r="CL22">
        <f>IF($C22="",0,N(IFERROR(INDEX(Catalogo!$N$6:$N$125,MATCH($C22,Catalogo!$C$6:$C$125,0)),0)))</f>
        <v>0</v>
      </c>
      <c r="CM22">
        <f>IF($C22="",0,N(IFERROR(INDEX(Catalogo!$P$6:$P$125,MATCH($C22,Catalogo!$C$6:$C$125,0)),0)))</f>
        <v>0</v>
      </c>
      <c r="CN22">
        <f>IF($C22="",0,N(IFERROR(INDEX(Catalogo!$Q$6:$Q$125,MATCH($C22,Catalogo!$C$6:$C$125,0)),0)))</f>
        <v>0</v>
      </c>
      <c r="CO22">
        <f>IF($C22="",0,IF(OR($AD22="Espacio libre",$AD22="Espacio reservado"),0,IF(IFERROR(INDEX(Catalogo!$N$6:$N$125,MATCH($C22,Catalogo!$C$6:$C$125,0))="",TRUE),1,0)))</f>
        <v>0</v>
      </c>
    </row>
    <row r="23" spans="2:93" ht="14" customHeight="1" x14ac:dyDescent="0.45">
      <c r="B23" s="9">
        <v>11</v>
      </c>
      <c r="C23" s="47" t="s">
        <v>327</v>
      </c>
      <c r="D23" s="38"/>
      <c r="E23" s="39"/>
      <c r="F23" s="48" t="str">
        <f>IF($C23="","",IFERROR(INDEX(Catalogo!$E$6:$E$125,MATCH($C23,Catalogo!$C$6:$C$125,0)),""))</f>
        <v>TLBP1S-V</v>
      </c>
      <c r="G23" s="39"/>
      <c r="H23" s="9">
        <f>IF($C23="","",N(IFERROR(INDEX(Catalogo!$F$6:$F$125,MATCH($C23,Catalogo!$C$6:$C$125,0)),"")))</f>
        <v>1</v>
      </c>
      <c r="I23" s="9" t="str">
        <f>IF($AD23&lt;&gt;"Patch panel cobre","",IFERROR(INDEX(Catalogo!$G$6:$G$125,MATCH($C23,Catalogo!$C$6:$C$125,0)),""))</f>
        <v/>
      </c>
      <c r="J23" s="9">
        <f>IF(OR($C23="",$H23=0),"",$AR$5-SUM($H$13:H22))</f>
        <v>33</v>
      </c>
      <c r="K23" s="9">
        <f t="shared" si="0"/>
        <v>33</v>
      </c>
      <c r="L23" s="9" t="str">
        <f t="shared" si="1"/>
        <v/>
      </c>
      <c r="M23" s="6"/>
      <c r="N23" s="6"/>
      <c r="O23" s="12" t="str">
        <f t="shared" si="2"/>
        <v/>
      </c>
      <c r="P23" s="37"/>
      <c r="Q23" s="39"/>
      <c r="R23" s="40"/>
      <c r="S23" s="13">
        <v>35</v>
      </c>
      <c r="T23" s="49" t="str">
        <f>IF($AM23=0,"",IF(INDEX($J$13:$J$42,$AM23)=35,INDEX($AH$13:$AH$42,$AM23),""))</f>
        <v/>
      </c>
      <c r="U23" s="38"/>
      <c r="V23" s="39"/>
      <c r="W23" s="13">
        <v>35</v>
      </c>
      <c r="X23" s="40"/>
      <c r="AD23" t="str">
        <f>IF($C23="","",IFERROR(INDEX(Catalogo!$B$6:$B$125,MATCH($C23,Catalogo!$C$6:$C$125,0)),""))</f>
        <v>Tapa ciega</v>
      </c>
      <c r="AE23" t="str">
        <f>IF($AD23="Patch panel cobre",COUNTIF($AD$13:$AD23,"Patch panel cobre"),"")</f>
        <v/>
      </c>
      <c r="AH23" t="str">
        <f t="shared" si="3"/>
        <v>Tapa ciega 1RU sin herramienta</v>
      </c>
      <c r="AM23">
        <f>IFERROR(MATCH(1,INDEX(($K$13:$K$42&lt;=35)*($J$13:$J$42&gt;=35),0),0),0)</f>
        <v>9</v>
      </c>
      <c r="AN23" t="str">
        <f>IF(35&gt;$AR$5,"Fuera",IF($AM23=0,"",INDEX($AD$13:$AD$42,$AM23)))</f>
        <v>Organizador horizontal</v>
      </c>
      <c r="AQ23">
        <f>IF(OR(Proyecto!$C23="",Proyecto!$C23="-"),0,COUNTIF($CA$72:$CA$95,Proyecto!$C23)+COUNTIF($CB$72:$CB$95,Proyecto!$C23)+COUNTIF($CC$72:$CC$95,Proyecto!$C23)+COUNTIF($CD$72:$CD$95,Proyecto!$C23)+COUNTIF($CA$100:$CA$123,Proyecto!$C23)+COUNTIF($CB$100:$CB$123,Proyecto!$C23)+COUNTIF($CC$100:$CC$123,Proyecto!$C23)+COUNTIF($CD$100:$CD$123,Proyecto!$C23)+COUNTIF($CA$128:$CA$151,Proyecto!$C23)+COUNTIF($CB$128:$CB$151,Proyecto!$C23)+COUNTIF($CC$128:$CC$151,Proyecto!$C23)+COUNTIF($CD$128:$CD$151,Proyecto!$C23)+COUNTIF($CA$156:$CA$179,Proyecto!$C23)+COUNTIF($CB$156:$CB$179,Proyecto!$C23)+COUNTIF($CC$156:$CC$179,Proyecto!$C23)+COUNTIF($CD$156:$CD$179,Proyecto!$C23))</f>
        <v>0</v>
      </c>
      <c r="BA23">
        <f>IF(OR(Catalogo!$C23="",Catalogo!$B23="Espacio libre",Catalogo!$B23="Espacio reservado"),0,COUNTIF($C$13:$C$42,Catalogo!$C23)+IF($E$7=Catalogo!$C23,N($K$7),0)+IF($E$8=Catalogo!$C23,N($N$8),0)+IF(Proyecto!$D$12=Catalogo!$C23,$AQ$4,0)+SUMIF($C$49:$C$58,Catalogo!$C23,$K$49:$K$58))</f>
        <v>0</v>
      </c>
      <c r="BD23" t="str">
        <f>IFERROR(MATCH(11,$AE$13:$AE$42,0),"")</f>
        <v/>
      </c>
      <c r="BE23" t="str">
        <f t="shared" si="4"/>
        <v/>
      </c>
      <c r="BF23">
        <f t="shared" si="5"/>
        <v>0</v>
      </c>
      <c r="BG23">
        <f t="shared" si="6"/>
        <v>0</v>
      </c>
      <c r="BH23">
        <f>SUM($BG$13:$BG22)</f>
        <v>4</v>
      </c>
      <c r="BI23" t="str">
        <f t="shared" si="7"/>
        <v/>
      </c>
      <c r="BJ23" cm="1">
        <f t="array" ref="BJ23">IF($BD23="",0,IF(ISNUMBER(SEARCH(":",$BI23)),MIN($BF23,SUM(--MID(_xlfn.TEXTSPLIT($BI23,","),FIND(":",_xlfn.TEXTSPLIT($BI23,","))+1,9))),IF(INDEX($N$13:$N$42,$BD23)="",$BF23,MIN($BF23,N(INDEX($N$13:$N$42,$BD23))))))</f>
        <v>0</v>
      </c>
      <c r="BL23" t="str">
        <f>IF(11&gt;$BK$12,"",MATCH(10,$BH$13:$BH$28,1))</f>
        <v/>
      </c>
      <c r="BM23">
        <f>IF($BL23="",0,(10-INDEX($BH$13:$BH$28,$BL23))*24)</f>
        <v>0</v>
      </c>
      <c r="BN23" t="str">
        <f t="shared" si="8"/>
        <v/>
      </c>
      <c r="BO23">
        <f t="shared" si="9"/>
        <v>0</v>
      </c>
      <c r="BP23" t="str">
        <f t="shared" si="10"/>
        <v/>
      </c>
      <c r="BQ23">
        <f t="shared" si="11"/>
        <v>0</v>
      </c>
      <c r="BR23">
        <f>COUNTIF($CC$128:$CC$151,"?*")</f>
        <v>0</v>
      </c>
      <c r="BS23">
        <f>SUMIF($BL$13:$BL$28,11,$BR$13:$BR$28)</f>
        <v>0</v>
      </c>
      <c r="CL23">
        <f>IF($C23="",0,N(IFERROR(INDEX(Catalogo!$N$6:$N$125,MATCH($C23,Catalogo!$C$6:$C$125,0)),0)))</f>
        <v>0</v>
      </c>
      <c r="CM23">
        <f>IF($C23="",0,N(IFERROR(INDEX(Catalogo!$P$6:$P$125,MATCH($C23,Catalogo!$C$6:$C$125,0)),0)))</f>
        <v>0</v>
      </c>
      <c r="CN23">
        <f>IF($C23="",0,N(IFERROR(INDEX(Catalogo!$Q$6:$Q$125,MATCH($C23,Catalogo!$C$6:$C$125,0)),0)))</f>
        <v>0</v>
      </c>
      <c r="CO23">
        <f>IF($C23="",0,IF(OR($AD23="Espacio libre",$AD23="Espacio reservado"),0,IF(IFERROR(INDEX(Catalogo!$N$6:$N$125,MATCH($C23,Catalogo!$C$6:$C$125,0))="",TRUE),1,0)))</f>
        <v>0</v>
      </c>
    </row>
    <row r="24" spans="2:93" ht="14" customHeight="1" x14ac:dyDescent="0.45">
      <c r="B24" s="9">
        <v>12</v>
      </c>
      <c r="C24" s="47" t="s">
        <v>109</v>
      </c>
      <c r="D24" s="38"/>
      <c r="E24" s="39"/>
      <c r="F24" s="48" t="str">
        <f>IF($C24="","",IFERROR(INDEX(Catalogo!$E$6:$E$125,MATCH($C24,Catalogo!$C$6:$C$125,0)),""))</f>
        <v>CPPA24FMWBLY</v>
      </c>
      <c r="G24" s="39"/>
      <c r="H24" s="9">
        <f>IF($C24="","",N(IFERROR(INDEX(Catalogo!$F$6:$F$125,MATCH($C24,Catalogo!$C$6:$C$125,0)),"")))</f>
        <v>1</v>
      </c>
      <c r="I24" s="9">
        <f>IF($AD24&lt;&gt;"Patch panel cobre","",IFERROR(INDEX(Catalogo!$G$6:$G$125,MATCH($C24,Catalogo!$C$6:$C$125,0)),""))</f>
        <v>24</v>
      </c>
      <c r="J24" s="9">
        <f>IF(OR($C24="",$H24=0),"",$AR$5-SUM($H$13:H23))</f>
        <v>32</v>
      </c>
      <c r="K24" s="9">
        <f t="shared" si="0"/>
        <v>32</v>
      </c>
      <c r="L24" s="9" t="str">
        <f t="shared" si="1"/>
        <v>1A-AB</v>
      </c>
      <c r="M24" s="6"/>
      <c r="N24" s="6"/>
      <c r="O24" s="12">
        <f t="shared" si="2"/>
        <v>0</v>
      </c>
      <c r="P24" s="37"/>
      <c r="Q24" s="39"/>
      <c r="R24" s="40"/>
      <c r="S24" s="13">
        <v>34</v>
      </c>
      <c r="T24" s="49" t="str">
        <f>IF($AM24=0,"",IF(INDEX($J$13:$J$42,$AM24)=34,INDEX($AH$13:$AH$42,$AM24),""))</f>
        <v>Espacio para switch 24 puertos 1RU</v>
      </c>
      <c r="U24" s="38"/>
      <c r="V24" s="39"/>
      <c r="W24" s="13">
        <v>34</v>
      </c>
      <c r="X24" s="40"/>
      <c r="AD24" t="str">
        <f>IF($C24="","",IFERROR(INDEX(Catalogo!$B$6:$B$125,MATCH($C24,Catalogo!$C$6:$C$125,0)),""))</f>
        <v>Patch panel cobre</v>
      </c>
      <c r="AE24">
        <f>IF($AD24="Patch panel cobre",COUNTIF($AD$13:$AD24,"Patch panel cobre"),"")</f>
        <v>2</v>
      </c>
      <c r="AH24" t="str">
        <f t="shared" si="3"/>
        <v>Patch panel 1A-AB · 24 p</v>
      </c>
      <c r="AM24">
        <f>IFERROR(MATCH(1,INDEX(($K$13:$K$42&lt;=34)*($J$13:$J$42&gt;=34),0),0),0)</f>
        <v>10</v>
      </c>
      <c r="AN24" t="str">
        <f>IF(34&gt;$AR$5,"Fuera",IF($AM24=0,"",INDEX($AD$13:$AD$42,$AM24)))</f>
        <v>Espacio reservado</v>
      </c>
      <c r="AQ24">
        <f>IF(OR(Proyecto!$C24="",Proyecto!$C24="-"),0,COUNTIF($CA$72:$CA$95,Proyecto!$C24)+COUNTIF($CB$72:$CB$95,Proyecto!$C24)+COUNTIF($CC$72:$CC$95,Proyecto!$C24)+COUNTIF($CD$72:$CD$95,Proyecto!$C24)+COUNTIF($CA$100:$CA$123,Proyecto!$C24)+COUNTIF($CB$100:$CB$123,Proyecto!$C24)+COUNTIF($CC$100:$CC$123,Proyecto!$C24)+COUNTIF($CD$100:$CD$123,Proyecto!$C24)+COUNTIF($CA$128:$CA$151,Proyecto!$C24)+COUNTIF($CB$128:$CB$151,Proyecto!$C24)+COUNTIF($CC$128:$CC$151,Proyecto!$C24)+COUNTIF($CD$128:$CD$151,Proyecto!$C24)+COUNTIF($CA$156:$CA$179,Proyecto!$C24)+COUNTIF($CB$156:$CB$179,Proyecto!$C24)+COUNTIF($CC$156:$CC$179,Proyecto!$C24)+COUNTIF($CD$156:$CD$179,Proyecto!$C24))</f>
        <v>0</v>
      </c>
      <c r="BA24">
        <f>IF(OR(Catalogo!$C24="",Catalogo!$B24="Espacio libre",Catalogo!$B24="Espacio reservado"),0,COUNTIF($C$13:$C$42,Catalogo!$C24)+IF($E$7=Catalogo!$C24,N($K$7),0)+IF($E$8=Catalogo!$C24,N($N$8),0)+IF(Proyecto!$D$12=Catalogo!$C24,$AQ$4,0)+SUMIF($C$49:$C$58,Catalogo!$C24,$K$49:$K$58))</f>
        <v>0</v>
      </c>
      <c r="BD24" t="str">
        <f>IFERROR(MATCH(12,$AE$13:$AE$42,0),"")</f>
        <v/>
      </c>
      <c r="BE24" t="str">
        <f t="shared" si="4"/>
        <v/>
      </c>
      <c r="BF24">
        <f t="shared" si="5"/>
        <v>0</v>
      </c>
      <c r="BG24">
        <f t="shared" si="6"/>
        <v>0</v>
      </c>
      <c r="BH24">
        <f>SUM($BG$13:$BG23)</f>
        <v>4</v>
      </c>
      <c r="BI24" t="str">
        <f t="shared" si="7"/>
        <v/>
      </c>
      <c r="BJ24" cm="1">
        <f t="array" ref="BJ24">IF($BD24="",0,IF(ISNUMBER(SEARCH(":",$BI24)),MIN($BF24,SUM(--MID(_xlfn.TEXTSPLIT($BI24,","),FIND(":",_xlfn.TEXTSPLIT($BI24,","))+1,9))),IF(INDEX($N$13:$N$42,$BD24)="",$BF24,MIN($BF24,N(INDEX($N$13:$N$42,$BD24))))))</f>
        <v>0</v>
      </c>
      <c r="BL24" t="str">
        <f>IF(12&gt;$BK$12,"",MATCH(11,$BH$13:$BH$28,1))</f>
        <v/>
      </c>
      <c r="BM24">
        <f>IF($BL24="",0,(11-INDEX($BH$13:$BH$28,$BL24))*24)</f>
        <v>0</v>
      </c>
      <c r="BN24" t="str">
        <f t="shared" si="8"/>
        <v/>
      </c>
      <c r="BO24">
        <f t="shared" si="9"/>
        <v>0</v>
      </c>
      <c r="BP24" t="str">
        <f t="shared" si="10"/>
        <v/>
      </c>
      <c r="BQ24">
        <f t="shared" si="11"/>
        <v>0</v>
      </c>
      <c r="BR24">
        <f>COUNTIF($CD$128:$CD$151,"?*")</f>
        <v>0</v>
      </c>
      <c r="BS24">
        <f>SUMIF($BL$13:$BL$28,12,$BR$13:$BR$28)</f>
        <v>0</v>
      </c>
      <c r="CL24">
        <f>IF($C24="",0,N(IFERROR(INDEX(Catalogo!$N$6:$N$125,MATCH($C24,Catalogo!$C$6:$C$125,0)),0)))</f>
        <v>0</v>
      </c>
      <c r="CM24">
        <f>IF($C24="",0,N(IFERROR(INDEX(Catalogo!$P$6:$P$125,MATCH($C24,Catalogo!$C$6:$C$125,0)),0)))</f>
        <v>1</v>
      </c>
      <c r="CN24">
        <f>IF($C24="",0,N(IFERROR(INDEX(Catalogo!$Q$6:$Q$125,MATCH($C24,Catalogo!$C$6:$C$125,0)),0)))</f>
        <v>0</v>
      </c>
      <c r="CO24">
        <f>IF($C24="",0,IF(OR($AD24="Espacio libre",$AD24="Espacio reservado"),0,IF(IFERROR(INDEX(Catalogo!$N$6:$N$125,MATCH($C24,Catalogo!$C$6:$C$125,0))="",TRUE),1,0)))</f>
        <v>0</v>
      </c>
    </row>
    <row r="25" spans="2:93" ht="14" customHeight="1" x14ac:dyDescent="0.45">
      <c r="B25" s="9">
        <v>13</v>
      </c>
      <c r="C25" s="47" t="s">
        <v>344</v>
      </c>
      <c r="D25" s="38"/>
      <c r="E25" s="39"/>
      <c r="F25" s="48" t="str">
        <f>IF($C25="","",IFERROR(INDEX(Catalogo!$E$6:$E$125,MATCH($C25,Catalogo!$C$6:$C$125,0)),""))</f>
        <v>—</v>
      </c>
      <c r="G25" s="39"/>
      <c r="H25" s="9">
        <f>IF($C25="","",N(IFERROR(INDEX(Catalogo!$F$6:$F$125,MATCH($C25,Catalogo!$C$6:$C$125,0)),"")))</f>
        <v>1</v>
      </c>
      <c r="I25" s="9" t="str">
        <f>IF($AD25&lt;&gt;"Patch panel cobre","",IFERROR(INDEX(Catalogo!$G$6:$G$125,MATCH($C25,Catalogo!$C$6:$C$125,0)),""))</f>
        <v/>
      </c>
      <c r="J25" s="9">
        <f>IF(OR($C25="",$H25=0),"",$AR$5-SUM($H$13:H24))</f>
        <v>31</v>
      </c>
      <c r="K25" s="9">
        <f t="shared" si="0"/>
        <v>31</v>
      </c>
      <c r="L25" s="9" t="str">
        <f t="shared" si="1"/>
        <v/>
      </c>
      <c r="M25" s="6"/>
      <c r="N25" s="6"/>
      <c r="O25" s="12" t="str">
        <f t="shared" si="2"/>
        <v/>
      </c>
      <c r="P25" s="37"/>
      <c r="Q25" s="39"/>
      <c r="R25" s="40"/>
      <c r="S25" s="13">
        <v>33</v>
      </c>
      <c r="T25" s="49" t="str">
        <f>IF($AM25=0,"",IF(INDEX($J$13:$J$42,$AM25)=33,INDEX($AH$13:$AH$42,$AM25),""))</f>
        <v>Tapa ciega 1RU sin herramienta</v>
      </c>
      <c r="U25" s="38"/>
      <c r="V25" s="39"/>
      <c r="W25" s="13">
        <v>33</v>
      </c>
      <c r="X25" s="40"/>
      <c r="AD25" t="str">
        <f>IF($C25="","",IFERROR(INDEX(Catalogo!$B$6:$B$125,MATCH($C25,Catalogo!$C$6:$C$125,0)),""))</f>
        <v>Espacio reservado</v>
      </c>
      <c r="AE25" t="str">
        <f>IF($AD25="Patch panel cobre",COUNTIF($AD$13:$AD25,"Patch panel cobre"),"")</f>
        <v/>
      </c>
      <c r="AH25" t="str">
        <f t="shared" si="3"/>
        <v>Espacio para switch 24 puertos 1RU</v>
      </c>
      <c r="AM25">
        <f>IFERROR(MATCH(1,INDEX(($K$13:$K$42&lt;=33)*($J$13:$J$42&gt;=33),0),0),0)</f>
        <v>11</v>
      </c>
      <c r="AN25" t="str">
        <f>IF(33&gt;$AR$5,"Fuera",IF($AM25=0,"",INDEX($AD$13:$AD$42,$AM25)))</f>
        <v>Tapa ciega</v>
      </c>
      <c r="AQ25">
        <f>IF(OR(Proyecto!$C25="",Proyecto!$C25="-"),0,COUNTIF($CA$72:$CA$95,Proyecto!$C25)+COUNTIF($CB$72:$CB$95,Proyecto!$C25)+COUNTIF($CC$72:$CC$95,Proyecto!$C25)+COUNTIF($CD$72:$CD$95,Proyecto!$C25)+COUNTIF($CA$100:$CA$123,Proyecto!$C25)+COUNTIF($CB$100:$CB$123,Proyecto!$C25)+COUNTIF($CC$100:$CC$123,Proyecto!$C25)+COUNTIF($CD$100:$CD$123,Proyecto!$C25)+COUNTIF($CA$128:$CA$151,Proyecto!$C25)+COUNTIF($CB$128:$CB$151,Proyecto!$C25)+COUNTIF($CC$128:$CC$151,Proyecto!$C25)+COUNTIF($CD$128:$CD$151,Proyecto!$C25)+COUNTIF($CA$156:$CA$179,Proyecto!$C25)+COUNTIF($CB$156:$CB$179,Proyecto!$C25)+COUNTIF($CC$156:$CC$179,Proyecto!$C25)+COUNTIF($CD$156:$CD$179,Proyecto!$C25))</f>
        <v>0</v>
      </c>
      <c r="BA25">
        <f>IF(OR(Catalogo!$C25="",Catalogo!$B25="Espacio libre",Catalogo!$B25="Espacio reservado"),0,COUNTIF($C$13:$C$42,Catalogo!$C25)+IF($E$7=Catalogo!$C25,N($K$7),0)+IF($E$8=Catalogo!$C25,N($N$8),0)+IF(Proyecto!$D$12=Catalogo!$C25,$AQ$4,0)+SUMIF($C$49:$C$58,Catalogo!$C25,$K$49:$K$58))</f>
        <v>0</v>
      </c>
      <c r="BD25" t="str">
        <f>IFERROR(MATCH(13,$AE$13:$AE$42,0),"")</f>
        <v/>
      </c>
      <c r="BE25" t="str">
        <f t="shared" si="4"/>
        <v/>
      </c>
      <c r="BF25">
        <f t="shared" si="5"/>
        <v>0</v>
      </c>
      <c r="BG25">
        <f t="shared" si="6"/>
        <v>0</v>
      </c>
      <c r="BH25">
        <f>SUM($BG$13:$BG24)</f>
        <v>4</v>
      </c>
      <c r="BI25" t="str">
        <f t="shared" si="7"/>
        <v/>
      </c>
      <c r="BJ25" cm="1">
        <f t="array" ref="BJ25">IF($BD25="",0,IF(ISNUMBER(SEARCH(":",$BI25)),MIN($BF25,SUM(--MID(_xlfn.TEXTSPLIT($BI25,","),FIND(":",_xlfn.TEXTSPLIT($BI25,","))+1,9))),IF(INDEX($N$13:$N$42,$BD25)="",$BF25,MIN($BF25,N(INDEX($N$13:$N$42,$BD25))))))</f>
        <v>0</v>
      </c>
      <c r="BL25" t="str">
        <f>IF(13&gt;$BK$12,"",MATCH(12,$BH$13:$BH$28,1))</f>
        <v/>
      </c>
      <c r="BM25">
        <f>IF($BL25="",0,(12-INDEX($BH$13:$BH$28,$BL25))*24)</f>
        <v>0</v>
      </c>
      <c r="BN25" t="str">
        <f t="shared" si="8"/>
        <v/>
      </c>
      <c r="BO25">
        <f t="shared" si="9"/>
        <v>0</v>
      </c>
      <c r="BP25" t="str">
        <f t="shared" si="10"/>
        <v/>
      </c>
      <c r="BQ25">
        <f t="shared" si="11"/>
        <v>0</v>
      </c>
      <c r="BR25">
        <f>COUNTIF($CA$156:$CA$179,"?*")</f>
        <v>0</v>
      </c>
      <c r="BS25">
        <f>SUMIF($BL$13:$BL$28,13,$BR$13:$BR$28)</f>
        <v>0</v>
      </c>
      <c r="CL25">
        <f>IF($C25="",0,N(IFERROR(INDEX(Catalogo!$N$6:$N$125,MATCH($C25,Catalogo!$C$6:$C$125,0)),0)))</f>
        <v>0</v>
      </c>
      <c r="CM25">
        <f>IF($C25="",0,N(IFERROR(INDEX(Catalogo!$P$6:$P$125,MATCH($C25,Catalogo!$C$6:$C$125,0)),0)))</f>
        <v>0</v>
      </c>
      <c r="CN25">
        <f>IF($C25="",0,N(IFERROR(INDEX(Catalogo!$Q$6:$Q$125,MATCH($C25,Catalogo!$C$6:$C$125,0)),0)))</f>
        <v>0</v>
      </c>
      <c r="CO25">
        <f>IF($C25="",0,IF(OR($AD25="Espacio libre",$AD25="Espacio reservado"),0,IF(IFERROR(INDEX(Catalogo!$N$6:$N$125,MATCH($C25,Catalogo!$C$6:$C$125,0))="",TRUE),1,0)))</f>
        <v>0</v>
      </c>
    </row>
    <row r="26" spans="2:93" ht="14" customHeight="1" x14ac:dyDescent="0.45">
      <c r="B26" s="9">
        <v>14</v>
      </c>
      <c r="C26" s="47" t="s">
        <v>320</v>
      </c>
      <c r="D26" s="38"/>
      <c r="E26" s="39"/>
      <c r="F26" s="48" t="str">
        <f>IF($C26="","",IFERROR(INDEX(Catalogo!$E$6:$E$125,MATCH($C26,Catalogo!$C$6:$C$125,0)),""))</f>
        <v>Por definir</v>
      </c>
      <c r="G26" s="39"/>
      <c r="H26" s="9">
        <f>IF($C26="","",N(IFERROR(INDEX(Catalogo!$F$6:$F$125,MATCH($C26,Catalogo!$C$6:$C$125,0)),"")))</f>
        <v>1</v>
      </c>
      <c r="I26" s="9" t="str">
        <f>IF($AD26&lt;&gt;"Patch panel cobre","",IFERROR(INDEX(Catalogo!$G$6:$G$125,MATCH($C26,Catalogo!$C$6:$C$125,0)),""))</f>
        <v/>
      </c>
      <c r="J26" s="9">
        <f>IF(OR($C26="",$H26=0),"",$AR$5-SUM($H$13:H25))</f>
        <v>30</v>
      </c>
      <c r="K26" s="9">
        <f t="shared" si="0"/>
        <v>30</v>
      </c>
      <c r="L26" s="9" t="str">
        <f t="shared" si="1"/>
        <v/>
      </c>
      <c r="M26" s="6"/>
      <c r="N26" s="6"/>
      <c r="O26" s="12" t="str">
        <f t="shared" si="2"/>
        <v/>
      </c>
      <c r="P26" s="37" t="s">
        <v>421</v>
      </c>
      <c r="Q26" s="39"/>
      <c r="R26" s="40"/>
      <c r="S26" s="13">
        <v>32</v>
      </c>
      <c r="T26" s="49" t="str">
        <f>IF($AM26=0,"",IF(INDEX($J$13:$J$42,$AM26)=32,INDEX($AH$13:$AH$42,$AM26),""))</f>
        <v>Patch panel 1A-AB · 24 p</v>
      </c>
      <c r="U26" s="38"/>
      <c r="V26" s="39"/>
      <c r="W26" s="13">
        <v>32</v>
      </c>
      <c r="X26" s="40"/>
      <c r="AD26" t="str">
        <f>IF($C26="","",IFERROR(INDEX(Catalogo!$B$6:$B$125,MATCH($C26,Catalogo!$C$6:$C$125,0)),""))</f>
        <v>PDU</v>
      </c>
      <c r="AE26" t="str">
        <f>IF($AD26="Patch panel cobre",COUNTIF($AD$13:$AD26,"Patch panel cobre"),"")</f>
        <v/>
      </c>
      <c r="AH26" t="str">
        <f t="shared" si="3"/>
        <v>PDU horizontal 1RU 12 tomas 120 V 20 A</v>
      </c>
      <c r="AM26">
        <f>IFERROR(MATCH(1,INDEX(($K$13:$K$42&lt;=32)*($J$13:$J$42&gt;=32),0),0),0)</f>
        <v>12</v>
      </c>
      <c r="AN26" t="str">
        <f>IF(32&gt;$AR$5,"Fuera",IF($AM26=0,"",INDEX($AD$13:$AD$42,$AM26)))</f>
        <v>Patch panel cobre</v>
      </c>
      <c r="AQ26">
        <f>IF(OR(Proyecto!$C26="",Proyecto!$C26="-"),0,COUNTIF($CA$72:$CA$95,Proyecto!$C26)+COUNTIF($CB$72:$CB$95,Proyecto!$C26)+COUNTIF($CC$72:$CC$95,Proyecto!$C26)+COUNTIF($CD$72:$CD$95,Proyecto!$C26)+COUNTIF($CA$100:$CA$123,Proyecto!$C26)+COUNTIF($CB$100:$CB$123,Proyecto!$C26)+COUNTIF($CC$100:$CC$123,Proyecto!$C26)+COUNTIF($CD$100:$CD$123,Proyecto!$C26)+COUNTIF($CA$128:$CA$151,Proyecto!$C26)+COUNTIF($CB$128:$CB$151,Proyecto!$C26)+COUNTIF($CC$128:$CC$151,Proyecto!$C26)+COUNTIF($CD$128:$CD$151,Proyecto!$C26)+COUNTIF($CA$156:$CA$179,Proyecto!$C26)+COUNTIF($CB$156:$CB$179,Proyecto!$C26)+COUNTIF($CC$156:$CC$179,Proyecto!$C26)+COUNTIF($CD$156:$CD$179,Proyecto!$C26))</f>
        <v>0</v>
      </c>
      <c r="BA26">
        <f>IF(OR(Catalogo!$C26="",Catalogo!$B26="Espacio libre",Catalogo!$B26="Espacio reservado"),0,COUNTIF($C$13:$C$42,Catalogo!$C26)+IF($E$7=Catalogo!$C26,N($K$7),0)+IF($E$8=Catalogo!$C26,N($N$8),0)+IF(Proyecto!$D$12=Catalogo!$C26,$AQ$4,0)+SUMIF($C$49:$C$58,Catalogo!$C26,$K$49:$K$58))</f>
        <v>0</v>
      </c>
      <c r="BD26" t="str">
        <f>IFERROR(MATCH(14,$AE$13:$AE$42,0),"")</f>
        <v/>
      </c>
      <c r="BE26" t="str">
        <f t="shared" si="4"/>
        <v/>
      </c>
      <c r="BF26">
        <f t="shared" si="5"/>
        <v>0</v>
      </c>
      <c r="BG26">
        <f t="shared" si="6"/>
        <v>0</v>
      </c>
      <c r="BH26">
        <f>SUM($BG$13:$BG25)</f>
        <v>4</v>
      </c>
      <c r="BI26" t="str">
        <f t="shared" si="7"/>
        <v/>
      </c>
      <c r="BJ26" cm="1">
        <f t="array" ref="BJ26">IF($BD26="",0,IF(ISNUMBER(SEARCH(":",$BI26)),MIN($BF26,SUM(--MID(_xlfn.TEXTSPLIT($BI26,","),FIND(":",_xlfn.TEXTSPLIT($BI26,","))+1,9))),IF(INDEX($N$13:$N$42,$BD26)="",$BF26,MIN($BF26,N(INDEX($N$13:$N$42,$BD26))))))</f>
        <v>0</v>
      </c>
      <c r="BL26" t="str">
        <f>IF(14&gt;$BK$12,"",MATCH(13,$BH$13:$BH$28,1))</f>
        <v/>
      </c>
      <c r="BM26">
        <f>IF($BL26="",0,(13-INDEX($BH$13:$BH$28,$BL26))*24)</f>
        <v>0</v>
      </c>
      <c r="BN26" t="str">
        <f t="shared" si="8"/>
        <v/>
      </c>
      <c r="BO26">
        <f t="shared" si="9"/>
        <v>0</v>
      </c>
      <c r="BP26" t="str">
        <f t="shared" si="10"/>
        <v/>
      </c>
      <c r="BQ26">
        <f t="shared" si="11"/>
        <v>0</v>
      </c>
      <c r="BR26">
        <f>COUNTIF($CB$156:$CB$179,"?*")</f>
        <v>0</v>
      </c>
      <c r="BS26">
        <f>SUMIF($BL$13:$BL$28,14,$BR$13:$BR$28)</f>
        <v>0</v>
      </c>
      <c r="CL26">
        <f>IF($C26="",0,N(IFERROR(INDEX(Catalogo!$N$6:$N$125,MATCH($C26,Catalogo!$C$6:$C$125,0)),0)))</f>
        <v>0</v>
      </c>
      <c r="CM26">
        <f>IF($C26="",0,N(IFERROR(INDEX(Catalogo!$P$6:$P$125,MATCH($C26,Catalogo!$C$6:$C$125,0)),0)))</f>
        <v>3</v>
      </c>
      <c r="CN26">
        <f>IF($C26="",0,N(IFERROR(INDEX(Catalogo!$Q$6:$Q$125,MATCH($C26,Catalogo!$C$6:$C$125,0)),0)))</f>
        <v>0</v>
      </c>
      <c r="CO26">
        <f>IF($C26="",0,IF(OR($AD26="Espacio libre",$AD26="Espacio reservado"),0,IF(IFERROR(INDEX(Catalogo!$N$6:$N$125,MATCH($C26,Catalogo!$C$6:$C$125,0))="",TRUE),1,0)))</f>
        <v>0</v>
      </c>
    </row>
    <row r="27" spans="2:93" ht="14" customHeight="1" x14ac:dyDescent="0.45">
      <c r="B27" s="9">
        <v>15</v>
      </c>
      <c r="C27" s="47" t="s">
        <v>333</v>
      </c>
      <c r="D27" s="38"/>
      <c r="E27" s="39"/>
      <c r="F27" s="48" t="str">
        <f>IF($C27="","",IFERROR(INDEX(Catalogo!$E$6:$E$125,MATCH($C27,Catalogo!$C$6:$C$125,0)),""))</f>
        <v>FMD1 + FAP12WAQDLCZ</v>
      </c>
      <c r="G27" s="39"/>
      <c r="H27" s="9">
        <f>IF($C27="","",N(IFERROR(INDEX(Catalogo!$F$6:$F$125,MATCH($C27,Catalogo!$C$6:$C$125,0)),"")))</f>
        <v>1</v>
      </c>
      <c r="I27" s="9" t="str">
        <f>IF($AD27&lt;&gt;"Patch panel cobre","",IFERROR(INDEX(Catalogo!$G$6:$G$125,MATCH($C27,Catalogo!$C$6:$C$125,0)),""))</f>
        <v/>
      </c>
      <c r="J27" s="9">
        <f>IF(OR($C27="",$H27=0),"",$AR$5-SUM($H$13:H26))</f>
        <v>29</v>
      </c>
      <c r="K27" s="9">
        <f t="shared" si="0"/>
        <v>29</v>
      </c>
      <c r="L27" s="9" t="str">
        <f t="shared" si="1"/>
        <v/>
      </c>
      <c r="M27" s="6"/>
      <c r="N27" s="6"/>
      <c r="O27" s="12" t="str">
        <f t="shared" si="2"/>
        <v/>
      </c>
      <c r="P27" s="37" t="s">
        <v>396</v>
      </c>
      <c r="Q27" s="39"/>
      <c r="R27" s="40"/>
      <c r="S27" s="13">
        <v>31</v>
      </c>
      <c r="T27" s="49" t="str">
        <f>IF($AM27=0,"",IF(INDEX($J$13:$J$42,$AM27)=31,INDEX($AH$13:$AH$42,$AM27),""))</f>
        <v>Espacio para switch 24 puertos 1RU</v>
      </c>
      <c r="U27" s="38"/>
      <c r="V27" s="39"/>
      <c r="W27" s="13">
        <v>31</v>
      </c>
      <c r="X27" s="40"/>
      <c r="AD27" t="str">
        <f>IF($C27="","",IFERROR(INDEX(Catalogo!$B$6:$B$125,MATCH($C27,Catalogo!$C$6:$C$125,0)),""))</f>
        <v>Fibra</v>
      </c>
      <c r="AE27" t="str">
        <f>IF($AD27="Patch panel cobre",COUNTIF($AD$13:$AD27,"Patch panel cobre"),"")</f>
        <v/>
      </c>
      <c r="AH27" t="str">
        <f t="shared" si="3"/>
        <v>Bandeja de fibra 1RU FMD1 + adaptador LC FAP12WAQDLCZ</v>
      </c>
      <c r="AM27">
        <f>IFERROR(MATCH(1,INDEX(($K$13:$K$42&lt;=31)*($J$13:$J$42&gt;=31),0),0),0)</f>
        <v>13</v>
      </c>
      <c r="AN27" t="str">
        <f>IF(31&gt;$AR$5,"Fuera",IF($AM27=0,"",INDEX($AD$13:$AD$42,$AM27)))</f>
        <v>Espacio reservado</v>
      </c>
      <c r="AQ27">
        <f>IF(OR(Proyecto!$C27="",Proyecto!$C27="-"),0,COUNTIF($CA$72:$CA$95,Proyecto!$C27)+COUNTIF($CB$72:$CB$95,Proyecto!$C27)+COUNTIF($CC$72:$CC$95,Proyecto!$C27)+COUNTIF($CD$72:$CD$95,Proyecto!$C27)+COUNTIF($CA$100:$CA$123,Proyecto!$C27)+COUNTIF($CB$100:$CB$123,Proyecto!$C27)+COUNTIF($CC$100:$CC$123,Proyecto!$C27)+COUNTIF($CD$100:$CD$123,Proyecto!$C27)+COUNTIF($CA$128:$CA$151,Proyecto!$C27)+COUNTIF($CB$128:$CB$151,Proyecto!$C27)+COUNTIF($CC$128:$CC$151,Proyecto!$C27)+COUNTIF($CD$128:$CD$151,Proyecto!$C27)+COUNTIF($CA$156:$CA$179,Proyecto!$C27)+COUNTIF($CB$156:$CB$179,Proyecto!$C27)+COUNTIF($CC$156:$CC$179,Proyecto!$C27)+COUNTIF($CD$156:$CD$179,Proyecto!$C27))</f>
        <v>0</v>
      </c>
      <c r="BA27">
        <f>IF(OR(Catalogo!$C27="",Catalogo!$B27="Espacio libre",Catalogo!$B27="Espacio reservado"),0,COUNTIF($C$13:$C$42,Catalogo!$C27)+IF($E$7=Catalogo!$C27,N($K$7),0)+IF($E$8=Catalogo!$C27,N($N$8),0)+IF(Proyecto!$D$12=Catalogo!$C27,$AQ$4,0)+SUMIF($C$49:$C$58,Catalogo!$C27,$K$49:$K$58))</f>
        <v>0</v>
      </c>
      <c r="BD27" t="str">
        <f>IFERROR(MATCH(15,$AE$13:$AE$42,0),"")</f>
        <v/>
      </c>
      <c r="BE27" t="str">
        <f t="shared" si="4"/>
        <v/>
      </c>
      <c r="BF27">
        <f t="shared" si="5"/>
        <v>0</v>
      </c>
      <c r="BG27">
        <f t="shared" si="6"/>
        <v>0</v>
      </c>
      <c r="BH27">
        <f>SUM($BG$13:$BG26)</f>
        <v>4</v>
      </c>
      <c r="BI27" t="str">
        <f t="shared" si="7"/>
        <v/>
      </c>
      <c r="BJ27" cm="1">
        <f t="array" ref="BJ27">IF($BD27="",0,IF(ISNUMBER(SEARCH(":",$BI27)),MIN($BF27,SUM(--MID(_xlfn.TEXTSPLIT($BI27,","),FIND(":",_xlfn.TEXTSPLIT($BI27,","))+1,9))),IF(INDEX($N$13:$N$42,$BD27)="",$BF27,MIN($BF27,N(INDEX($N$13:$N$42,$BD27))))))</f>
        <v>0</v>
      </c>
      <c r="BL27" t="str">
        <f>IF(15&gt;$BK$12,"",MATCH(14,$BH$13:$BH$28,1))</f>
        <v/>
      </c>
      <c r="BM27">
        <f>IF($BL27="",0,(14-INDEX($BH$13:$BH$28,$BL27))*24)</f>
        <v>0</v>
      </c>
      <c r="BN27" t="str">
        <f t="shared" si="8"/>
        <v/>
      </c>
      <c r="BO27">
        <f t="shared" si="9"/>
        <v>0</v>
      </c>
      <c r="BP27" t="str">
        <f t="shared" si="10"/>
        <v/>
      </c>
      <c r="BQ27">
        <f t="shared" si="11"/>
        <v>0</v>
      </c>
      <c r="BR27">
        <f>COUNTIF($CC$156:$CC$179,"?*")</f>
        <v>0</v>
      </c>
      <c r="BS27">
        <f>SUMIF($BL$13:$BL$28,15,$BR$13:$BR$28)</f>
        <v>0</v>
      </c>
      <c r="CL27">
        <f>IF($C27="",0,N(IFERROR(INDEX(Catalogo!$N$6:$N$125,MATCH($C27,Catalogo!$C$6:$C$125,0)),0)))</f>
        <v>0</v>
      </c>
      <c r="CM27">
        <f>IF($C27="",0,N(IFERROR(INDEX(Catalogo!$P$6:$P$125,MATCH($C27,Catalogo!$C$6:$C$125,0)),0)))</f>
        <v>3</v>
      </c>
      <c r="CN27">
        <f>IF($C27="",0,N(IFERROR(INDEX(Catalogo!$Q$6:$Q$125,MATCH($C27,Catalogo!$C$6:$C$125,0)),0)))</f>
        <v>0</v>
      </c>
      <c r="CO27">
        <f>IF($C27="",0,IF(OR($AD27="Espacio libre",$AD27="Espacio reservado"),0,IF(IFERROR(INDEX(Catalogo!$N$6:$N$125,MATCH($C27,Catalogo!$C$6:$C$125,0))="",TRUE),1,0)))</f>
        <v>0</v>
      </c>
    </row>
    <row r="28" spans="2:93" ht="14" customHeight="1" x14ac:dyDescent="0.45">
      <c r="B28" s="9">
        <v>16</v>
      </c>
      <c r="C28" s="47" t="s">
        <v>109</v>
      </c>
      <c r="D28" s="38"/>
      <c r="E28" s="39"/>
      <c r="F28" s="48" t="str">
        <f>IF($C28="","",IFERROR(INDEX(Catalogo!$E$6:$E$125,MATCH($C28,Catalogo!$C$6:$C$125,0)),""))</f>
        <v>CPPA24FMWBLY</v>
      </c>
      <c r="G28" s="39"/>
      <c r="H28" s="9">
        <f>IF($C28="","",N(IFERROR(INDEX(Catalogo!$F$6:$F$125,MATCH($C28,Catalogo!$C$6:$C$125,0)),"")))</f>
        <v>1</v>
      </c>
      <c r="I28" s="9">
        <f>IF($AD28&lt;&gt;"Patch panel cobre","",IFERROR(INDEX(Catalogo!$G$6:$G$125,MATCH($C28,Catalogo!$C$6:$C$125,0)),""))</f>
        <v>24</v>
      </c>
      <c r="J28" s="9">
        <f>IF(OR($C28="",$H28=0),"",$AR$5-SUM($H$13:H27))</f>
        <v>28</v>
      </c>
      <c r="K28" s="9">
        <f t="shared" si="0"/>
        <v>28</v>
      </c>
      <c r="L28" s="9" t="str">
        <f t="shared" si="1"/>
        <v>1A-AC</v>
      </c>
      <c r="M28" s="6"/>
      <c r="N28" s="6"/>
      <c r="O28" s="12">
        <f t="shared" si="2"/>
        <v>0</v>
      </c>
      <c r="P28" s="37"/>
      <c r="Q28" s="39"/>
      <c r="R28" s="40"/>
      <c r="S28" s="13">
        <v>30</v>
      </c>
      <c r="T28" s="49" t="str">
        <f>IF($AM28=0,"",IF(INDEX($J$13:$J$42,$AM28)=30,INDEX($AH$13:$AH$42,$AM28),""))</f>
        <v>PDU horizontal 1RU 12 tomas 120 V 20 A</v>
      </c>
      <c r="U28" s="38"/>
      <c r="V28" s="39"/>
      <c r="W28" s="13">
        <v>30</v>
      </c>
      <c r="X28" s="40"/>
      <c r="AD28" t="str">
        <f>IF($C28="","",IFERROR(INDEX(Catalogo!$B$6:$B$125,MATCH($C28,Catalogo!$C$6:$C$125,0)),""))</f>
        <v>Patch panel cobre</v>
      </c>
      <c r="AE28">
        <f>IF($AD28="Patch panel cobre",COUNTIF($AD$13:$AD28,"Patch panel cobre"),"")</f>
        <v>3</v>
      </c>
      <c r="AH28" t="str">
        <f t="shared" si="3"/>
        <v>Patch panel 1A-AC · 24 p</v>
      </c>
      <c r="AM28">
        <f>IFERROR(MATCH(1,INDEX(($K$13:$K$42&lt;=30)*($J$13:$J$42&gt;=30),0),0),0)</f>
        <v>14</v>
      </c>
      <c r="AN28" t="str">
        <f>IF(30&gt;$AR$5,"Fuera",IF($AM28=0,"",INDEX($AD$13:$AD$42,$AM28)))</f>
        <v>PDU</v>
      </c>
      <c r="BA28">
        <f>IF(OR(Catalogo!$C28="",Catalogo!$B28="Espacio libre",Catalogo!$B28="Espacio reservado"),0,COUNTIF($C$13:$C$42,Catalogo!$C28)+IF($E$7=Catalogo!$C28,N($K$7),0)+IF($E$8=Catalogo!$C28,N($N$8),0)+IF(Proyecto!$D$12=Catalogo!$C28,$AQ$4,0)+SUMIF($C$49:$C$58,Catalogo!$C28,$K$49:$K$58))</f>
        <v>0</v>
      </c>
      <c r="BD28" t="str">
        <f>IFERROR(MATCH(16,$AE$13:$AE$42,0),"")</f>
        <v/>
      </c>
      <c r="BE28" t="str">
        <f t="shared" si="4"/>
        <v/>
      </c>
      <c r="BF28">
        <f t="shared" si="5"/>
        <v>0</v>
      </c>
      <c r="BG28">
        <f t="shared" si="6"/>
        <v>0</v>
      </c>
      <c r="BH28">
        <f>SUM($BG$13:$BG27)</f>
        <v>4</v>
      </c>
      <c r="BI28" t="str">
        <f t="shared" si="7"/>
        <v/>
      </c>
      <c r="BJ28" cm="1">
        <f t="array" ref="BJ28">IF($BD28="",0,IF(ISNUMBER(SEARCH(":",$BI28)),MIN($BF28,SUM(--MID(_xlfn.TEXTSPLIT($BI28,","),FIND(":",_xlfn.TEXTSPLIT($BI28,","))+1,9))),IF(INDEX($N$13:$N$42,$BD28)="",$BF28,MIN($BF28,N(INDEX($N$13:$N$42,$BD28))))))</f>
        <v>0</v>
      </c>
      <c r="BL28" t="str">
        <f>IF(16&gt;$BK$12,"",MATCH(15,$BH$13:$BH$28,1))</f>
        <v/>
      </c>
      <c r="BM28">
        <f>IF($BL28="",0,(15-INDEX($BH$13:$BH$28,$BL28))*24)</f>
        <v>0</v>
      </c>
      <c r="BN28" t="str">
        <f t="shared" si="8"/>
        <v/>
      </c>
      <c r="BO28">
        <f t="shared" si="9"/>
        <v>0</v>
      </c>
      <c r="BP28" t="str">
        <f t="shared" si="10"/>
        <v/>
      </c>
      <c r="BQ28">
        <f t="shared" si="11"/>
        <v>0</v>
      </c>
      <c r="BR28">
        <f>COUNTIF($CD$156:$CD$179,"?*")</f>
        <v>0</v>
      </c>
      <c r="BS28">
        <f>SUMIF($BL$13:$BL$28,16,$BR$13:$BR$28)</f>
        <v>0</v>
      </c>
      <c r="CL28">
        <f>IF($C28="",0,N(IFERROR(INDEX(Catalogo!$N$6:$N$125,MATCH($C28,Catalogo!$C$6:$C$125,0)),0)))</f>
        <v>0</v>
      </c>
      <c r="CM28">
        <f>IF($C28="",0,N(IFERROR(INDEX(Catalogo!$P$6:$P$125,MATCH($C28,Catalogo!$C$6:$C$125,0)),0)))</f>
        <v>1</v>
      </c>
      <c r="CN28">
        <f>IF($C28="",0,N(IFERROR(INDEX(Catalogo!$Q$6:$Q$125,MATCH($C28,Catalogo!$C$6:$C$125,0)),0)))</f>
        <v>0</v>
      </c>
      <c r="CO28">
        <f>IF($C28="",0,IF(OR($AD28="Espacio libre",$AD28="Espacio reservado"),0,IF(IFERROR(INDEX(Catalogo!$N$6:$N$125,MATCH($C28,Catalogo!$C$6:$C$125,0))="",TRUE),1,0)))</f>
        <v>0</v>
      </c>
    </row>
    <row r="29" spans="2:93" ht="14" customHeight="1" x14ac:dyDescent="0.45">
      <c r="B29" s="9">
        <v>17</v>
      </c>
      <c r="C29" s="47" t="s">
        <v>344</v>
      </c>
      <c r="D29" s="38"/>
      <c r="E29" s="39"/>
      <c r="F29" s="48" t="str">
        <f>IF($C29="","",IFERROR(INDEX(Catalogo!$E$6:$E$125,MATCH($C29,Catalogo!$C$6:$C$125,0)),""))</f>
        <v>—</v>
      </c>
      <c r="G29" s="39"/>
      <c r="H29" s="9">
        <f>IF($C29="","",N(IFERROR(INDEX(Catalogo!$F$6:$F$125,MATCH($C29,Catalogo!$C$6:$C$125,0)),"")))</f>
        <v>1</v>
      </c>
      <c r="I29" s="9" t="str">
        <f>IF($AD29&lt;&gt;"Patch panel cobre","",IFERROR(INDEX(Catalogo!$G$6:$G$125,MATCH($C29,Catalogo!$C$6:$C$125,0)),""))</f>
        <v/>
      </c>
      <c r="J29" s="9">
        <f>IF(OR($C29="",$H29=0),"",$AR$5-SUM($H$13:H28))</f>
        <v>27</v>
      </c>
      <c r="K29" s="9">
        <f t="shared" si="0"/>
        <v>27</v>
      </c>
      <c r="L29" s="9" t="str">
        <f t="shared" si="1"/>
        <v/>
      </c>
      <c r="M29" s="6"/>
      <c r="N29" s="6"/>
      <c r="O29" s="12" t="str">
        <f t="shared" si="2"/>
        <v/>
      </c>
      <c r="P29" s="37"/>
      <c r="Q29" s="39"/>
      <c r="R29" s="40"/>
      <c r="S29" s="13">
        <v>29</v>
      </c>
      <c r="T29" s="49" t="str">
        <f>IF($AM29=0,"",IF(INDEX($J$13:$J$42,$AM29)=29,INDEX($AH$13:$AH$42,$AM29),""))</f>
        <v>Bandeja de fibra 1RU FMD1 + adaptador LC FAP12WAQDLCZ</v>
      </c>
      <c r="U29" s="38"/>
      <c r="V29" s="39"/>
      <c r="W29" s="13">
        <v>29</v>
      </c>
      <c r="X29" s="40"/>
      <c r="AD29" t="str">
        <f>IF($C29="","",IFERROR(INDEX(Catalogo!$B$6:$B$125,MATCH($C29,Catalogo!$C$6:$C$125,0)),""))</f>
        <v>Espacio reservado</v>
      </c>
      <c r="AE29" t="str">
        <f>IF($AD29="Patch panel cobre",COUNTIF($AD$13:$AD29,"Patch panel cobre"),"")</f>
        <v/>
      </c>
      <c r="AH29" t="str">
        <f t="shared" si="3"/>
        <v>Espacio para switch 24 puertos 1RU</v>
      </c>
      <c r="AM29">
        <f>IFERROR(MATCH(1,INDEX(($K$13:$K$42&lt;=29)*($J$13:$J$42&gt;=29),0),0),0)</f>
        <v>15</v>
      </c>
      <c r="AN29" t="str">
        <f>IF(29&gt;$AR$5,"Fuera",IF($AM29=0,"",INDEX($AD$13:$AD$42,$AM29)))</f>
        <v>Fibra</v>
      </c>
      <c r="BA29">
        <f>IF(OR(Catalogo!$C29="",Catalogo!$B29="Espacio libre",Catalogo!$B29="Espacio reservado"),0,COUNTIF($C$13:$C$42,Catalogo!$C29)+IF($E$7=Catalogo!$C29,N($K$7),0)+IF($E$8=Catalogo!$C29,N($N$8),0)+IF(Proyecto!$D$12=Catalogo!$C29,$AQ$4,0)+SUMIF($C$49:$C$58,Catalogo!$C29,$K$49:$K$58))</f>
        <v>0</v>
      </c>
      <c r="CL29">
        <f>IF($C29="",0,N(IFERROR(INDEX(Catalogo!$N$6:$N$125,MATCH($C29,Catalogo!$C$6:$C$125,0)),0)))</f>
        <v>0</v>
      </c>
      <c r="CM29">
        <f>IF($C29="",0,N(IFERROR(INDEX(Catalogo!$P$6:$P$125,MATCH($C29,Catalogo!$C$6:$C$125,0)),0)))</f>
        <v>0</v>
      </c>
      <c r="CN29">
        <f>IF($C29="",0,N(IFERROR(INDEX(Catalogo!$Q$6:$Q$125,MATCH($C29,Catalogo!$C$6:$C$125,0)),0)))</f>
        <v>0</v>
      </c>
      <c r="CO29">
        <f>IF($C29="",0,IF(OR($AD29="Espacio libre",$AD29="Espacio reservado"),0,IF(IFERROR(INDEX(Catalogo!$N$6:$N$125,MATCH($C29,Catalogo!$C$6:$C$125,0))="",TRUE),1,0)))</f>
        <v>0</v>
      </c>
    </row>
    <row r="30" spans="2:93" ht="14" customHeight="1" x14ac:dyDescent="0.45">
      <c r="B30" s="9">
        <v>18</v>
      </c>
      <c r="C30" s="47" t="s">
        <v>336</v>
      </c>
      <c r="D30" s="38"/>
      <c r="E30" s="39"/>
      <c r="F30" s="48" t="str">
        <f>IF($C30="","",IFERROR(INDEX(Catalogo!$E$6:$E$125,MATCH($C30,Catalogo!$C$6:$C$125,0)),""))</f>
        <v>WMPH2E</v>
      </c>
      <c r="G30" s="39"/>
      <c r="H30" s="9">
        <f>IF($C30="","",N(IFERROR(INDEX(Catalogo!$F$6:$F$125,MATCH($C30,Catalogo!$C$6:$C$125,0)),"")))</f>
        <v>2</v>
      </c>
      <c r="I30" s="9" t="str">
        <f>IF($AD30&lt;&gt;"Patch panel cobre","",IFERROR(INDEX(Catalogo!$G$6:$G$125,MATCH($C30,Catalogo!$C$6:$C$125,0)),""))</f>
        <v/>
      </c>
      <c r="J30" s="9">
        <f>IF(OR($C30="",$H30=0),"",$AR$5-SUM($H$13:H29))</f>
        <v>26</v>
      </c>
      <c r="K30" s="9">
        <f t="shared" si="0"/>
        <v>25</v>
      </c>
      <c r="L30" s="9" t="str">
        <f t="shared" si="1"/>
        <v/>
      </c>
      <c r="M30" s="6"/>
      <c r="N30" s="6"/>
      <c r="O30" s="12" t="str">
        <f t="shared" si="2"/>
        <v/>
      </c>
      <c r="P30" s="37" t="s">
        <v>120</v>
      </c>
      <c r="Q30" s="39"/>
      <c r="R30" s="40"/>
      <c r="S30" s="13">
        <v>28</v>
      </c>
      <c r="T30" s="49" t="str">
        <f>IF($AM30=0,"",IF(INDEX($J$13:$J$42,$AM30)=28,INDEX($AH$13:$AH$42,$AM30),""))</f>
        <v>Patch panel 1A-AC · 24 p</v>
      </c>
      <c r="U30" s="38"/>
      <c r="V30" s="39"/>
      <c r="W30" s="13">
        <v>28</v>
      </c>
      <c r="X30" s="40"/>
      <c r="AD30" t="str">
        <f>IF($C30="","",IFERROR(INDEX(Catalogo!$B$6:$B$125,MATCH($C30,Catalogo!$C$6:$C$125,0)),""))</f>
        <v>Organizador horizontal</v>
      </c>
      <c r="AE30" t="str">
        <f>IF($AD30="Patch panel cobre",COUNTIF($AD$13:$AD30,"Patch panel cobre"),"")</f>
        <v/>
      </c>
      <c r="AH30" t="str">
        <f t="shared" si="3"/>
        <v>Org. horizontal 2RU frontal/posterior con radio de curvatura (NetRunner)</v>
      </c>
      <c r="AM30">
        <f>IFERROR(MATCH(1,INDEX(($K$13:$K$42&lt;=28)*($J$13:$J$42&gt;=28),0),0),0)</f>
        <v>16</v>
      </c>
      <c r="AN30" t="str">
        <f>IF(28&gt;$AR$5,"Fuera",IF($AM30=0,"",INDEX($AD$13:$AD$42,$AM30)))</f>
        <v>Patch panel cobre</v>
      </c>
      <c r="BA30">
        <f>IF(OR(Catalogo!$C30="",Catalogo!$B30="Espacio libre",Catalogo!$B30="Espacio reservado"),0,COUNTIF($C$13:$C$42,Catalogo!$C30)+IF($E$7=Catalogo!$C30,N($K$7),0)+IF($E$8=Catalogo!$C30,N($N$8),0)+IF(Proyecto!$D$12=Catalogo!$C30,$AQ$4,0)+SUMIF($C$49:$C$58,Catalogo!$C30,$K$49:$K$58))</f>
        <v>0</v>
      </c>
      <c r="CL30">
        <f>IF($C30="",0,N(IFERROR(INDEX(Catalogo!$N$6:$N$125,MATCH($C30,Catalogo!$C$6:$C$125,0)),0)))</f>
        <v>0</v>
      </c>
      <c r="CM30">
        <f>IF($C30="",0,N(IFERROR(INDEX(Catalogo!$P$6:$P$125,MATCH($C30,Catalogo!$C$6:$C$125,0)),0)))</f>
        <v>2</v>
      </c>
      <c r="CN30">
        <f>IF($C30="",0,N(IFERROR(INDEX(Catalogo!$Q$6:$Q$125,MATCH($C30,Catalogo!$C$6:$C$125,0)),0)))</f>
        <v>0</v>
      </c>
      <c r="CO30">
        <f>IF($C30="",0,IF(OR($AD30="Espacio libre",$AD30="Espacio reservado"),0,IF(IFERROR(INDEX(Catalogo!$N$6:$N$125,MATCH($C30,Catalogo!$C$6:$C$125,0))="",TRUE),1,0)))</f>
        <v>0</v>
      </c>
    </row>
    <row r="31" spans="2:93" ht="14" customHeight="1" x14ac:dyDescent="0.45">
      <c r="B31" s="9">
        <v>19</v>
      </c>
      <c r="C31" s="47" t="s">
        <v>109</v>
      </c>
      <c r="D31" s="38"/>
      <c r="E31" s="39"/>
      <c r="F31" s="48" t="str">
        <f>IF($C31="","",IFERROR(INDEX(Catalogo!$E$6:$E$125,MATCH($C31,Catalogo!$C$6:$C$125,0)),""))</f>
        <v>CPPA24FMWBLY</v>
      </c>
      <c r="G31" s="39"/>
      <c r="H31" s="9">
        <f>IF($C31="","",N(IFERROR(INDEX(Catalogo!$F$6:$F$125,MATCH($C31,Catalogo!$C$6:$C$125,0)),"")))</f>
        <v>1</v>
      </c>
      <c r="I31" s="9">
        <f>IF($AD31&lt;&gt;"Patch panel cobre","",IFERROR(INDEX(Catalogo!$G$6:$G$125,MATCH($C31,Catalogo!$C$6:$C$125,0)),""))</f>
        <v>24</v>
      </c>
      <c r="J31" s="9">
        <f>IF(OR($C31="",$H31=0),"",$AR$5-SUM($H$13:H30))</f>
        <v>24</v>
      </c>
      <c r="K31" s="9">
        <f t="shared" si="0"/>
        <v>24</v>
      </c>
      <c r="L31" s="9" t="str">
        <f t="shared" si="1"/>
        <v>1A-AD</v>
      </c>
      <c r="M31" s="6"/>
      <c r="N31" s="6"/>
      <c r="O31" s="12">
        <f t="shared" si="2"/>
        <v>0</v>
      </c>
      <c r="P31" s="37"/>
      <c r="Q31" s="39"/>
      <c r="R31" s="40"/>
      <c r="S31" s="13">
        <v>27</v>
      </c>
      <c r="T31" s="49" t="str">
        <f>IF($AM31=0,"",IF(INDEX($J$13:$J$42,$AM31)=27,INDEX($AH$13:$AH$42,$AM31),""))</f>
        <v>Espacio para switch 24 puertos 1RU</v>
      </c>
      <c r="U31" s="38"/>
      <c r="V31" s="39"/>
      <c r="W31" s="13">
        <v>27</v>
      </c>
      <c r="X31" s="40"/>
      <c r="AD31" t="str">
        <f>IF($C31="","",IFERROR(INDEX(Catalogo!$B$6:$B$125,MATCH($C31,Catalogo!$C$6:$C$125,0)),""))</f>
        <v>Patch panel cobre</v>
      </c>
      <c r="AE31">
        <f>IF($AD31="Patch panel cobre",COUNTIF($AD$13:$AD31,"Patch panel cobre"),"")</f>
        <v>4</v>
      </c>
      <c r="AH31" t="str">
        <f t="shared" si="3"/>
        <v>Patch panel 1A-AD · 24 p</v>
      </c>
      <c r="AM31">
        <f>IFERROR(MATCH(1,INDEX(($K$13:$K$42&lt;=27)*($J$13:$J$42&gt;=27),0),0),0)</f>
        <v>17</v>
      </c>
      <c r="AN31" t="str">
        <f>IF(27&gt;$AR$5,"Fuera",IF($AM31=0,"",INDEX($AD$13:$AD$42,$AM31)))</f>
        <v>Espacio reservado</v>
      </c>
      <c r="BA31">
        <f>IF(OR(Catalogo!$C31="",Catalogo!$B31="Espacio libre",Catalogo!$B31="Espacio reservado"),0,COUNTIF($C$13:$C$42,Catalogo!$C31)+IF($E$7=Catalogo!$C31,N($K$7),0)+IF($E$8=Catalogo!$C31,N($N$8),0)+IF(Proyecto!$D$12=Catalogo!$C31,$AQ$4,0)+SUMIF($C$49:$C$58,Catalogo!$C31,$K$49:$K$58))</f>
        <v>0</v>
      </c>
      <c r="CL31">
        <f>IF($C31="",0,N(IFERROR(INDEX(Catalogo!$N$6:$N$125,MATCH($C31,Catalogo!$C$6:$C$125,0)),0)))</f>
        <v>0</v>
      </c>
      <c r="CM31">
        <f>IF($C31="",0,N(IFERROR(INDEX(Catalogo!$P$6:$P$125,MATCH($C31,Catalogo!$C$6:$C$125,0)),0)))</f>
        <v>1</v>
      </c>
      <c r="CN31">
        <f>IF($C31="",0,N(IFERROR(INDEX(Catalogo!$Q$6:$Q$125,MATCH($C31,Catalogo!$C$6:$C$125,0)),0)))</f>
        <v>0</v>
      </c>
      <c r="CO31">
        <f>IF($C31="",0,IF(OR($AD31="Espacio libre",$AD31="Espacio reservado"),0,IF(IFERROR(INDEX(Catalogo!$N$6:$N$125,MATCH($C31,Catalogo!$C$6:$C$125,0))="",TRUE),1,0)))</f>
        <v>0</v>
      </c>
    </row>
    <row r="32" spans="2:93" ht="14" customHeight="1" x14ac:dyDescent="0.45">
      <c r="B32" s="9">
        <v>20</v>
      </c>
      <c r="C32" s="47" t="s">
        <v>344</v>
      </c>
      <c r="D32" s="38"/>
      <c r="E32" s="39"/>
      <c r="F32" s="48" t="str">
        <f>IF($C32="","",IFERROR(INDEX(Catalogo!$E$6:$E$125,MATCH($C32,Catalogo!$C$6:$C$125,0)),""))</f>
        <v>—</v>
      </c>
      <c r="G32" s="39"/>
      <c r="H32" s="9">
        <f>IF($C32="","",N(IFERROR(INDEX(Catalogo!$F$6:$F$125,MATCH($C32,Catalogo!$C$6:$C$125,0)),"")))</f>
        <v>1</v>
      </c>
      <c r="I32" s="9" t="str">
        <f>IF($AD32&lt;&gt;"Patch panel cobre","",IFERROR(INDEX(Catalogo!$G$6:$G$125,MATCH($C32,Catalogo!$C$6:$C$125,0)),""))</f>
        <v/>
      </c>
      <c r="J32" s="9">
        <f>IF(OR($C32="",$H32=0),"",$AR$5-SUM($H$13:H31))</f>
        <v>23</v>
      </c>
      <c r="K32" s="9">
        <f t="shared" si="0"/>
        <v>23</v>
      </c>
      <c r="L32" s="9" t="str">
        <f t="shared" si="1"/>
        <v/>
      </c>
      <c r="M32" s="6"/>
      <c r="N32" s="6"/>
      <c r="O32" s="12" t="str">
        <f t="shared" si="2"/>
        <v/>
      </c>
      <c r="P32" s="37"/>
      <c r="Q32" s="39"/>
      <c r="R32" s="40"/>
      <c r="S32" s="13">
        <v>26</v>
      </c>
      <c r="T32" s="49" t="str">
        <f>IF($AM32=0,"",IF(INDEX($J$13:$J$42,$AM32)=26,INDEX($AH$13:$AH$42,$AM32),""))</f>
        <v>Org. horizontal 2RU frontal/posterior con radio de curvatura (NetRunner)</v>
      </c>
      <c r="U32" s="38"/>
      <c r="V32" s="39"/>
      <c r="W32" s="13">
        <v>26</v>
      </c>
      <c r="X32" s="40"/>
      <c r="AD32" t="str">
        <f>IF($C32="","",IFERROR(INDEX(Catalogo!$B$6:$B$125,MATCH($C32,Catalogo!$C$6:$C$125,0)),""))</f>
        <v>Espacio reservado</v>
      </c>
      <c r="AE32" t="str">
        <f>IF($AD32="Patch panel cobre",COUNTIF($AD$13:$AD32,"Patch panel cobre"),"")</f>
        <v/>
      </c>
      <c r="AH32" t="str">
        <f t="shared" si="3"/>
        <v>Espacio para switch 24 puertos 1RU</v>
      </c>
      <c r="AM32">
        <f>IFERROR(MATCH(1,INDEX(($K$13:$K$42&lt;=26)*($J$13:$J$42&gt;=26),0),0),0)</f>
        <v>18</v>
      </c>
      <c r="AN32" t="str">
        <f>IF(26&gt;$AR$5,"Fuera",IF($AM32=0,"",INDEX($AD$13:$AD$42,$AM32)))</f>
        <v>Organizador horizontal</v>
      </c>
      <c r="BA32">
        <f>IF(OR(Catalogo!$C32="",Catalogo!$B32="Espacio libre",Catalogo!$B32="Espacio reservado"),0,COUNTIF($C$13:$C$42,Catalogo!$C32)+IF($E$7=Catalogo!$C32,N($K$7),0)+IF($E$8=Catalogo!$C32,N($N$8),0)+IF(Proyecto!$D$12=Catalogo!$C32,$AQ$4,0)+SUMIF($C$49:$C$58,Catalogo!$C32,$K$49:$K$58))</f>
        <v>0</v>
      </c>
      <c r="CL32">
        <f>IF($C32="",0,N(IFERROR(INDEX(Catalogo!$N$6:$N$125,MATCH($C32,Catalogo!$C$6:$C$125,0)),0)))</f>
        <v>0</v>
      </c>
      <c r="CM32">
        <f>IF($C32="",0,N(IFERROR(INDEX(Catalogo!$P$6:$P$125,MATCH($C32,Catalogo!$C$6:$C$125,0)),0)))</f>
        <v>0</v>
      </c>
      <c r="CN32">
        <f>IF($C32="",0,N(IFERROR(INDEX(Catalogo!$Q$6:$Q$125,MATCH($C32,Catalogo!$C$6:$C$125,0)),0)))</f>
        <v>0</v>
      </c>
      <c r="CO32">
        <f>IF($C32="",0,IF(OR($AD32="Espacio libre",$AD32="Espacio reservado"),0,IF(IFERROR(INDEX(Catalogo!$N$6:$N$125,MATCH($C32,Catalogo!$C$6:$C$125,0))="",TRUE),1,0)))</f>
        <v>0</v>
      </c>
    </row>
    <row r="33" spans="2:93" ht="14" customHeight="1" x14ac:dyDescent="0.45">
      <c r="B33" s="9">
        <v>21</v>
      </c>
      <c r="C33" s="47" t="s">
        <v>336</v>
      </c>
      <c r="D33" s="38"/>
      <c r="E33" s="39"/>
      <c r="F33" s="48" t="str">
        <f>IF($C33="","",IFERROR(INDEX(Catalogo!$E$6:$E$125,MATCH($C33,Catalogo!$C$6:$C$125,0)),""))</f>
        <v>WMPH2E</v>
      </c>
      <c r="G33" s="39"/>
      <c r="H33" s="9">
        <f>IF($C33="","",N(IFERROR(INDEX(Catalogo!$F$6:$F$125,MATCH($C33,Catalogo!$C$6:$C$125,0)),"")))</f>
        <v>2</v>
      </c>
      <c r="I33" s="9" t="str">
        <f>IF($AD33&lt;&gt;"Patch panel cobre","",IFERROR(INDEX(Catalogo!$G$6:$G$125,MATCH($C33,Catalogo!$C$6:$C$125,0)),""))</f>
        <v/>
      </c>
      <c r="J33" s="9">
        <f>IF(OR($C33="",$H33=0),"",$AR$5-SUM($H$13:H32))</f>
        <v>22</v>
      </c>
      <c r="K33" s="9">
        <f t="shared" si="0"/>
        <v>21</v>
      </c>
      <c r="L33" s="9" t="str">
        <f t="shared" si="1"/>
        <v/>
      </c>
      <c r="M33" s="6"/>
      <c r="N33" s="6"/>
      <c r="O33" s="12" t="str">
        <f t="shared" si="2"/>
        <v/>
      </c>
      <c r="P33" s="37" t="s">
        <v>120</v>
      </c>
      <c r="Q33" s="39"/>
      <c r="R33" s="40"/>
      <c r="S33" s="13">
        <v>25</v>
      </c>
      <c r="T33" s="49" t="str">
        <f>IF($AM33=0,"",IF(INDEX($J$13:$J$42,$AM33)=25,INDEX($AH$13:$AH$42,$AM33),""))</f>
        <v/>
      </c>
      <c r="U33" s="38"/>
      <c r="V33" s="39"/>
      <c r="W33" s="13">
        <v>25</v>
      </c>
      <c r="X33" s="40"/>
      <c r="AD33" t="str">
        <f>IF($C33="","",IFERROR(INDEX(Catalogo!$B$6:$B$125,MATCH($C33,Catalogo!$C$6:$C$125,0)),""))</f>
        <v>Organizador horizontal</v>
      </c>
      <c r="AE33" t="str">
        <f>IF($AD33="Patch panel cobre",COUNTIF($AD$13:$AD33,"Patch panel cobre"),"")</f>
        <v/>
      </c>
      <c r="AH33" t="str">
        <f t="shared" si="3"/>
        <v>Org. horizontal 2RU frontal/posterior con radio de curvatura (NetRunner)</v>
      </c>
      <c r="AM33">
        <f>IFERROR(MATCH(1,INDEX(($K$13:$K$42&lt;=25)*($J$13:$J$42&gt;=25),0),0),0)</f>
        <v>18</v>
      </c>
      <c r="AN33" t="str">
        <f>IF(25&gt;$AR$5,"Fuera",IF($AM33=0,"",INDEX($AD$13:$AD$42,$AM33)))</f>
        <v>Organizador horizontal</v>
      </c>
      <c r="BA33">
        <f>IF(OR(Catalogo!$C33="",Catalogo!$B33="Espacio libre",Catalogo!$B33="Espacio reservado"),0,COUNTIF($C$13:$C$42,Catalogo!$C33)+IF($E$7=Catalogo!$C33,N($K$7),0)+IF($E$8=Catalogo!$C33,N($N$8),0)+IF(Proyecto!$D$12=Catalogo!$C33,$AQ$4,0)+SUMIF($C$49:$C$58,Catalogo!$C33,$K$49:$K$58))</f>
        <v>0</v>
      </c>
      <c r="CL33">
        <f>IF($C33="",0,N(IFERROR(INDEX(Catalogo!$N$6:$N$125,MATCH($C33,Catalogo!$C$6:$C$125,0)),0)))</f>
        <v>0</v>
      </c>
      <c r="CM33">
        <f>IF($C33="",0,N(IFERROR(INDEX(Catalogo!$P$6:$P$125,MATCH($C33,Catalogo!$C$6:$C$125,0)),0)))</f>
        <v>2</v>
      </c>
      <c r="CN33">
        <f>IF($C33="",0,N(IFERROR(INDEX(Catalogo!$Q$6:$Q$125,MATCH($C33,Catalogo!$C$6:$C$125,0)),0)))</f>
        <v>0</v>
      </c>
      <c r="CO33">
        <f>IF($C33="",0,IF(OR($AD33="Espacio libre",$AD33="Espacio reservado"),0,IF(IFERROR(INDEX(Catalogo!$N$6:$N$125,MATCH($C33,Catalogo!$C$6:$C$125,0))="",TRUE),1,0)))</f>
        <v>0</v>
      </c>
    </row>
    <row r="34" spans="2:93" ht="14" customHeight="1" x14ac:dyDescent="0.45">
      <c r="B34" s="9">
        <v>22</v>
      </c>
      <c r="C34" s="47" t="s">
        <v>344</v>
      </c>
      <c r="D34" s="38"/>
      <c r="E34" s="39"/>
      <c r="F34" s="48" t="str">
        <f>IF($C34="","",IFERROR(INDEX(Catalogo!$E$6:$E$125,MATCH($C34,Catalogo!$C$6:$C$125,0)),""))</f>
        <v>—</v>
      </c>
      <c r="G34" s="39"/>
      <c r="H34" s="9">
        <f>IF($C34="","",N(IFERROR(INDEX(Catalogo!$F$6:$F$125,MATCH($C34,Catalogo!$C$6:$C$125,0)),"")))</f>
        <v>1</v>
      </c>
      <c r="I34" s="9" t="str">
        <f>IF($AD34&lt;&gt;"Patch panel cobre","",IFERROR(INDEX(Catalogo!$G$6:$G$125,MATCH($C34,Catalogo!$C$6:$C$125,0)),""))</f>
        <v/>
      </c>
      <c r="J34" s="9">
        <f>IF(OR($C34="",$H34=0),"",$AR$5-SUM($H$13:H33))</f>
        <v>20</v>
      </c>
      <c r="K34" s="9">
        <f t="shared" si="0"/>
        <v>20</v>
      </c>
      <c r="L34" s="9" t="str">
        <f t="shared" si="1"/>
        <v/>
      </c>
      <c r="M34" s="6"/>
      <c r="N34" s="6"/>
      <c r="O34" s="12" t="str">
        <f t="shared" si="2"/>
        <v/>
      </c>
      <c r="P34" s="37"/>
      <c r="Q34" s="39"/>
      <c r="R34" s="40"/>
      <c r="S34" s="13">
        <v>24</v>
      </c>
      <c r="T34" s="49" t="str">
        <f>IF($AM34=0,"",IF(INDEX($J$13:$J$42,$AM34)=24,INDEX($AH$13:$AH$42,$AM34),""))</f>
        <v>Patch panel 1A-AD · 24 p</v>
      </c>
      <c r="U34" s="38"/>
      <c r="V34" s="39"/>
      <c r="W34" s="13">
        <v>24</v>
      </c>
      <c r="X34" s="40"/>
      <c r="AD34" t="str">
        <f>IF($C34="","",IFERROR(INDEX(Catalogo!$B$6:$B$125,MATCH($C34,Catalogo!$C$6:$C$125,0)),""))</f>
        <v>Espacio reservado</v>
      </c>
      <c r="AE34" t="str">
        <f>IF($AD34="Patch panel cobre",COUNTIF($AD$13:$AD34,"Patch panel cobre"),"")</f>
        <v/>
      </c>
      <c r="AH34" t="str">
        <f t="shared" si="3"/>
        <v>Espacio para switch 24 puertos 1RU</v>
      </c>
      <c r="AM34">
        <f>IFERROR(MATCH(1,INDEX(($K$13:$K$42&lt;=24)*($J$13:$J$42&gt;=24),0),0),0)</f>
        <v>19</v>
      </c>
      <c r="AN34" t="str">
        <f>IF(24&gt;$AR$5,"Fuera",IF($AM34=0,"",INDEX($AD$13:$AD$42,$AM34)))</f>
        <v>Patch panel cobre</v>
      </c>
      <c r="BA34">
        <f>IF(OR(Catalogo!$C34="",Catalogo!$B34="Espacio libre",Catalogo!$B34="Espacio reservado"),0,COUNTIF($C$13:$C$42,Catalogo!$C34)+IF($E$7=Catalogo!$C34,N($K$7),0)+IF($E$8=Catalogo!$C34,N($N$8),0)+IF(Proyecto!$D$12=Catalogo!$C34,$AQ$4,0)+SUMIF($C$49:$C$58,Catalogo!$C34,$K$49:$K$58))</f>
        <v>0</v>
      </c>
      <c r="CL34">
        <f>IF($C34="",0,N(IFERROR(INDEX(Catalogo!$N$6:$N$125,MATCH($C34,Catalogo!$C$6:$C$125,0)),0)))</f>
        <v>0</v>
      </c>
      <c r="CM34">
        <f>IF($C34="",0,N(IFERROR(INDEX(Catalogo!$P$6:$P$125,MATCH($C34,Catalogo!$C$6:$C$125,0)),0)))</f>
        <v>0</v>
      </c>
      <c r="CN34">
        <f>IF($C34="",0,N(IFERROR(INDEX(Catalogo!$Q$6:$Q$125,MATCH($C34,Catalogo!$C$6:$C$125,0)),0)))</f>
        <v>0</v>
      </c>
      <c r="CO34">
        <f>IF($C34="",0,IF(OR($AD34="Espacio libre",$AD34="Espacio reservado"),0,IF(IFERROR(INDEX(Catalogo!$N$6:$N$125,MATCH($C34,Catalogo!$C$6:$C$125,0))="",TRUE),1,0)))</f>
        <v>0</v>
      </c>
    </row>
    <row r="35" spans="2:93" ht="14" customHeight="1" x14ac:dyDescent="0.45">
      <c r="B35" s="9">
        <v>23</v>
      </c>
      <c r="C35" s="47" t="s">
        <v>350</v>
      </c>
      <c r="D35" s="38"/>
      <c r="E35" s="39"/>
      <c r="F35" s="48" t="str">
        <f>IF($C35="","",IFERROR(INDEX(Catalogo!$E$6:$E$125,MATCH($C35,Catalogo!$C$6:$C$125,0)),""))</f>
        <v>Por definir</v>
      </c>
      <c r="G35" s="39"/>
      <c r="H35" s="9">
        <f>IF($C35="","",N(IFERROR(INDEX(Catalogo!$F$6:$F$125,MATCH($C35,Catalogo!$C$6:$C$125,0)),"")))</f>
        <v>1</v>
      </c>
      <c r="I35" s="9" t="str">
        <f>IF($AD35&lt;&gt;"Patch panel cobre","",IFERROR(INDEX(Catalogo!$G$6:$G$125,MATCH($C35,Catalogo!$C$6:$C$125,0)),""))</f>
        <v/>
      </c>
      <c r="J35" s="9">
        <f>IF(OR($C35="",$H35=0),"",$AR$5-SUM($H$13:H34))</f>
        <v>19</v>
      </c>
      <c r="K35" s="9">
        <f t="shared" si="0"/>
        <v>19</v>
      </c>
      <c r="L35" s="9" t="str">
        <f t="shared" si="1"/>
        <v/>
      </c>
      <c r="M35" s="6"/>
      <c r="N35" s="6"/>
      <c r="O35" s="12" t="str">
        <f t="shared" si="2"/>
        <v/>
      </c>
      <c r="P35" s="37"/>
      <c r="Q35" s="39"/>
      <c r="R35" s="40"/>
      <c r="S35" s="13">
        <v>23</v>
      </c>
      <c r="T35" s="49" t="str">
        <f>IF($AM35=0,"",IF(INDEX($J$13:$J$42,$AM35)=23,INDEX($AH$13:$AH$42,$AM35),""))</f>
        <v>Espacio para switch 24 puertos 1RU</v>
      </c>
      <c r="U35" s="38"/>
      <c r="V35" s="39"/>
      <c r="W35" s="13">
        <v>23</v>
      </c>
      <c r="X35" s="40"/>
      <c r="AD35" t="str">
        <f>IF($C35="","",IFERROR(INDEX(Catalogo!$B$6:$B$125,MATCH($C35,Catalogo!$C$6:$C$125,0)),""))</f>
        <v>Servidor</v>
      </c>
      <c r="AE35" t="str">
        <f>IF($AD35="Patch panel cobre",COUNTIF($AD$13:$AD35,"Patch panel cobre"),"")</f>
        <v/>
      </c>
      <c r="AH35" t="str">
        <f t="shared" si="3"/>
        <v>Servidor 1RU (disco 2 TB)</v>
      </c>
      <c r="AM35">
        <f>IFERROR(MATCH(1,INDEX(($K$13:$K$42&lt;=23)*($J$13:$J$42&gt;=23),0),0),0)</f>
        <v>20</v>
      </c>
      <c r="AN35" t="str">
        <f>IF(23&gt;$AR$5,"Fuera",IF($AM35=0,"",INDEX($AD$13:$AD$42,$AM35)))</f>
        <v>Espacio reservado</v>
      </c>
      <c r="BA35">
        <f>IF(OR(Catalogo!$C35="",Catalogo!$B35="Espacio libre",Catalogo!$B35="Espacio reservado"),0,COUNTIF($C$13:$C$42,Catalogo!$C35)+IF($E$7=Catalogo!$C35,N($K$7),0)+IF($E$8=Catalogo!$C35,N($N$8),0)+IF(Proyecto!$D$12=Catalogo!$C35,$AQ$4,0)+SUMIF($C$49:$C$58,Catalogo!$C35,$K$49:$K$58))</f>
        <v>0</v>
      </c>
      <c r="CL35">
        <f>IF($C35="",0,N(IFERROR(INDEX(Catalogo!$N$6:$N$125,MATCH($C35,Catalogo!$C$6:$C$125,0)),0)))</f>
        <v>0</v>
      </c>
      <c r="CM35">
        <f>IF($C35="",0,N(IFERROR(INDEX(Catalogo!$P$6:$P$125,MATCH($C35,Catalogo!$C$6:$C$125,0)),0)))</f>
        <v>0</v>
      </c>
      <c r="CN35">
        <f>IF($C35="",0,N(IFERROR(INDEX(Catalogo!$Q$6:$Q$125,MATCH($C35,Catalogo!$C$6:$C$125,0)),0)))</f>
        <v>0</v>
      </c>
      <c r="CO35">
        <f>IF($C35="",0,IF(OR($AD35="Espacio libre",$AD35="Espacio reservado"),0,IF(IFERROR(INDEX(Catalogo!$N$6:$N$125,MATCH($C35,Catalogo!$C$6:$C$125,0))="",TRUE),1,0)))</f>
        <v>1</v>
      </c>
    </row>
    <row r="36" spans="2:93" ht="14" customHeight="1" x14ac:dyDescent="0.45">
      <c r="B36" s="9">
        <v>24</v>
      </c>
      <c r="C36" s="47" t="s">
        <v>353</v>
      </c>
      <c r="D36" s="38"/>
      <c r="E36" s="39"/>
      <c r="F36" s="48" t="str">
        <f>IF($C36="","",IFERROR(INDEX(Catalogo!$E$6:$E$125,MATCH($C36,Catalogo!$C$6:$C$125,0)),""))</f>
        <v>Por definir</v>
      </c>
      <c r="G36" s="39"/>
      <c r="H36" s="9">
        <f>IF($C36="","",N(IFERROR(INDEX(Catalogo!$F$6:$F$125,MATCH($C36,Catalogo!$C$6:$C$125,0)),"")))</f>
        <v>1</v>
      </c>
      <c r="I36" s="9" t="str">
        <f>IF($AD36&lt;&gt;"Patch panel cobre","",IFERROR(INDEX(Catalogo!$G$6:$G$125,MATCH($C36,Catalogo!$C$6:$C$125,0)),""))</f>
        <v/>
      </c>
      <c r="J36" s="9">
        <f>IF(OR($C36="",$H36=0),"",$AR$5-SUM($H$13:H35))</f>
        <v>18</v>
      </c>
      <c r="K36" s="9">
        <f t="shared" si="0"/>
        <v>18</v>
      </c>
      <c r="L36" s="9" t="str">
        <f t="shared" si="1"/>
        <v/>
      </c>
      <c r="M36" s="6"/>
      <c r="N36" s="6"/>
      <c r="O36" s="12" t="str">
        <f t="shared" si="2"/>
        <v/>
      </c>
      <c r="P36" s="37"/>
      <c r="Q36" s="39"/>
      <c r="R36" s="40"/>
      <c r="S36" s="13">
        <v>22</v>
      </c>
      <c r="T36" s="49" t="str">
        <f>IF($AM36=0,"",IF(INDEX($J$13:$J$42,$AM36)=22,INDEX($AH$13:$AH$42,$AM36),""))</f>
        <v>Org. horizontal 2RU frontal/posterior con radio de curvatura (NetRunner)</v>
      </c>
      <c r="U36" s="38"/>
      <c r="V36" s="39"/>
      <c r="W36" s="13">
        <v>22</v>
      </c>
      <c r="X36" s="40"/>
      <c r="AD36" t="str">
        <f>IF($C36="","",IFERROR(INDEX(Catalogo!$B$6:$B$125,MATCH($C36,Catalogo!$C$6:$C$125,0)),""))</f>
        <v>Equipo activo</v>
      </c>
      <c r="AE36" t="str">
        <f>IF($AD36="Patch panel cobre",COUNTIF($AD$13:$AD36,"Patch panel cobre"),"")</f>
        <v/>
      </c>
      <c r="AH36" t="str">
        <f t="shared" si="3"/>
        <v>Lector de discos DVD 1RU</v>
      </c>
      <c r="AM36">
        <f>IFERROR(MATCH(1,INDEX(($K$13:$K$42&lt;=22)*($J$13:$J$42&gt;=22),0),0),0)</f>
        <v>21</v>
      </c>
      <c r="AN36" t="str">
        <f>IF(22&gt;$AR$5,"Fuera",IF($AM36=0,"",INDEX($AD$13:$AD$42,$AM36)))</f>
        <v>Organizador horizontal</v>
      </c>
      <c r="BA36">
        <f>IF(OR(Catalogo!$C36="",Catalogo!$B36="Espacio libre",Catalogo!$B36="Espacio reservado"),0,COUNTIF($C$13:$C$42,Catalogo!$C36)+IF($E$7=Catalogo!$C36,N($K$7),0)+IF($E$8=Catalogo!$C36,N($N$8),0)+IF(Proyecto!$D$12=Catalogo!$C36,$AQ$4,0)+SUMIF($C$49:$C$58,Catalogo!$C36,$K$49:$K$58))</f>
        <v>0</v>
      </c>
      <c r="CL36">
        <f>IF($C36="",0,N(IFERROR(INDEX(Catalogo!$N$6:$N$125,MATCH($C36,Catalogo!$C$6:$C$125,0)),0)))</f>
        <v>0</v>
      </c>
      <c r="CM36">
        <f>IF($C36="",0,N(IFERROR(INDEX(Catalogo!$P$6:$P$125,MATCH($C36,Catalogo!$C$6:$C$125,0)),0)))</f>
        <v>0</v>
      </c>
      <c r="CN36">
        <f>IF($C36="",0,N(IFERROR(INDEX(Catalogo!$Q$6:$Q$125,MATCH($C36,Catalogo!$C$6:$C$125,0)),0)))</f>
        <v>0</v>
      </c>
      <c r="CO36">
        <f>IF($C36="",0,IF(OR($AD36="Espacio libre",$AD36="Espacio reservado"),0,IF(IFERROR(INDEX(Catalogo!$N$6:$N$125,MATCH($C36,Catalogo!$C$6:$C$125,0))="",TRUE),1,0)))</f>
        <v>1</v>
      </c>
    </row>
    <row r="37" spans="2:93" ht="14" customHeight="1" x14ac:dyDescent="0.45">
      <c r="B37" s="9">
        <v>25</v>
      </c>
      <c r="C37" s="47" t="s">
        <v>354</v>
      </c>
      <c r="D37" s="38"/>
      <c r="E37" s="39"/>
      <c r="F37" s="48" t="str">
        <f>IF($C37="","",IFERROR(INDEX(Catalogo!$E$6:$E$125,MATCH($C37,Catalogo!$C$6:$C$125,0)),""))</f>
        <v>Por definir</v>
      </c>
      <c r="G37" s="39"/>
      <c r="H37" s="9">
        <f>IF($C37="","",N(IFERROR(INDEX(Catalogo!$F$6:$F$125,MATCH($C37,Catalogo!$C$6:$C$125,0)),"")))</f>
        <v>2</v>
      </c>
      <c r="I37" s="9" t="str">
        <f>IF($AD37&lt;&gt;"Patch panel cobre","",IFERROR(INDEX(Catalogo!$G$6:$G$125,MATCH($C37,Catalogo!$C$6:$C$125,0)),""))</f>
        <v/>
      </c>
      <c r="J37" s="9">
        <f>IF(OR($C37="",$H37=0),"",$AR$5-SUM($H$13:H36))</f>
        <v>17</v>
      </c>
      <c r="K37" s="9">
        <f t="shared" si="0"/>
        <v>16</v>
      </c>
      <c r="L37" s="9" t="str">
        <f t="shared" si="1"/>
        <v/>
      </c>
      <c r="M37" s="6"/>
      <c r="N37" s="6"/>
      <c r="O37" s="12" t="str">
        <f t="shared" si="2"/>
        <v/>
      </c>
      <c r="P37" s="37"/>
      <c r="Q37" s="39"/>
      <c r="R37" s="40"/>
      <c r="S37" s="13">
        <v>21</v>
      </c>
      <c r="T37" s="49" t="str">
        <f>IF($AM37=0,"",IF(INDEX($J$13:$J$42,$AM37)=21,INDEX($AH$13:$AH$42,$AM37),""))</f>
        <v/>
      </c>
      <c r="U37" s="38"/>
      <c r="V37" s="39"/>
      <c r="W37" s="13">
        <v>21</v>
      </c>
      <c r="X37" s="40"/>
      <c r="AD37" t="str">
        <f>IF($C37="","",IFERROR(INDEX(Catalogo!$B$6:$B$125,MATCH($C37,Catalogo!$C$6:$C$125,0)),""))</f>
        <v>Equipo activo</v>
      </c>
      <c r="AE37" t="str">
        <f>IF($AD37="Patch panel cobre",COUNTIF($AD$13:$AD37,"Patch panel cobre"),"")</f>
        <v/>
      </c>
      <c r="AH37" t="str">
        <f t="shared" si="3"/>
        <v>Equipo activo 2RU</v>
      </c>
      <c r="AM37">
        <f>IFERROR(MATCH(1,INDEX(($K$13:$K$42&lt;=21)*($J$13:$J$42&gt;=21),0),0),0)</f>
        <v>21</v>
      </c>
      <c r="AN37" t="str">
        <f>IF(21&gt;$AR$5,"Fuera",IF($AM37=0,"",INDEX($AD$13:$AD$42,$AM37)))</f>
        <v>Organizador horizontal</v>
      </c>
      <c r="BA37">
        <f>IF(OR(Catalogo!$C37="",Catalogo!$B37="Espacio libre",Catalogo!$B37="Espacio reservado"),0,COUNTIF($C$13:$C$42,Catalogo!$C37)+IF($E$7=Catalogo!$C37,N($K$7),0)+IF($E$8=Catalogo!$C37,N($N$8),0)+IF(Proyecto!$D$12=Catalogo!$C37,$AQ$4,0)+SUMIF($C$49:$C$58,Catalogo!$C37,$K$49:$K$58))</f>
        <v>0</v>
      </c>
      <c r="CL37">
        <f>IF($C37="",0,N(IFERROR(INDEX(Catalogo!$N$6:$N$125,MATCH($C37,Catalogo!$C$6:$C$125,0)),0)))</f>
        <v>0</v>
      </c>
      <c r="CM37">
        <f>IF($C37="",0,N(IFERROR(INDEX(Catalogo!$P$6:$P$125,MATCH($C37,Catalogo!$C$6:$C$125,0)),0)))</f>
        <v>0</v>
      </c>
      <c r="CN37">
        <f>IF($C37="",0,N(IFERROR(INDEX(Catalogo!$Q$6:$Q$125,MATCH($C37,Catalogo!$C$6:$C$125,0)),0)))</f>
        <v>0</v>
      </c>
      <c r="CO37">
        <f>IF($C37="",0,IF(OR($AD37="Espacio libre",$AD37="Espacio reservado"),0,IF(IFERROR(INDEX(Catalogo!$N$6:$N$125,MATCH($C37,Catalogo!$C$6:$C$125,0))="",TRUE),1,0)))</f>
        <v>1</v>
      </c>
    </row>
    <row r="38" spans="2:93" ht="14" customHeight="1" x14ac:dyDescent="0.45">
      <c r="B38" s="9">
        <v>26</v>
      </c>
      <c r="C38" s="47" t="s">
        <v>354</v>
      </c>
      <c r="D38" s="38"/>
      <c r="E38" s="39"/>
      <c r="F38" s="48" t="str">
        <f>IF($C38="","",IFERROR(INDEX(Catalogo!$E$6:$E$125,MATCH($C38,Catalogo!$C$6:$C$125,0)),""))</f>
        <v>Por definir</v>
      </c>
      <c r="G38" s="39"/>
      <c r="H38" s="9">
        <f>IF($C38="","",N(IFERROR(INDEX(Catalogo!$F$6:$F$125,MATCH($C38,Catalogo!$C$6:$C$125,0)),"")))</f>
        <v>2</v>
      </c>
      <c r="I38" s="9" t="str">
        <f>IF($AD38&lt;&gt;"Patch panel cobre","",IFERROR(INDEX(Catalogo!$G$6:$G$125,MATCH($C38,Catalogo!$C$6:$C$125,0)),""))</f>
        <v/>
      </c>
      <c r="J38" s="9">
        <f>IF(OR($C38="",$H38=0),"",$AR$5-SUM($H$13:H37))</f>
        <v>15</v>
      </c>
      <c r="K38" s="9">
        <f t="shared" si="0"/>
        <v>14</v>
      </c>
      <c r="L38" s="9" t="str">
        <f t="shared" si="1"/>
        <v/>
      </c>
      <c r="M38" s="6"/>
      <c r="N38" s="6"/>
      <c r="O38" s="12" t="str">
        <f t="shared" si="2"/>
        <v/>
      </c>
      <c r="P38" s="37"/>
      <c r="Q38" s="39"/>
      <c r="R38" s="40"/>
      <c r="S38" s="13">
        <v>20</v>
      </c>
      <c r="T38" s="49" t="str">
        <f>IF($AM38=0,"",IF(INDEX($J$13:$J$42,$AM38)=20,INDEX($AH$13:$AH$42,$AM38),""))</f>
        <v>Espacio para switch 24 puertos 1RU</v>
      </c>
      <c r="U38" s="38"/>
      <c r="V38" s="39"/>
      <c r="W38" s="13">
        <v>20</v>
      </c>
      <c r="X38" s="40"/>
      <c r="AD38" t="str">
        <f>IF($C38="","",IFERROR(INDEX(Catalogo!$B$6:$B$125,MATCH($C38,Catalogo!$C$6:$C$125,0)),""))</f>
        <v>Equipo activo</v>
      </c>
      <c r="AE38" t="str">
        <f>IF($AD38="Patch panel cobre",COUNTIF($AD$13:$AD38,"Patch panel cobre"),"")</f>
        <v/>
      </c>
      <c r="AH38" t="str">
        <f t="shared" si="3"/>
        <v>Equipo activo 2RU</v>
      </c>
      <c r="AM38">
        <f>IFERROR(MATCH(1,INDEX(($K$13:$K$42&lt;=20)*($J$13:$J$42&gt;=20),0),0),0)</f>
        <v>22</v>
      </c>
      <c r="AN38" t="str">
        <f>IF(20&gt;$AR$5,"Fuera",IF($AM38=0,"",INDEX($AD$13:$AD$42,$AM38)))</f>
        <v>Espacio reservado</v>
      </c>
      <c r="BA38">
        <f>IF(OR(Catalogo!$C38="",Catalogo!$B38="Espacio libre",Catalogo!$B38="Espacio reservado"),0,COUNTIF($C$13:$C$42,Catalogo!$C38)+IF($E$7=Catalogo!$C38,N($K$7),0)+IF($E$8=Catalogo!$C38,N($N$8),0)+IF(Proyecto!$D$12=Catalogo!$C38,$AQ$4,0)+SUMIF($C$49:$C$58,Catalogo!$C38,$K$49:$K$58))</f>
        <v>0</v>
      </c>
      <c r="CL38">
        <f>IF($C38="",0,N(IFERROR(INDEX(Catalogo!$N$6:$N$125,MATCH($C38,Catalogo!$C$6:$C$125,0)),0)))</f>
        <v>0</v>
      </c>
      <c r="CM38">
        <f>IF($C38="",0,N(IFERROR(INDEX(Catalogo!$P$6:$P$125,MATCH($C38,Catalogo!$C$6:$C$125,0)),0)))</f>
        <v>0</v>
      </c>
      <c r="CN38">
        <f>IF($C38="",0,N(IFERROR(INDEX(Catalogo!$Q$6:$Q$125,MATCH($C38,Catalogo!$C$6:$C$125,0)),0)))</f>
        <v>0</v>
      </c>
      <c r="CO38">
        <f>IF($C38="",0,IF(OR($AD38="Espacio libre",$AD38="Espacio reservado"),0,IF(IFERROR(INDEX(Catalogo!$N$6:$N$125,MATCH($C38,Catalogo!$C$6:$C$125,0))="",TRUE),1,0)))</f>
        <v>1</v>
      </c>
    </row>
    <row r="39" spans="2:93" ht="14" customHeight="1" x14ac:dyDescent="0.45">
      <c r="B39" s="9">
        <v>27</v>
      </c>
      <c r="C39" s="47" t="s">
        <v>351</v>
      </c>
      <c r="D39" s="38"/>
      <c r="E39" s="39"/>
      <c r="F39" s="48" t="str">
        <f>IF($C39="","",IFERROR(INDEX(Catalogo!$E$6:$E$125,MATCH($C39,Catalogo!$C$6:$C$125,0)),""))</f>
        <v>Por definir</v>
      </c>
      <c r="G39" s="39"/>
      <c r="H39" s="9">
        <f>IF($C39="","",N(IFERROR(INDEX(Catalogo!$F$6:$F$125,MATCH($C39,Catalogo!$C$6:$C$125,0)),"")))</f>
        <v>8</v>
      </c>
      <c r="I39" s="9" t="str">
        <f>IF($AD39&lt;&gt;"Patch panel cobre","",IFERROR(INDEX(Catalogo!$G$6:$G$125,MATCH($C39,Catalogo!$C$6:$C$125,0)),""))</f>
        <v/>
      </c>
      <c r="J39" s="9">
        <f>IF(OR($C39="",$H39=0),"",$AR$5-SUM($H$13:H38))</f>
        <v>13</v>
      </c>
      <c r="K39" s="9">
        <f t="shared" si="0"/>
        <v>6</v>
      </c>
      <c r="L39" s="9" t="str">
        <f t="shared" si="1"/>
        <v/>
      </c>
      <c r="M39" s="6"/>
      <c r="N39" s="6"/>
      <c r="O39" s="12" t="str">
        <f t="shared" si="2"/>
        <v/>
      </c>
      <c r="P39" s="37"/>
      <c r="Q39" s="39"/>
      <c r="R39" s="40"/>
      <c r="S39" s="13">
        <v>19</v>
      </c>
      <c r="T39" s="49" t="str">
        <f>IF($AM39=0,"",IF(INDEX($J$13:$J$42,$AM39)=19,INDEX($AH$13:$AH$42,$AM39),""))</f>
        <v>Servidor 1RU (disco 2 TB)</v>
      </c>
      <c r="U39" s="38"/>
      <c r="V39" s="39"/>
      <c r="W39" s="13">
        <v>19</v>
      </c>
      <c r="X39" s="40"/>
      <c r="AD39" t="str">
        <f>IF($C39="","",IFERROR(INDEX(Catalogo!$B$6:$B$125,MATCH($C39,Catalogo!$C$6:$C$125,0)),""))</f>
        <v>Servidor</v>
      </c>
      <c r="AE39" t="str">
        <f>IF($AD39="Patch panel cobre",COUNTIF($AD$13:$AD39,"Patch panel cobre"),"")</f>
        <v/>
      </c>
      <c r="AH39" t="str">
        <f t="shared" si="3"/>
        <v>Servidor 8RU</v>
      </c>
      <c r="AM39">
        <f>IFERROR(MATCH(1,INDEX(($K$13:$K$42&lt;=19)*($J$13:$J$42&gt;=19),0),0),0)</f>
        <v>23</v>
      </c>
      <c r="AN39" t="str">
        <f>IF(19&gt;$AR$5,"Fuera",IF($AM39=0,"",INDEX($AD$13:$AD$42,$AM39)))</f>
        <v>Servidor</v>
      </c>
      <c r="BA39">
        <f>IF(OR(Catalogo!$C39="",Catalogo!$B39="Espacio libre",Catalogo!$B39="Espacio reservado"),0,COUNTIF($C$13:$C$42,Catalogo!$C39)+IF($E$7=Catalogo!$C39,N($K$7),0)+IF($E$8=Catalogo!$C39,N($N$8),0)+IF(Proyecto!$D$12=Catalogo!$C39,$AQ$4,0)+SUMIF($C$49:$C$58,Catalogo!$C39,$K$49:$K$58))</f>
        <v>0</v>
      </c>
      <c r="CL39">
        <f>IF($C39="",0,N(IFERROR(INDEX(Catalogo!$N$6:$N$125,MATCH($C39,Catalogo!$C$6:$C$125,0)),0)))</f>
        <v>0</v>
      </c>
      <c r="CM39">
        <f>IF($C39="",0,N(IFERROR(INDEX(Catalogo!$P$6:$P$125,MATCH($C39,Catalogo!$C$6:$C$125,0)),0)))</f>
        <v>0</v>
      </c>
      <c r="CN39">
        <f>IF($C39="",0,N(IFERROR(INDEX(Catalogo!$Q$6:$Q$125,MATCH($C39,Catalogo!$C$6:$C$125,0)),0)))</f>
        <v>0</v>
      </c>
      <c r="CO39">
        <f>IF($C39="",0,IF(OR($AD39="Espacio libre",$AD39="Espacio reservado"),0,IF(IFERROR(INDEX(Catalogo!$N$6:$N$125,MATCH($C39,Catalogo!$C$6:$C$125,0))="",TRUE),1,0)))</f>
        <v>1</v>
      </c>
    </row>
    <row r="40" spans="2:93" ht="14" customHeight="1" x14ac:dyDescent="0.45">
      <c r="B40" s="9">
        <v>28</v>
      </c>
      <c r="C40" s="47" t="s">
        <v>355</v>
      </c>
      <c r="D40" s="38"/>
      <c r="E40" s="39"/>
      <c r="F40" s="48" t="str">
        <f>IF($C40="","",IFERROR(INDEX(Catalogo!$E$6:$E$125,MATCH($C40,Catalogo!$C$6:$C$125,0)),""))</f>
        <v>SMT3000RM2U</v>
      </c>
      <c r="G40" s="39"/>
      <c r="H40" s="9">
        <f>IF($C40="","",N(IFERROR(INDEX(Catalogo!$F$6:$F$125,MATCH($C40,Catalogo!$C$6:$C$125,0)),"")))</f>
        <v>2</v>
      </c>
      <c r="I40" s="9" t="str">
        <f>IF($AD40&lt;&gt;"Patch panel cobre","",IFERROR(INDEX(Catalogo!$G$6:$G$125,MATCH($C40,Catalogo!$C$6:$C$125,0)),""))</f>
        <v/>
      </c>
      <c r="J40" s="9">
        <f>IF(OR($C40="",$H40=0),"",$AR$5-SUM($H$13:H39))</f>
        <v>5</v>
      </c>
      <c r="K40" s="9">
        <f t="shared" si="0"/>
        <v>4</v>
      </c>
      <c r="L40" s="9" t="str">
        <f t="shared" si="1"/>
        <v/>
      </c>
      <c r="M40" s="6"/>
      <c r="N40" s="6"/>
      <c r="O40" s="12" t="str">
        <f t="shared" si="2"/>
        <v/>
      </c>
      <c r="P40" s="37"/>
      <c r="Q40" s="39"/>
      <c r="R40" s="40"/>
      <c r="S40" s="13">
        <v>18</v>
      </c>
      <c r="T40" s="49" t="str">
        <f>IF($AM40=0,"",IF(INDEX($J$13:$J$42,$AM40)=18,INDEX($AH$13:$AH$42,$AM40),""))</f>
        <v>Lector de discos DVD 1RU</v>
      </c>
      <c r="U40" s="38"/>
      <c r="V40" s="39"/>
      <c r="W40" s="13">
        <v>18</v>
      </c>
      <c r="X40" s="40"/>
      <c r="AD40" t="str">
        <f>IF($C40="","",IFERROR(INDEX(Catalogo!$B$6:$B$125,MATCH($C40,Catalogo!$C$6:$C$125,0)),""))</f>
        <v>UPS</v>
      </c>
      <c r="AE40" t="str">
        <f>IF($AD40="Patch panel cobre",COUNTIF($AD$13:$AD40,"Patch panel cobre"),"")</f>
        <v/>
      </c>
      <c r="AH40" t="str">
        <f t="shared" si="3"/>
        <v>UPS 3 kVA 2RU, 120 V, 6 salidas (APC SMT3000RM2U)</v>
      </c>
      <c r="AM40">
        <f>IFERROR(MATCH(1,INDEX(($K$13:$K$42&lt;=18)*($J$13:$J$42&gt;=18),0),0),0)</f>
        <v>24</v>
      </c>
      <c r="AN40" t="str">
        <f>IF(18&gt;$AR$5,"Fuera",IF($AM40=0,"",INDEX($AD$13:$AD$42,$AM40)))</f>
        <v>Equipo activo</v>
      </c>
      <c r="BA40">
        <f>IF(OR(Catalogo!$C40="",Catalogo!$B40="Espacio libre",Catalogo!$B40="Espacio reservado"),0,COUNTIF($C$13:$C$42,Catalogo!$C40)+IF($E$7=Catalogo!$C40,N($K$7),0)+IF($E$8=Catalogo!$C40,N($N$8),0)+IF(Proyecto!$D$12=Catalogo!$C40,$AQ$4,0)+SUMIF($C$49:$C$58,Catalogo!$C40,$K$49:$K$58))</f>
        <v>0</v>
      </c>
      <c r="CL40">
        <f>IF($C40="",0,N(IFERROR(INDEX(Catalogo!$N$6:$N$125,MATCH($C40,Catalogo!$C$6:$C$125,0)),0)))</f>
        <v>100</v>
      </c>
      <c r="CM40">
        <f>IF($C40="",0,N(IFERROR(INDEX(Catalogo!$P$6:$P$125,MATCH($C40,Catalogo!$C$6:$C$125,0)),0)))</f>
        <v>36</v>
      </c>
      <c r="CN40">
        <f>IF($C40="",0,N(IFERROR(INDEX(Catalogo!$Q$6:$Q$125,MATCH($C40,Catalogo!$C$6:$C$125,0)),0)))</f>
        <v>2700</v>
      </c>
      <c r="CO40">
        <f>IF($C40="",0,IF(OR($AD40="Espacio libre",$AD40="Espacio reservado"),0,IF(IFERROR(INDEX(Catalogo!$N$6:$N$125,MATCH($C40,Catalogo!$C$6:$C$125,0))="",TRUE),1,0)))</f>
        <v>0</v>
      </c>
    </row>
    <row r="41" spans="2:93" ht="14" customHeight="1" x14ac:dyDescent="0.45">
      <c r="B41" s="9">
        <v>29</v>
      </c>
      <c r="C41" s="47" t="s">
        <v>355</v>
      </c>
      <c r="D41" s="38"/>
      <c r="E41" s="39"/>
      <c r="F41" s="48" t="str">
        <f>IF($C41="","",IFERROR(INDEX(Catalogo!$E$6:$E$125,MATCH($C41,Catalogo!$C$6:$C$125,0)),""))</f>
        <v>SMT3000RM2U</v>
      </c>
      <c r="G41" s="39"/>
      <c r="H41" s="9">
        <f>IF($C41="","",N(IFERROR(INDEX(Catalogo!$F$6:$F$125,MATCH($C41,Catalogo!$C$6:$C$125,0)),"")))</f>
        <v>2</v>
      </c>
      <c r="I41" s="9" t="str">
        <f>IF($AD41&lt;&gt;"Patch panel cobre","",IFERROR(INDEX(Catalogo!$G$6:$G$125,MATCH($C41,Catalogo!$C$6:$C$125,0)),""))</f>
        <v/>
      </c>
      <c r="J41" s="9">
        <f>IF(OR($C41="",$H41=0),"",$AR$5-SUM($H$13:H40))</f>
        <v>3</v>
      </c>
      <c r="K41" s="9">
        <f t="shared" si="0"/>
        <v>2</v>
      </c>
      <c r="L41" s="9" t="str">
        <f t="shared" si="1"/>
        <v/>
      </c>
      <c r="M41" s="6"/>
      <c r="N41" s="6"/>
      <c r="O41" s="12" t="str">
        <f t="shared" si="2"/>
        <v/>
      </c>
      <c r="P41" s="37"/>
      <c r="Q41" s="39"/>
      <c r="R41" s="40"/>
      <c r="S41" s="13">
        <v>17</v>
      </c>
      <c r="T41" s="49" t="str">
        <f>IF($AM41=0,"",IF(INDEX($J$13:$J$42,$AM41)=17,INDEX($AH$13:$AH$42,$AM41),""))</f>
        <v>Equipo activo 2RU</v>
      </c>
      <c r="U41" s="38"/>
      <c r="V41" s="39"/>
      <c r="W41" s="13">
        <v>17</v>
      </c>
      <c r="X41" s="40"/>
      <c r="AD41" t="str">
        <f>IF($C41="","",IFERROR(INDEX(Catalogo!$B$6:$B$125,MATCH($C41,Catalogo!$C$6:$C$125,0)),""))</f>
        <v>UPS</v>
      </c>
      <c r="AE41" t="str">
        <f>IF($AD41="Patch panel cobre",COUNTIF($AD$13:$AD41,"Patch panel cobre"),"")</f>
        <v/>
      </c>
      <c r="AH41" t="str">
        <f t="shared" si="3"/>
        <v>UPS 3 kVA 2RU, 120 V, 6 salidas (APC SMT3000RM2U)</v>
      </c>
      <c r="AM41">
        <f>IFERROR(MATCH(1,INDEX(($K$13:$K$42&lt;=17)*($J$13:$J$42&gt;=17),0),0),0)</f>
        <v>25</v>
      </c>
      <c r="AN41" t="str">
        <f>IF(17&gt;$AR$5,"Fuera",IF($AM41=0,"",INDEX($AD$13:$AD$42,$AM41)))</f>
        <v>Equipo activo</v>
      </c>
      <c r="BA41">
        <f>IF(OR(Catalogo!$C41="",Catalogo!$B41="Espacio libre",Catalogo!$B41="Espacio reservado"),0,COUNTIF($C$13:$C$42,Catalogo!$C41)+IF($E$7=Catalogo!$C41,N($K$7),0)+IF($E$8=Catalogo!$C41,N($N$8),0)+IF(Proyecto!$D$12=Catalogo!$C41,$AQ$4,0)+SUMIF($C$49:$C$58,Catalogo!$C41,$K$49:$K$58))</f>
        <v>0</v>
      </c>
      <c r="CL41">
        <f>IF($C41="",0,N(IFERROR(INDEX(Catalogo!$N$6:$N$125,MATCH($C41,Catalogo!$C$6:$C$125,0)),0)))</f>
        <v>100</v>
      </c>
      <c r="CM41">
        <f>IF($C41="",0,N(IFERROR(INDEX(Catalogo!$P$6:$P$125,MATCH($C41,Catalogo!$C$6:$C$125,0)),0)))</f>
        <v>36</v>
      </c>
      <c r="CN41">
        <f>IF($C41="",0,N(IFERROR(INDEX(Catalogo!$Q$6:$Q$125,MATCH($C41,Catalogo!$C$6:$C$125,0)),0)))</f>
        <v>2700</v>
      </c>
      <c r="CO41">
        <f>IF($C41="",0,IF(OR($AD41="Espacio libre",$AD41="Espacio reservado"),0,IF(IFERROR(INDEX(Catalogo!$N$6:$N$125,MATCH($C41,Catalogo!$C$6:$C$125,0))="",TRUE),1,0)))</f>
        <v>0</v>
      </c>
    </row>
    <row r="42" spans="2:93" ht="14" customHeight="1" x14ac:dyDescent="0.45">
      <c r="B42" s="9">
        <v>30</v>
      </c>
      <c r="C42" s="47" t="s">
        <v>360</v>
      </c>
      <c r="D42" s="38"/>
      <c r="E42" s="39"/>
      <c r="F42" s="48" t="str">
        <f>IF($C42="","",IFERROR(INDEX(Catalogo!$E$6:$E$125,MATCH($C42,Catalogo!$C$6:$C$125,0)),""))</f>
        <v>RGRB19Y</v>
      </c>
      <c r="G42" s="39"/>
      <c r="H42" s="9">
        <f>IF($C42="","",N(IFERROR(INDEX(Catalogo!$F$6:$F$125,MATCH($C42,Catalogo!$C$6:$C$125,0)),"")))</f>
        <v>1</v>
      </c>
      <c r="I42" s="9" t="str">
        <f>IF($AD42&lt;&gt;"Patch panel cobre","",IFERROR(INDEX(Catalogo!$G$6:$G$125,MATCH($C42,Catalogo!$C$6:$C$125,0)),""))</f>
        <v/>
      </c>
      <c r="J42" s="9">
        <f>IF(OR($C42="",$H42=0),"",$AR$5-SUM($H$13:H41))</f>
        <v>1</v>
      </c>
      <c r="K42" s="9">
        <f t="shared" si="0"/>
        <v>1</v>
      </c>
      <c r="L42" s="9" t="str">
        <f t="shared" si="1"/>
        <v/>
      </c>
      <c r="M42" s="6"/>
      <c r="N42" s="6"/>
      <c r="O42" s="12" t="str">
        <f t="shared" si="2"/>
        <v/>
      </c>
      <c r="P42" s="37" t="s">
        <v>397</v>
      </c>
      <c r="Q42" s="39"/>
      <c r="R42" s="40"/>
      <c r="S42" s="13">
        <v>16</v>
      </c>
      <c r="T42" s="49" t="str">
        <f>IF($AM42=0,"",IF(INDEX($J$13:$J$42,$AM42)=16,INDEX($AH$13:$AH$42,$AM42),""))</f>
        <v/>
      </c>
      <c r="U42" s="38"/>
      <c r="V42" s="39"/>
      <c r="W42" s="13">
        <v>16</v>
      </c>
      <c r="X42" s="40"/>
      <c r="AD42" t="str">
        <f>IF($C42="","",IFERROR(INDEX(Catalogo!$B$6:$B$125,MATCH($C42,Catalogo!$C$6:$C$125,0)),""))</f>
        <v>Puesta a tierra</v>
      </c>
      <c r="AE42" t="str">
        <f>IF($AD42="Patch panel cobre",COUNTIF($AD$13:$AD42,"Patch panel cobre"),"")</f>
        <v/>
      </c>
      <c r="AH42" t="str">
        <f t="shared" si="3"/>
        <v>Barra de tierra para rack 19"</v>
      </c>
      <c r="AM42">
        <f>IFERROR(MATCH(1,INDEX(($K$13:$K$42&lt;=16)*($J$13:$J$42&gt;=16),0),0),0)</f>
        <v>25</v>
      </c>
      <c r="AN42" t="str">
        <f>IF(16&gt;$AR$5,"Fuera",IF($AM42=0,"",INDEX($AD$13:$AD$42,$AM42)))</f>
        <v>Equipo activo</v>
      </c>
      <c r="BA42">
        <f>IF(OR(Catalogo!$C42="",Catalogo!$B42="Espacio libre",Catalogo!$B42="Espacio reservado"),0,COUNTIF($C$13:$C$42,Catalogo!$C42)+IF($E$7=Catalogo!$C42,N($K$7),0)+IF($E$8=Catalogo!$C42,N($N$8),0)+IF(Proyecto!$D$12=Catalogo!$C42,$AQ$4,0)+SUMIF($C$49:$C$58,Catalogo!$C42,$K$49:$K$58))</f>
        <v>0</v>
      </c>
      <c r="CL42">
        <f>IF($C42="",0,N(IFERROR(INDEX(Catalogo!$N$6:$N$125,MATCH($C42,Catalogo!$C$6:$C$125,0)),0)))</f>
        <v>0</v>
      </c>
      <c r="CM42">
        <f>IF($C42="",0,N(IFERROR(INDEX(Catalogo!$P$6:$P$125,MATCH($C42,Catalogo!$C$6:$C$125,0)),0)))</f>
        <v>1</v>
      </c>
      <c r="CN42">
        <f>IF($C42="",0,N(IFERROR(INDEX(Catalogo!$Q$6:$Q$125,MATCH($C42,Catalogo!$C$6:$C$125,0)),0)))</f>
        <v>0</v>
      </c>
      <c r="CO42">
        <f>IF($C42="",0,IF(OR($AD42="Espacio libre",$AD42="Espacio reservado"),0,IF(IFERROR(INDEX(Catalogo!$N$6:$N$125,MATCH($C42,Catalogo!$C$6:$C$125,0))="",TRUE),1,0)))</f>
        <v>0</v>
      </c>
    </row>
    <row r="43" spans="2:93" ht="14" customHeight="1" x14ac:dyDescent="0.45">
      <c r="B43" s="42" t="s">
        <v>398</v>
      </c>
      <c r="C43" s="43"/>
      <c r="D43" s="43"/>
      <c r="E43" s="43"/>
      <c r="F43" s="43"/>
      <c r="G43" s="44"/>
      <c r="H43" s="9">
        <f>AR6-SUMIF($AD$13:$AD$42,"Espacio libre",$H$13:$H$42)</f>
        <v>45</v>
      </c>
      <c r="I43" s="9">
        <f>IF($AR$6&gt;$AR$5,$AR$5-$AR$6,$AR$5-H43)</f>
        <v>0</v>
      </c>
      <c r="J43" s="12">
        <f>H43/$AR$5</f>
        <v>1</v>
      </c>
      <c r="K43" s="52" t="str">
        <f>IF(OR($AR$6&gt;$AR$5,COUNTIF(K13:K42,"&lt;1")&gt;0),"❌ EXCEDE: "&amp;$AR$6&amp;" de "&amp;$AR$5&amp;" RU (sobran "&amp;($AR$6-$AR$5)&amp;")","✓ OK: cabe en el rack")</f>
        <v>✓ OK: cabe en el rack</v>
      </c>
      <c r="L43" s="38"/>
      <c r="M43" s="38"/>
      <c r="N43" s="39"/>
      <c r="O43" s="12">
        <f>IFERROR(SUM($BS$13:$BS$28)/SUM($BF$13:$BF$28),"")</f>
        <v>0</v>
      </c>
      <c r="P43" s="45" t="s">
        <v>399</v>
      </c>
      <c r="Q43" s="39"/>
      <c r="R43" s="40"/>
      <c r="S43" s="13">
        <v>15</v>
      </c>
      <c r="T43" s="49" t="str">
        <f>IF($AM43=0,"",IF(INDEX($J$13:$J$42,$AM43)=15,INDEX($AH$13:$AH$42,$AM43),""))</f>
        <v>Equipo activo 2RU</v>
      </c>
      <c r="U43" s="38"/>
      <c r="V43" s="39"/>
      <c r="W43" s="13">
        <v>15</v>
      </c>
      <c r="X43" s="40"/>
      <c r="AM43">
        <f>IFERROR(MATCH(1,INDEX(($K$13:$K$42&lt;=15)*($J$13:$J$42&gt;=15),0),0),0)</f>
        <v>26</v>
      </c>
      <c r="AN43" t="str">
        <f>IF(15&gt;$AR$5,"Fuera",IF($AM43=0,"",INDEX($AD$13:$AD$42,$AM43)))</f>
        <v>Equipo activo</v>
      </c>
      <c r="BA43">
        <f>IF(OR(Catalogo!$C43="",Catalogo!$B43="Espacio libre",Catalogo!$B43="Espacio reservado"),0,COUNTIF($C$13:$C$42,Catalogo!$C43)+IF($E$7=Catalogo!$C43,N($K$7),0)+IF($E$8=Catalogo!$C43,N($N$8),0)+IF(Proyecto!$D$12=Catalogo!$C43,$AQ$4,0)+SUMIF($C$49:$C$58,Catalogo!$C43,$K$49:$K$58))</f>
        <v>0</v>
      </c>
    </row>
    <row r="44" spans="2:93" ht="14" customHeight="1" x14ac:dyDescent="0.45">
      <c r="B44" s="10" t="s">
        <v>400</v>
      </c>
      <c r="R44" s="40"/>
      <c r="S44" s="13">
        <v>14</v>
      </c>
      <c r="T44" s="49" t="str">
        <f>IF($AM44=0,"",IF(INDEX($J$13:$J$42,$AM44)=14,INDEX($AH$13:$AH$42,$AM44),""))</f>
        <v/>
      </c>
      <c r="U44" s="38"/>
      <c r="V44" s="39"/>
      <c r="W44" s="13">
        <v>14</v>
      </c>
      <c r="X44" s="40"/>
      <c r="AM44">
        <f>IFERROR(MATCH(1,INDEX(($K$13:$K$42&lt;=14)*($J$13:$J$42&gt;=14),0),0),0)</f>
        <v>26</v>
      </c>
      <c r="AN44" t="str">
        <f>IF(14&gt;$AR$5,"Fuera",IF($AM44=0,"",INDEX($AD$13:$AD$42,$AM44)))</f>
        <v>Equipo activo</v>
      </c>
      <c r="BA44">
        <f>IF(OR(Catalogo!$C44="",Catalogo!$B44="Espacio libre",Catalogo!$B44="Espacio reservado"),0,COUNTIF($C$13:$C$42,Catalogo!$C44)+IF($E$7=Catalogo!$C44,N($K$7),0)+IF($E$8=Catalogo!$C44,N($N$8),0)+IF(Proyecto!$D$12=Catalogo!$C44,$AQ$4,0)+SUMIF($C$49:$C$58,Catalogo!$C44,$K$49:$K$58))</f>
        <v>0</v>
      </c>
    </row>
    <row r="45" spans="2:93" ht="14" customHeight="1" x14ac:dyDescent="0.45">
      <c r="B45" s="10" t="s">
        <v>460</v>
      </c>
      <c r="R45" s="40"/>
      <c r="S45" s="13">
        <v>13</v>
      </c>
      <c r="T45" s="49" t="str">
        <f>IF($AM45=0,"",IF(INDEX($J$13:$J$42,$AM45)=13,INDEX($AH$13:$AH$42,$AM45),""))</f>
        <v>Servidor 8RU</v>
      </c>
      <c r="U45" s="38"/>
      <c r="V45" s="39"/>
      <c r="W45" s="13">
        <v>13</v>
      </c>
      <c r="X45" s="40"/>
      <c r="AM45">
        <f>IFERROR(MATCH(1,INDEX(($K$13:$K$42&lt;=13)*($J$13:$J$42&gt;=13),0),0),0)</f>
        <v>27</v>
      </c>
      <c r="AN45" t="str">
        <f>IF(13&gt;$AR$5,"Fuera",IF($AM45=0,"",INDEX($AD$13:$AD$42,$AM45)))</f>
        <v>Servidor</v>
      </c>
      <c r="BA45">
        <f>IF(OR(Catalogo!$C45="",Catalogo!$B45="Espacio libre",Catalogo!$B45="Espacio reservado"),0,COUNTIF($C$13:$C$42,Catalogo!$C45)+IF($E$7=Catalogo!$C45,N($K$7),0)+IF($E$8=Catalogo!$C45,N($N$8),0)+IF(Proyecto!$D$12=Catalogo!$C45,$AQ$4,0)+SUMIF($C$49:$C$58,Catalogo!$C45,$K$49:$K$58))</f>
        <v>0</v>
      </c>
    </row>
    <row r="46" spans="2:93" ht="14" customHeight="1" x14ac:dyDescent="0.45">
      <c r="R46" s="40"/>
      <c r="S46" s="13">
        <v>12</v>
      </c>
      <c r="T46" s="49" t="str">
        <f>IF($AM46=0,"",IF(INDEX($J$13:$J$42,$AM46)=12,INDEX($AH$13:$AH$42,$AM46),""))</f>
        <v/>
      </c>
      <c r="U46" s="38"/>
      <c r="V46" s="39"/>
      <c r="W46" s="13">
        <v>12</v>
      </c>
      <c r="X46" s="40"/>
      <c r="AM46">
        <f>IFERROR(MATCH(1,INDEX(($K$13:$K$42&lt;=12)*($J$13:$J$42&gt;=12),0),0),0)</f>
        <v>27</v>
      </c>
      <c r="AN46" t="str">
        <f>IF(12&gt;$AR$5,"Fuera",IF($AM46=0,"",INDEX($AD$13:$AD$42,$AM46)))</f>
        <v>Servidor</v>
      </c>
      <c r="BA46">
        <f>IF(OR(Catalogo!$C46="",Catalogo!$B46="Espacio libre",Catalogo!$B46="Espacio reservado"),0,COUNTIF($C$13:$C$42,Catalogo!$C46)+IF($E$7=Catalogo!$C46,N($K$7),0)+IF($E$8=Catalogo!$C46,N($N$8),0)+IF(Proyecto!$D$12=Catalogo!$C46,$AQ$4,0)+SUMIF($C$49:$C$58,Catalogo!$C46,$K$49:$K$58))</f>
        <v>0</v>
      </c>
    </row>
    <row r="47" spans="2:93" ht="14" customHeight="1" x14ac:dyDescent="0.45">
      <c r="B47" s="2" t="s">
        <v>401</v>
      </c>
      <c r="C47" s="2"/>
      <c r="D47" s="2"/>
      <c r="E47" s="2" t="s">
        <v>402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40"/>
      <c r="S47" s="13">
        <v>11</v>
      </c>
      <c r="T47" s="49" t="str">
        <f>IF($AM47=0,"",IF(INDEX($J$13:$J$42,$AM47)=11,INDEX($AH$13:$AH$42,$AM47),""))</f>
        <v/>
      </c>
      <c r="U47" s="38"/>
      <c r="V47" s="39"/>
      <c r="W47" s="13">
        <v>11</v>
      </c>
      <c r="X47" s="40"/>
      <c r="AM47">
        <f>IFERROR(MATCH(1,INDEX(($K$13:$K$42&lt;=11)*($J$13:$J$42&gt;=11),0),0),0)</f>
        <v>27</v>
      </c>
      <c r="AN47" t="str">
        <f>IF(11&gt;$AR$5,"Fuera",IF($AM47=0,"",INDEX($AD$13:$AD$42,$AM47)))</f>
        <v>Servidor</v>
      </c>
      <c r="BA47">
        <f>IF(OR(Catalogo!$C47="",Catalogo!$B47="Espacio libre",Catalogo!$B47="Espacio reservado"),0,COUNTIF($C$13:$C$42,Catalogo!$C47)+IF($E$7=Catalogo!$C47,N($K$7),0)+IF($E$8=Catalogo!$C47,N($N$8),0)+IF(Proyecto!$D$12=Catalogo!$C47,$AQ$4,0)+SUMIF($C$49:$C$58,Catalogo!$C47,$K$49:$K$58))</f>
        <v>0</v>
      </c>
    </row>
    <row r="48" spans="2:93" ht="14" customHeight="1" x14ac:dyDescent="0.45">
      <c r="B48" s="5" t="s">
        <v>385</v>
      </c>
      <c r="C48" s="42" t="s">
        <v>386</v>
      </c>
      <c r="D48" s="43"/>
      <c r="E48" s="43"/>
      <c r="F48" s="43"/>
      <c r="G48" s="43"/>
      <c r="H48" s="44"/>
      <c r="I48" s="42" t="s">
        <v>61</v>
      </c>
      <c r="J48" s="44"/>
      <c r="K48" s="5" t="s">
        <v>377</v>
      </c>
      <c r="L48" s="42" t="s">
        <v>403</v>
      </c>
      <c r="M48" s="43"/>
      <c r="N48" s="43"/>
      <c r="O48" s="43"/>
      <c r="P48" s="43"/>
      <c r="Q48" s="44"/>
      <c r="R48" s="40"/>
      <c r="S48" s="13">
        <v>10</v>
      </c>
      <c r="T48" s="49" t="str">
        <f>IF($AM48=0,"",IF(INDEX($J$13:$J$42,$AM48)=10,INDEX($AH$13:$AH$42,$AM48),""))</f>
        <v/>
      </c>
      <c r="U48" s="38"/>
      <c r="V48" s="39"/>
      <c r="W48" s="13">
        <v>10</v>
      </c>
      <c r="X48" s="40"/>
      <c r="AM48">
        <f>IFERROR(MATCH(1,INDEX(($K$13:$K$42&lt;=10)*($J$13:$J$42&gt;=10),0),0),0)</f>
        <v>27</v>
      </c>
      <c r="AN48" t="str">
        <f>IF(10&gt;$AR$5,"Fuera",IF($AM48=0,"",INDEX($AD$13:$AD$42,$AM48)))</f>
        <v>Servidor</v>
      </c>
      <c r="BA48">
        <f>IF(OR(Catalogo!$C48="",Catalogo!$B48="Espacio libre",Catalogo!$B48="Espacio reservado"),0,COUNTIF($C$13:$C$42,Catalogo!$C48)+IF($E$7=Catalogo!$C48,N($K$7),0)+IF($E$8=Catalogo!$C48,N($N$8),0)+IF(Proyecto!$D$12=Catalogo!$C48,$AQ$4,0)+SUMIF($C$49:$C$58,Catalogo!$C48,$K$49:$K$58))</f>
        <v>0</v>
      </c>
    </row>
    <row r="49" spans="2:53" ht="14" customHeight="1" x14ac:dyDescent="0.45">
      <c r="B49" s="9">
        <v>1</v>
      </c>
      <c r="C49" s="37"/>
      <c r="D49" s="38"/>
      <c r="E49" s="38"/>
      <c r="F49" s="38"/>
      <c r="G49" s="38"/>
      <c r="H49" s="39"/>
      <c r="I49" s="45" t="str">
        <f>IF($C49="","",IFERROR(INDEX(Catalogo!$E$6:$E$125,MATCH($C49,Catalogo!$C$6:$C$125,0)),""))</f>
        <v/>
      </c>
      <c r="J49" s="39"/>
      <c r="K49" s="6"/>
      <c r="L49" s="37"/>
      <c r="M49" s="38"/>
      <c r="N49" s="38"/>
      <c r="O49" s="38"/>
      <c r="P49" s="38"/>
      <c r="Q49" s="39"/>
      <c r="R49" s="40"/>
      <c r="S49" s="13">
        <v>9</v>
      </c>
      <c r="T49" s="49" t="str">
        <f>IF($AM49=0,"",IF(INDEX($J$13:$J$42,$AM49)=9,INDEX($AH$13:$AH$42,$AM49),""))</f>
        <v/>
      </c>
      <c r="U49" s="38"/>
      <c r="V49" s="39"/>
      <c r="W49" s="13">
        <v>9</v>
      </c>
      <c r="X49" s="40"/>
      <c r="AM49">
        <f>IFERROR(MATCH(1,INDEX(($K$13:$K$42&lt;=9)*($J$13:$J$42&gt;=9),0),0),0)</f>
        <v>27</v>
      </c>
      <c r="AN49" t="str">
        <f>IF(9&gt;$AR$5,"Fuera",IF($AM49=0,"",INDEX($AD$13:$AD$42,$AM49)))</f>
        <v>Servidor</v>
      </c>
      <c r="BA49">
        <f>IF(OR(Catalogo!$C49="",Catalogo!$B49="Espacio libre",Catalogo!$B49="Espacio reservado"),0,COUNTIF($C$13:$C$42,Catalogo!$C49)+IF($E$7=Catalogo!$C49,N($K$7),0)+IF($E$8=Catalogo!$C49,N($N$8),0)+IF(Proyecto!$D$12=Catalogo!$C49,$AQ$4,0)+SUMIF($C$49:$C$58,Catalogo!$C49,$K$49:$K$58))</f>
        <v>0</v>
      </c>
    </row>
    <row r="50" spans="2:53" ht="14" customHeight="1" x14ac:dyDescent="0.45">
      <c r="B50" s="9">
        <v>2</v>
      </c>
      <c r="C50" s="37"/>
      <c r="D50" s="38"/>
      <c r="E50" s="38"/>
      <c r="F50" s="38"/>
      <c r="G50" s="38"/>
      <c r="H50" s="39"/>
      <c r="I50" s="45" t="str">
        <f>IF($C50="","",IFERROR(INDEX(Catalogo!$E$6:$E$125,MATCH($C50,Catalogo!$C$6:$C$125,0)),""))</f>
        <v/>
      </c>
      <c r="J50" s="39"/>
      <c r="K50" s="6"/>
      <c r="L50" s="37"/>
      <c r="M50" s="38"/>
      <c r="N50" s="38"/>
      <c r="O50" s="38"/>
      <c r="P50" s="38"/>
      <c r="Q50" s="39"/>
      <c r="R50" s="40"/>
      <c r="S50" s="13">
        <v>8</v>
      </c>
      <c r="T50" s="49" t="str">
        <f>IF($AM50=0,"",IF(INDEX($J$13:$J$42,$AM50)=8,INDEX($AH$13:$AH$42,$AM50),""))</f>
        <v/>
      </c>
      <c r="U50" s="38"/>
      <c r="V50" s="39"/>
      <c r="W50" s="13">
        <v>8</v>
      </c>
      <c r="X50" s="40"/>
      <c r="AM50">
        <f>IFERROR(MATCH(1,INDEX(($K$13:$K$42&lt;=8)*($J$13:$J$42&gt;=8),0),0),0)</f>
        <v>27</v>
      </c>
      <c r="AN50" t="str">
        <f>IF(8&gt;$AR$5,"Fuera",IF($AM50=0,"",INDEX($AD$13:$AD$42,$AM50)))</f>
        <v>Servidor</v>
      </c>
      <c r="BA50">
        <f>IF(OR(Catalogo!$C50="",Catalogo!$B50="Espacio libre",Catalogo!$B50="Espacio reservado"),0,COUNTIF($C$13:$C$42,Catalogo!$C50)+IF($E$7=Catalogo!$C50,N($K$7),0)+IF($E$8=Catalogo!$C50,N($N$8),0)+IF(Proyecto!$D$12=Catalogo!$C50,$AQ$4,0)+SUMIF($C$49:$C$58,Catalogo!$C50,$K$49:$K$58))</f>
        <v>0</v>
      </c>
    </row>
    <row r="51" spans="2:53" ht="14" customHeight="1" x14ac:dyDescent="0.45">
      <c r="B51" s="9">
        <v>3</v>
      </c>
      <c r="C51" s="37"/>
      <c r="D51" s="38"/>
      <c r="E51" s="38"/>
      <c r="F51" s="38"/>
      <c r="G51" s="38"/>
      <c r="H51" s="39"/>
      <c r="I51" s="45" t="str">
        <f>IF($C51="","",IFERROR(INDEX(Catalogo!$E$6:$E$125,MATCH($C51,Catalogo!$C$6:$C$125,0)),""))</f>
        <v/>
      </c>
      <c r="J51" s="39"/>
      <c r="K51" s="6"/>
      <c r="L51" s="37"/>
      <c r="M51" s="38"/>
      <c r="N51" s="38"/>
      <c r="O51" s="38"/>
      <c r="P51" s="38"/>
      <c r="Q51" s="39"/>
      <c r="R51" s="40"/>
      <c r="S51" s="13">
        <v>7</v>
      </c>
      <c r="T51" s="49" t="str">
        <f>IF($AM51=0,"",IF(INDEX($J$13:$J$42,$AM51)=7,INDEX($AH$13:$AH$42,$AM51),""))</f>
        <v/>
      </c>
      <c r="U51" s="38"/>
      <c r="V51" s="39"/>
      <c r="W51" s="13">
        <v>7</v>
      </c>
      <c r="X51" s="40"/>
      <c r="AM51">
        <f>IFERROR(MATCH(1,INDEX(($K$13:$K$42&lt;=7)*($J$13:$J$42&gt;=7),0),0),0)</f>
        <v>27</v>
      </c>
      <c r="AN51" t="str">
        <f>IF(7&gt;$AR$5,"Fuera",IF($AM51=0,"",INDEX($AD$13:$AD$42,$AM51)))</f>
        <v>Servidor</v>
      </c>
      <c r="BA51">
        <f>IF(OR(Catalogo!$C51="",Catalogo!$B51="Espacio libre",Catalogo!$B51="Espacio reservado"),0,COUNTIF($C$13:$C$42,Catalogo!$C51)+IF($E$7=Catalogo!$C51,N($K$7),0)+IF($E$8=Catalogo!$C51,N($N$8),0)+IF(Proyecto!$D$12=Catalogo!$C51,$AQ$4,0)+SUMIF($C$49:$C$58,Catalogo!$C51,$K$49:$K$58))</f>
        <v>0</v>
      </c>
    </row>
    <row r="52" spans="2:53" ht="14" customHeight="1" x14ac:dyDescent="0.45">
      <c r="B52" s="9">
        <v>4</v>
      </c>
      <c r="C52" s="37"/>
      <c r="D52" s="38"/>
      <c r="E52" s="38"/>
      <c r="F52" s="38"/>
      <c r="G52" s="38"/>
      <c r="H52" s="39"/>
      <c r="I52" s="45" t="str">
        <f>IF($C52="","",IFERROR(INDEX(Catalogo!$E$6:$E$125,MATCH($C52,Catalogo!$C$6:$C$125,0)),""))</f>
        <v/>
      </c>
      <c r="J52" s="39"/>
      <c r="K52" s="6"/>
      <c r="L52" s="37"/>
      <c r="M52" s="38"/>
      <c r="N52" s="38"/>
      <c r="O52" s="38"/>
      <c r="P52" s="38"/>
      <c r="Q52" s="39"/>
      <c r="R52" s="40"/>
      <c r="S52" s="13">
        <v>6</v>
      </c>
      <c r="T52" s="49" t="str">
        <f>IF($AM52=0,"",IF(INDEX($J$13:$J$42,$AM52)=6,INDEX($AH$13:$AH$42,$AM52),""))</f>
        <v/>
      </c>
      <c r="U52" s="38"/>
      <c r="V52" s="39"/>
      <c r="W52" s="13">
        <v>6</v>
      </c>
      <c r="X52" s="40"/>
      <c r="AM52">
        <f>IFERROR(MATCH(1,INDEX(($K$13:$K$42&lt;=6)*($J$13:$J$42&gt;=6),0),0),0)</f>
        <v>27</v>
      </c>
      <c r="AN52" t="str">
        <f>IF(6&gt;$AR$5,"Fuera",IF($AM52=0,"",INDEX($AD$13:$AD$42,$AM52)))</f>
        <v>Servidor</v>
      </c>
      <c r="BA52">
        <f>IF(OR(Catalogo!$C52="",Catalogo!$B52="Espacio libre",Catalogo!$B52="Espacio reservado"),0,COUNTIF($C$13:$C$42,Catalogo!$C52)+IF($E$7=Catalogo!$C52,N($K$7),0)+IF($E$8=Catalogo!$C52,N($N$8),0)+IF(Proyecto!$D$12=Catalogo!$C52,$AQ$4,0)+SUMIF($C$49:$C$58,Catalogo!$C52,$K$49:$K$58))</f>
        <v>0</v>
      </c>
    </row>
    <row r="53" spans="2:53" ht="14" customHeight="1" x14ac:dyDescent="0.45">
      <c r="B53" s="9">
        <v>5</v>
      </c>
      <c r="C53" s="37"/>
      <c r="D53" s="38"/>
      <c r="E53" s="38"/>
      <c r="F53" s="38"/>
      <c r="G53" s="38"/>
      <c r="H53" s="39"/>
      <c r="I53" s="45" t="str">
        <f>IF($C53="","",IFERROR(INDEX(Catalogo!$E$6:$E$125,MATCH($C53,Catalogo!$C$6:$C$125,0)),""))</f>
        <v/>
      </c>
      <c r="J53" s="39"/>
      <c r="K53" s="6"/>
      <c r="L53" s="37"/>
      <c r="M53" s="38"/>
      <c r="N53" s="38"/>
      <c r="O53" s="38"/>
      <c r="P53" s="38"/>
      <c r="Q53" s="39"/>
      <c r="R53" s="40"/>
      <c r="S53" s="13">
        <v>5</v>
      </c>
      <c r="T53" s="49" t="str">
        <f>IF($AM53=0,"",IF(INDEX($J$13:$J$42,$AM53)=5,INDEX($AH$13:$AH$42,$AM53),""))</f>
        <v>UPS 3 kVA 2RU, 120 V, 6 salidas (APC SMT3000RM2U)</v>
      </c>
      <c r="U53" s="38"/>
      <c r="V53" s="39"/>
      <c r="W53" s="13">
        <v>5</v>
      </c>
      <c r="X53" s="40"/>
      <c r="AM53">
        <f>IFERROR(MATCH(1,INDEX(($K$13:$K$42&lt;=5)*($J$13:$J$42&gt;=5),0),0),0)</f>
        <v>28</v>
      </c>
      <c r="AN53" t="str">
        <f>IF(5&gt;$AR$5,"Fuera",IF($AM53=0,"",INDEX($AD$13:$AD$42,$AM53)))</f>
        <v>UPS</v>
      </c>
      <c r="BA53">
        <f>IF(OR(Catalogo!$C53="",Catalogo!$B53="Espacio libre",Catalogo!$B53="Espacio reservado"),0,COUNTIF($C$13:$C$42,Catalogo!$C53)+IF($E$7=Catalogo!$C53,N($K$7),0)+IF($E$8=Catalogo!$C53,N($N$8),0)+IF(Proyecto!$D$12=Catalogo!$C53,$AQ$4,0)+SUMIF($C$49:$C$58,Catalogo!$C53,$K$49:$K$58))</f>
        <v>0</v>
      </c>
    </row>
    <row r="54" spans="2:53" ht="14" customHeight="1" x14ac:dyDescent="0.45">
      <c r="B54" s="9">
        <v>6</v>
      </c>
      <c r="C54" s="37"/>
      <c r="D54" s="38"/>
      <c r="E54" s="38"/>
      <c r="F54" s="38"/>
      <c r="G54" s="38"/>
      <c r="H54" s="39"/>
      <c r="I54" s="45" t="str">
        <f>IF($C54="","",IFERROR(INDEX(Catalogo!$E$6:$E$125,MATCH($C54,Catalogo!$C$6:$C$125,0)),""))</f>
        <v/>
      </c>
      <c r="J54" s="39"/>
      <c r="K54" s="6"/>
      <c r="L54" s="37"/>
      <c r="M54" s="38"/>
      <c r="N54" s="38"/>
      <c r="O54" s="38"/>
      <c r="P54" s="38"/>
      <c r="Q54" s="39"/>
      <c r="R54" s="40"/>
      <c r="S54" s="13">
        <v>4</v>
      </c>
      <c r="T54" s="49" t="str">
        <f>IF($AM54=0,"",IF(INDEX($J$13:$J$42,$AM54)=4,INDEX($AH$13:$AH$42,$AM54),""))</f>
        <v/>
      </c>
      <c r="U54" s="38"/>
      <c r="V54" s="39"/>
      <c r="W54" s="13">
        <v>4</v>
      </c>
      <c r="X54" s="40"/>
      <c r="AM54">
        <f>IFERROR(MATCH(1,INDEX(($K$13:$K$42&lt;=4)*($J$13:$J$42&gt;=4),0),0),0)</f>
        <v>28</v>
      </c>
      <c r="AN54" t="str">
        <f>IF(4&gt;$AR$5,"Fuera",IF($AM54=0,"",INDEX($AD$13:$AD$42,$AM54)))</f>
        <v>UPS</v>
      </c>
      <c r="BA54">
        <f>IF(OR(Catalogo!$C54="",Catalogo!$B54="Espacio libre",Catalogo!$B54="Espacio reservado"),0,COUNTIF($C$13:$C$42,Catalogo!$C54)+IF($E$7=Catalogo!$C54,N($K$7),0)+IF($E$8=Catalogo!$C54,N($N$8),0)+IF(Proyecto!$D$12=Catalogo!$C54,$AQ$4,0)+SUMIF($C$49:$C$58,Catalogo!$C54,$K$49:$K$58))</f>
        <v>0</v>
      </c>
    </row>
    <row r="55" spans="2:53" ht="14" customHeight="1" x14ac:dyDescent="0.45">
      <c r="B55" s="9">
        <v>7</v>
      </c>
      <c r="C55" s="37"/>
      <c r="D55" s="38"/>
      <c r="E55" s="38"/>
      <c r="F55" s="38"/>
      <c r="G55" s="38"/>
      <c r="H55" s="39"/>
      <c r="I55" s="45" t="str">
        <f>IF($C55="","",IFERROR(INDEX(Catalogo!$E$6:$E$125,MATCH($C55,Catalogo!$C$6:$C$125,0)),""))</f>
        <v/>
      </c>
      <c r="J55" s="39"/>
      <c r="K55" s="6"/>
      <c r="L55" s="37"/>
      <c r="M55" s="38"/>
      <c r="N55" s="38"/>
      <c r="O55" s="38"/>
      <c r="P55" s="38"/>
      <c r="Q55" s="39"/>
      <c r="R55" s="40"/>
      <c r="S55" s="13">
        <v>3</v>
      </c>
      <c r="T55" s="49" t="str">
        <f>IF($AM55=0,"",IF(INDEX($J$13:$J$42,$AM55)=3,INDEX($AH$13:$AH$42,$AM55),""))</f>
        <v>UPS 3 kVA 2RU, 120 V, 6 salidas (APC SMT3000RM2U)</v>
      </c>
      <c r="U55" s="38"/>
      <c r="V55" s="39"/>
      <c r="W55" s="13">
        <v>3</v>
      </c>
      <c r="X55" s="40"/>
      <c r="AM55">
        <f>IFERROR(MATCH(1,INDEX(($K$13:$K$42&lt;=3)*($J$13:$J$42&gt;=3),0),0),0)</f>
        <v>29</v>
      </c>
      <c r="AN55" t="str">
        <f>IF(3&gt;$AR$5,"Fuera",IF($AM55=0,"",INDEX($AD$13:$AD$42,$AM55)))</f>
        <v>UPS</v>
      </c>
      <c r="BA55">
        <f>IF(OR(Catalogo!$C55="",Catalogo!$B55="Espacio libre",Catalogo!$B55="Espacio reservado"),0,COUNTIF($C$13:$C$42,Catalogo!$C55)+IF($E$7=Catalogo!$C55,N($K$7),0)+IF($E$8=Catalogo!$C55,N($N$8),0)+IF(Proyecto!$D$12=Catalogo!$C55,$AQ$4,0)+SUMIF($C$49:$C$58,Catalogo!$C55,$K$49:$K$58))</f>
        <v>0</v>
      </c>
    </row>
    <row r="56" spans="2:53" ht="14" customHeight="1" x14ac:dyDescent="0.45">
      <c r="B56" s="9">
        <v>8</v>
      </c>
      <c r="C56" s="37"/>
      <c r="D56" s="38"/>
      <c r="E56" s="38"/>
      <c r="F56" s="38"/>
      <c r="G56" s="38"/>
      <c r="H56" s="39"/>
      <c r="I56" s="45" t="str">
        <f>IF($C56="","",IFERROR(INDEX(Catalogo!$E$6:$E$125,MATCH($C56,Catalogo!$C$6:$C$125,0)),""))</f>
        <v/>
      </c>
      <c r="J56" s="39"/>
      <c r="K56" s="6"/>
      <c r="L56" s="37"/>
      <c r="M56" s="38"/>
      <c r="N56" s="38"/>
      <c r="O56" s="38"/>
      <c r="P56" s="38"/>
      <c r="Q56" s="39"/>
      <c r="R56" s="40"/>
      <c r="S56" s="13">
        <v>2</v>
      </c>
      <c r="T56" s="49" t="str">
        <f>IF($AM56=0,"",IF(INDEX($J$13:$J$42,$AM56)=2,INDEX($AH$13:$AH$42,$AM56),""))</f>
        <v/>
      </c>
      <c r="U56" s="38"/>
      <c r="V56" s="39"/>
      <c r="W56" s="13">
        <v>2</v>
      </c>
      <c r="X56" s="40"/>
      <c r="AM56">
        <f>IFERROR(MATCH(1,INDEX(($K$13:$K$42&lt;=2)*($J$13:$J$42&gt;=2),0),0),0)</f>
        <v>29</v>
      </c>
      <c r="AN56" t="str">
        <f>IF(2&gt;$AR$5,"Fuera",IF($AM56=0,"",INDEX($AD$13:$AD$42,$AM56)))</f>
        <v>UPS</v>
      </c>
      <c r="BA56">
        <f>IF(OR(Catalogo!$C56="",Catalogo!$B56="Espacio libre",Catalogo!$B56="Espacio reservado"),0,COUNTIF($C$13:$C$42,Catalogo!$C56)+IF($E$7=Catalogo!$C56,N($K$7),0)+IF($E$8=Catalogo!$C56,N($N$8),0)+IF(Proyecto!$D$12=Catalogo!$C56,$AQ$4,0)+SUMIF($C$49:$C$58,Catalogo!$C56,$K$49:$K$58))</f>
        <v>0</v>
      </c>
    </row>
    <row r="57" spans="2:53" ht="14" customHeight="1" x14ac:dyDescent="0.45">
      <c r="B57" s="9">
        <v>9</v>
      </c>
      <c r="C57" s="37"/>
      <c r="D57" s="38"/>
      <c r="E57" s="38"/>
      <c r="F57" s="38"/>
      <c r="G57" s="38"/>
      <c r="H57" s="39"/>
      <c r="I57" s="45" t="str">
        <f>IF($C57="","",IFERROR(INDEX(Catalogo!$E$6:$E$125,MATCH($C57,Catalogo!$C$6:$C$125,0)),""))</f>
        <v/>
      </c>
      <c r="J57" s="39"/>
      <c r="K57" s="6"/>
      <c r="L57" s="37"/>
      <c r="M57" s="38"/>
      <c r="N57" s="38"/>
      <c r="O57" s="38"/>
      <c r="P57" s="38"/>
      <c r="Q57" s="39"/>
      <c r="R57" s="40"/>
      <c r="S57" s="13">
        <v>1</v>
      </c>
      <c r="T57" s="49" t="str">
        <f>IF($AM57=0,"",IF(INDEX($J$13:$J$42,$AM57)=1,INDEX($AH$13:$AH$42,$AM57),""))</f>
        <v>Barra de tierra para rack 19"</v>
      </c>
      <c r="U57" s="38"/>
      <c r="V57" s="39"/>
      <c r="W57" s="13">
        <v>1</v>
      </c>
      <c r="X57" s="40"/>
      <c r="AM57">
        <f>IFERROR(MATCH(1,INDEX(($K$13:$K$42&lt;=1)*($J$13:$J$42&gt;=1),0),0),0)</f>
        <v>30</v>
      </c>
      <c r="AN57" t="str">
        <f>IF(1&gt;$AR$5,"Fuera",IF($AM57=0,"",INDEX($AD$13:$AD$42,$AM57)))</f>
        <v>Puesta a tierra</v>
      </c>
      <c r="BA57">
        <f>IF(OR(Catalogo!$C57="",Catalogo!$B57="Espacio libre",Catalogo!$B57="Espacio reservado"),0,COUNTIF($C$13:$C$42,Catalogo!$C57)+IF($E$7=Catalogo!$C57,N($K$7),0)+IF($E$8=Catalogo!$C57,N($N$8),0)+IF(Proyecto!$D$12=Catalogo!$C57,$AQ$4,0)+SUMIF($C$49:$C$58,Catalogo!$C57,$K$49:$K$58))</f>
        <v>0</v>
      </c>
    </row>
    <row r="58" spans="2:53" x14ac:dyDescent="0.45">
      <c r="B58" s="9">
        <v>10</v>
      </c>
      <c r="C58" s="37"/>
      <c r="D58" s="38"/>
      <c r="E58" s="38"/>
      <c r="F58" s="38"/>
      <c r="G58" s="38"/>
      <c r="H58" s="39"/>
      <c r="I58" s="45" t="str">
        <f>IF($C58="","",IFERROR(INDEX(Catalogo!$E$6:$E$125,MATCH($C58,Catalogo!$C$6:$C$125,0)),""))</f>
        <v/>
      </c>
      <c r="J58" s="39"/>
      <c r="K58" s="6"/>
      <c r="L58" s="37"/>
      <c r="M58" s="38"/>
      <c r="N58" s="38"/>
      <c r="O58" s="38"/>
      <c r="P58" s="38"/>
      <c r="Q58" s="39"/>
      <c r="BA58">
        <f>IF(OR(Catalogo!$C58="",Catalogo!$B58="Espacio libre",Catalogo!$B58="Espacio reservado"),0,COUNTIF($C$13:$C$42,Catalogo!$C58)+IF($E$7=Catalogo!$C58,N($K$7),0)+IF($E$8=Catalogo!$C58,N($N$8),0)+IF(Proyecto!$D$12=Catalogo!$C58,$AQ$4,0)+SUMIF($C$49:$C$58,Catalogo!$C58,$K$49:$K$58))</f>
        <v>0</v>
      </c>
    </row>
    <row r="59" spans="2:53" x14ac:dyDescent="0.45">
      <c r="B59" s="2" t="s">
        <v>442</v>
      </c>
      <c r="C59" s="2"/>
      <c r="D59" s="2"/>
      <c r="E59" s="2" t="s">
        <v>443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S59" s="14" t="s">
        <v>404</v>
      </c>
      <c r="W59" s="15" t="s">
        <v>405</v>
      </c>
      <c r="BA59">
        <f>IF(OR(Catalogo!$C59="",Catalogo!$B59="Espacio libre",Catalogo!$B59="Espacio reservado"),0,COUNTIF($C$13:$C$42,Catalogo!$C59)+IF($E$7=Catalogo!$C59,N($K$7),0)+IF($E$8=Catalogo!$C59,N($N$8),0)+IF(Proyecto!$D$12=Catalogo!$C59,$AQ$4,0)+SUMIF($C$49:$C$58,Catalogo!$C59,$K$49:$K$58))</f>
        <v>0</v>
      </c>
    </row>
    <row r="60" spans="2:53" x14ac:dyDescent="0.45">
      <c r="B60" s="42" t="s">
        <v>444</v>
      </c>
      <c r="C60" s="43"/>
      <c r="D60" s="43"/>
      <c r="E60" s="43"/>
      <c r="F60" s="43"/>
      <c r="G60" s="44"/>
      <c r="H60" s="9">
        <f>ROUND(SUM($CL$13:$CL$42),0)</f>
        <v>200</v>
      </c>
      <c r="I60" s="9" t="s">
        <v>22</v>
      </c>
      <c r="J60" s="45" t="str">
        <f>IF(SUM($CO$13:$CO$42)&gt;0,"⚠ "&amp;SUM($CO$13:$CO$42)&amp;" equipo(s) sin dato de consumo en el Catálogo","✓ Todos los equipos tienen dato de consumo")</f>
        <v>⚠ 5 equipo(s) sin dato de consumo en el Catálogo</v>
      </c>
      <c r="K60" s="38"/>
      <c r="L60" s="38"/>
      <c r="M60" s="38"/>
      <c r="N60" s="38"/>
      <c r="O60" s="38"/>
      <c r="P60" s="38"/>
      <c r="Q60" s="39"/>
      <c r="T60" s="16" t="s">
        <v>103</v>
      </c>
      <c r="V60" s="17" t="s">
        <v>19</v>
      </c>
      <c r="BA60">
        <f>IF(OR(Catalogo!$C60="",Catalogo!$B60="Espacio libre",Catalogo!$B60="Espacio reservado"),0,COUNTIF($C$13:$C$42,Catalogo!$C60)+IF($E$7=Catalogo!$C60,N($K$7),0)+IF($E$8=Catalogo!$C60,N($N$8),0)+IF(Proyecto!$D$12=Catalogo!$C60,$AQ$4,0)+SUMIF($C$49:$C$58,Catalogo!$C60,$K$49:$K$58))</f>
        <v>0</v>
      </c>
    </row>
    <row r="61" spans="2:53" x14ac:dyDescent="0.45">
      <c r="B61" s="42" t="s">
        <v>445</v>
      </c>
      <c r="C61" s="43"/>
      <c r="D61" s="43"/>
      <c r="E61" s="43"/>
      <c r="F61" s="43"/>
      <c r="G61" s="44"/>
      <c r="H61" s="6"/>
      <c r="I61" s="9" t="s">
        <v>22</v>
      </c>
      <c r="J61" s="45" t="s">
        <v>446</v>
      </c>
      <c r="K61" s="38"/>
      <c r="L61" s="38"/>
      <c r="M61" s="38"/>
      <c r="N61" s="38"/>
      <c r="O61" s="38"/>
      <c r="P61" s="38"/>
      <c r="Q61" s="39"/>
      <c r="T61" s="18" t="s">
        <v>27</v>
      </c>
      <c r="V61" s="19" t="s">
        <v>120</v>
      </c>
      <c r="BA61">
        <f>IF(OR(Catalogo!$C61="",Catalogo!$B61="Espacio libre",Catalogo!$B61="Espacio reservado"),0,COUNTIF($C$13:$C$42,Catalogo!$C61)+IF($E$7=Catalogo!$C61,N($K$7),0)+IF($E$8=Catalogo!$C61,N($N$8),0)+IF(Proyecto!$D$12=Catalogo!$C61,$AQ$4,0)+SUMIF($C$49:$C$58,Catalogo!$C61,$K$49:$K$58))</f>
        <v>0</v>
      </c>
    </row>
    <row r="62" spans="2:53" x14ac:dyDescent="0.45">
      <c r="B62" s="42" t="s">
        <v>447</v>
      </c>
      <c r="C62" s="43"/>
      <c r="D62" s="43"/>
      <c r="E62" s="43"/>
      <c r="F62" s="43"/>
      <c r="G62" s="44"/>
      <c r="H62" s="9">
        <f>H60+N(H61)</f>
        <v>200</v>
      </c>
      <c r="I62" s="9" t="s">
        <v>22</v>
      </c>
      <c r="J62" s="45" t="s">
        <v>448</v>
      </c>
      <c r="K62" s="38"/>
      <c r="L62" s="38"/>
      <c r="M62" s="38"/>
      <c r="N62" s="38"/>
      <c r="O62" s="38"/>
      <c r="P62" s="38"/>
      <c r="Q62" s="39"/>
      <c r="T62" s="20" t="s">
        <v>147</v>
      </c>
      <c r="V62" s="21" t="s">
        <v>139</v>
      </c>
      <c r="BA62">
        <f>IF(OR(Catalogo!$C62="",Catalogo!$B62="Espacio libre",Catalogo!$B62="Espacio reservado"),0,COUNTIF($C$13:$C$42,Catalogo!$C62)+IF($E$7=Catalogo!$C62,N($K$7),0)+IF($E$8=Catalogo!$C62,N($N$8),0)+IF(Proyecto!$D$12=Catalogo!$C62,$AQ$4,0)+SUMIF($C$49:$C$58,Catalogo!$C62,$K$49:$K$58))</f>
        <v>0</v>
      </c>
    </row>
    <row r="63" spans="2:53" x14ac:dyDescent="0.45">
      <c r="B63" s="42" t="s">
        <v>449</v>
      </c>
      <c r="C63" s="43"/>
      <c r="D63" s="43"/>
      <c r="E63" s="43"/>
      <c r="F63" s="43"/>
      <c r="G63" s="44"/>
      <c r="H63" s="9">
        <f>ROUND(H60*3.412,0)</f>
        <v>682</v>
      </c>
      <c r="I63" s="9" t="s">
        <v>450</v>
      </c>
      <c r="J63" s="45" t="str">
        <f>"≈ "&amp;TEXT(H63/12000,"0.00")&amp;" t.r. · dato para la hoja de cargas térmicas"</f>
        <v>≈ 0.00 t.r. · dato para la hoja de cargas térmicas</v>
      </c>
      <c r="K63" s="38"/>
      <c r="L63" s="38"/>
      <c r="M63" s="38"/>
      <c r="N63" s="38"/>
      <c r="O63" s="38"/>
      <c r="P63" s="38"/>
      <c r="Q63" s="39"/>
      <c r="T63" s="22" t="s">
        <v>343</v>
      </c>
      <c r="V63" s="23" t="s">
        <v>339</v>
      </c>
      <c r="BA63">
        <f>IF(OR(Catalogo!$C63="",Catalogo!$B63="Espacio libre",Catalogo!$B63="Espacio reservado"),0,COUNTIF($C$13:$C$42,Catalogo!$C63)+IF($E$7=Catalogo!$C63,N($K$7),0)+IF($E$8=Catalogo!$C63,N($N$8),0)+IF(Proyecto!$D$12=Catalogo!$C63,$AQ$4,0)+SUMIF($C$49:$C$58,Catalogo!$C63,$K$49:$K$58))</f>
        <v>0</v>
      </c>
    </row>
    <row r="64" spans="2:53" x14ac:dyDescent="0.45">
      <c r="B64" s="42" t="s">
        <v>451</v>
      </c>
      <c r="C64" s="43"/>
      <c r="D64" s="43"/>
      <c r="E64" s="43"/>
      <c r="F64" s="43"/>
      <c r="G64" s="44"/>
      <c r="H64" s="9">
        <f>ROUND(SUM($CM$13:$CM$42),0)</f>
        <v>97</v>
      </c>
      <c r="I64" s="9" t="s">
        <v>452</v>
      </c>
      <c r="J64" s="45" t="s">
        <v>453</v>
      </c>
      <c r="K64" s="38"/>
      <c r="L64" s="38"/>
      <c r="M64" s="38"/>
      <c r="N64" s="38"/>
      <c r="O64" s="38"/>
      <c r="P64" s="38"/>
      <c r="Q64" s="39"/>
      <c r="T64" s="24" t="s">
        <v>352</v>
      </c>
      <c r="V64" s="25" t="s">
        <v>349</v>
      </c>
      <c r="BA64">
        <f>IF(OR(Catalogo!$C64="",Catalogo!$B64="Espacio libre",Catalogo!$B64="Espacio reservado"),0,COUNTIF($C$13:$C$42,Catalogo!$C64)+IF($E$7=Catalogo!$C64,N($K$7),0)+IF($E$8=Catalogo!$C64,N($N$8),0)+IF(Proyecto!$D$12=Catalogo!$C64,$AQ$4,0)+SUMIF($C$49:$C$58,Catalogo!$C64,$K$49:$K$58))</f>
        <v>0</v>
      </c>
    </row>
    <row r="65" spans="2:82" x14ac:dyDescent="0.45">
      <c r="B65" s="42" t="s">
        <v>454</v>
      </c>
      <c r="C65" s="43"/>
      <c r="D65" s="43"/>
      <c r="E65" s="43"/>
      <c r="F65" s="43"/>
      <c r="G65" s="44"/>
      <c r="H65" s="9">
        <f>SUM($CN$13:$CN$42)</f>
        <v>5400</v>
      </c>
      <c r="I65" s="9" t="s">
        <v>22</v>
      </c>
      <c r="J65" s="45" t="str">
        <f>IF(H65=0,"Sin UPS en la lista de equipos",COUNTIF($AD$13:$AD$42,"UPS")&amp;" UPS en el rack")</f>
        <v>2 UPS en el rack</v>
      </c>
      <c r="K65" s="38"/>
      <c r="L65" s="38"/>
      <c r="M65" s="38"/>
      <c r="N65" s="38"/>
      <c r="O65" s="38"/>
      <c r="P65" s="38"/>
      <c r="Q65" s="39"/>
      <c r="T65" s="26" t="s">
        <v>322</v>
      </c>
      <c r="V65" s="27" t="s">
        <v>316</v>
      </c>
      <c r="BA65">
        <f>IF(OR(Catalogo!$C65="",Catalogo!$B65="Espacio libre",Catalogo!$B65="Espacio reservado"),0,COUNTIF($C$13:$C$42,Catalogo!$C65)+IF($E$7=Catalogo!$C65,N($K$7),0)+IF($E$8=Catalogo!$C65,N($N$8),0)+IF(Proyecto!$D$12=Catalogo!$C65,$AQ$4,0)+SUMIF($C$49:$C$58,Catalogo!$C65,$K$49:$K$58))</f>
        <v>0</v>
      </c>
    </row>
    <row r="66" spans="2:82" x14ac:dyDescent="0.45">
      <c r="B66" s="42" t="s">
        <v>455</v>
      </c>
      <c r="C66" s="43"/>
      <c r="D66" s="43"/>
      <c r="E66" s="43"/>
      <c r="F66" s="43"/>
      <c r="G66" s="44"/>
      <c r="H66" s="12">
        <f>IF($H$65=0,"",$H$62/$H$65)</f>
        <v>3.7037037037037035E-2</v>
      </c>
      <c r="I66" s="9" t="s">
        <v>456</v>
      </c>
      <c r="J66" s="45" t="str">
        <f>IF(H66="","",IF(H66&gt;0.8,"⚠ Más del 80 % de la capacidad","✓ Dentro del 80 % de la capacidad"))</f>
        <v>✓ Dentro del 80 % de la capacidad</v>
      </c>
      <c r="K66" s="38"/>
      <c r="L66" s="38"/>
      <c r="M66" s="38"/>
      <c r="N66" s="38"/>
      <c r="O66" s="38"/>
      <c r="P66" s="38"/>
      <c r="Q66" s="39"/>
      <c r="T66" s="28" t="s">
        <v>359</v>
      </c>
      <c r="V66" s="29" t="s">
        <v>51</v>
      </c>
      <c r="BA66">
        <f>IF(OR(Catalogo!$C66="",Catalogo!$B66="Espacio libre",Catalogo!$B66="Espacio reservado"),0,COUNTIF($C$13:$C$42,Catalogo!$C66)+IF($E$7=Catalogo!$C66,N($K$7),0)+IF($E$8=Catalogo!$C66,N($N$8),0)+IF(Proyecto!$D$12=Catalogo!$C66,$AQ$4,0)+SUMIF($C$49:$C$58,Catalogo!$C66,$K$49:$K$58))</f>
        <v>0</v>
      </c>
    </row>
    <row r="67" spans="2:82" x14ac:dyDescent="0.45">
      <c r="B67" s="42" t="s">
        <v>457</v>
      </c>
      <c r="C67" s="43"/>
      <c r="D67" s="43"/>
      <c r="E67" s="43"/>
      <c r="F67" s="43"/>
      <c r="G67" s="44"/>
      <c r="H67" s="12">
        <f>IF(MAX($CN$13:$CN$42)=0,"",$H$62/MAX($CN$13:$CN$42))</f>
        <v>7.407407407407407E-2</v>
      </c>
      <c r="I67" s="9" t="s">
        <v>456</v>
      </c>
      <c r="J67" s="45" t="str">
        <f>IF(H67="","",IF(COUNTIF($AD$13:$AD$42,"UPS")&lt;2,"Un solo UPS: sin redundancia",IF(H67&gt;0.8,"⚠ Un UPS no soporta la carga","✓ Un UPS soporta la carga")))</f>
        <v>✓ Un UPS soporta la carga</v>
      </c>
      <c r="K67" s="38"/>
      <c r="L67" s="38"/>
      <c r="M67" s="38"/>
      <c r="N67" s="38"/>
      <c r="O67" s="38"/>
      <c r="P67" s="38"/>
      <c r="Q67" s="39"/>
      <c r="T67" s="30" t="s">
        <v>233</v>
      </c>
      <c r="V67" s="31" t="s">
        <v>326</v>
      </c>
      <c r="BA67">
        <f>IF(OR(Catalogo!$C67="",Catalogo!$B67="Espacio libre",Catalogo!$B67="Espacio reservado"),0,COUNTIF($C$13:$C$42,Catalogo!$C67)+IF($E$7=Catalogo!$C67,N($K$7),0)+IF($E$8=Catalogo!$C67,N($N$8),0)+IF(Proyecto!$D$12=Catalogo!$C67,$AQ$4,0)+SUMIF($C$49:$C$58,Catalogo!$C67,$K$49:$K$58))</f>
        <v>0</v>
      </c>
    </row>
    <row r="68" spans="2:82" ht="18" hidden="1" customHeight="1" x14ac:dyDescent="0.45">
      <c r="B68" s="2" t="s">
        <v>406</v>
      </c>
      <c r="C68" s="2"/>
      <c r="D68" s="2"/>
      <c r="E68" s="2" t="s">
        <v>407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32" t="s">
        <v>330</v>
      </c>
      <c r="U68" s="2"/>
      <c r="V68" s="32" t="s">
        <v>408</v>
      </c>
      <c r="W68" s="2"/>
      <c r="X68" s="2"/>
      <c r="BA68">
        <f>IF(OR(Catalogo!$C68="",Catalogo!$B68="Espacio libre",Catalogo!$B68="Espacio reservado"),0,COUNTIF($C$13:$C$42,Catalogo!$C68)+IF($E$7=Catalogo!$C68,N($K$7),0)+IF($E$8=Catalogo!$C68,N($N$8),0)+IF(Proyecto!$D$12=Catalogo!$C68,$AQ$4,0)+SUMIF($C$49:$C$58,Catalogo!$C68,$K$49:$K$58))</f>
        <v>0</v>
      </c>
    </row>
    <row r="69" spans="2:82" hidden="1" x14ac:dyDescent="0.45">
      <c r="B69" s="10" t="s">
        <v>409</v>
      </c>
      <c r="BA69">
        <f>IF(OR(Catalogo!$C69="",Catalogo!$B69="Espacio libre",Catalogo!$B69="Espacio reservado"),0,COUNTIF($C$13:$C$42,Catalogo!$C69)+IF($E$7=Catalogo!$C69,N($K$7),0)+IF($E$8=Catalogo!$C69,N($N$8),0)+IF(Proyecto!$D$12=Catalogo!$C69,$AQ$4,0)+SUMIF($C$49:$C$58,Catalogo!$C69,$K$49:$K$58))</f>
        <v>0</v>
      </c>
    </row>
    <row r="70" spans="2:82" hidden="1" x14ac:dyDescent="0.45">
      <c r="B70" s="51" t="str">
        <f>IF($BN$13="","Bloque 1 — sin panel","Panel "&amp;$BN$13&amp;"  (puertos "&amp;($BM$13+1)&amp;"-"&amp;MIN($BM$13+24,$BO$13)&amp;")"&amp;IF($BP$13&lt;&gt;"","  · "&amp;$BP$13,"")&amp;"  · "&amp;TEXT(IFERROR(INDEX($BS$13:$BS$28,$BL$13)/$BO$13,0),"0%"))</f>
        <v>Panel 1A-AA  (puertos 1-24)  · 0%</v>
      </c>
      <c r="C70" s="40"/>
      <c r="D70" s="40"/>
      <c r="E70" s="40"/>
      <c r="F70" s="40"/>
      <c r="H70" s="51" t="str">
        <f>IF($BN$14="","Bloque 2 — sin panel","Panel "&amp;$BN$14&amp;"  (puertos "&amp;($BM$14+1)&amp;"-"&amp;MIN($BM$14+24,$BO$14)&amp;")"&amp;IF($BP$14&lt;&gt;"","  · "&amp;$BP$14,"")&amp;"  · "&amp;TEXT(IFERROR(INDEX($BS$13:$BS$28,$BL$14)/$BO$14,0),"0%"))</f>
        <v>Panel 1A-AB  (puertos 1-24)  · 0%</v>
      </c>
      <c r="I70" s="40"/>
      <c r="J70" s="40"/>
      <c r="K70" s="40"/>
      <c r="L70" s="40"/>
      <c r="N70" s="51" t="str">
        <f>IF($BN$15="","Bloque 3 — sin panel","Panel "&amp;$BN$15&amp;"  (puertos "&amp;($BM$15+1)&amp;"-"&amp;MIN($BM$15+24,$BO$15)&amp;")"&amp;IF($BP$15&lt;&gt;"","  · "&amp;$BP$15,"")&amp;"  · "&amp;TEXT(IFERROR(INDEX($BS$13:$BS$28,$BL$15)/$BO$15,0),"0%"))</f>
        <v>Panel 1A-AC  (puertos 1-24)  · 0%</v>
      </c>
      <c r="O70" s="40"/>
      <c r="P70" s="40"/>
      <c r="Q70" s="40"/>
      <c r="R70" s="40"/>
      <c r="T70" s="51" t="str">
        <f>IF($BN$16="","Bloque 4 — sin panel","Panel "&amp;$BN$16&amp;"  (puertos "&amp;($BM$16+1)&amp;"-"&amp;MIN($BM$16+24,$BO$16)&amp;")"&amp;IF($BP$16&lt;&gt;"","  · "&amp;$BP$16,"")&amp;"  · "&amp;TEXT(IFERROR(INDEX($BS$13:$BS$28,$BL$16)/$BO$16,0),"0%"))</f>
        <v>Panel 1A-AD  (puertos 1-24)  · 0%</v>
      </c>
      <c r="U70" s="40"/>
      <c r="V70" s="40"/>
      <c r="W70" s="40"/>
      <c r="X70" s="40"/>
      <c r="BA70">
        <f>IF(OR(Catalogo!$C70="",Catalogo!$B70="Espacio libre",Catalogo!$B70="Espacio reservado"),0,COUNTIF($C$13:$C$42,Catalogo!$C70)+IF($E$7=Catalogo!$C70,N($K$7),0)+IF($E$8=Catalogo!$C70,N($N$8),0)+IF(Proyecto!$D$12=Catalogo!$C70,$AQ$4,0)+SUMIF($C$49:$C$58,Catalogo!$C70,$K$49:$K$58))</f>
        <v>0</v>
      </c>
    </row>
    <row r="71" spans="2:82" hidden="1" x14ac:dyDescent="0.45">
      <c r="B71" s="5" t="s">
        <v>410</v>
      </c>
      <c r="C71" s="5" t="s">
        <v>411</v>
      </c>
      <c r="D71" s="5" t="s">
        <v>389</v>
      </c>
      <c r="E71" s="5" t="s">
        <v>412</v>
      </c>
      <c r="F71" s="5" t="s">
        <v>413</v>
      </c>
      <c r="H71" s="5" t="s">
        <v>410</v>
      </c>
      <c r="I71" s="5" t="s">
        <v>411</v>
      </c>
      <c r="J71" s="5" t="s">
        <v>389</v>
      </c>
      <c r="K71" s="5" t="s">
        <v>412</v>
      </c>
      <c r="L71" s="5" t="s">
        <v>413</v>
      </c>
      <c r="N71" s="5" t="s">
        <v>410</v>
      </c>
      <c r="O71" s="5" t="s">
        <v>411</v>
      </c>
      <c r="P71" s="5" t="s">
        <v>389</v>
      </c>
      <c r="Q71" s="5" t="s">
        <v>412</v>
      </c>
      <c r="R71" s="5" t="s">
        <v>413</v>
      </c>
      <c r="T71" s="5" t="s">
        <v>410</v>
      </c>
      <c r="U71" s="5" t="s">
        <v>411</v>
      </c>
      <c r="V71" s="5" t="s">
        <v>389</v>
      </c>
      <c r="W71" s="5" t="s">
        <v>412</v>
      </c>
      <c r="X71" s="5" t="s">
        <v>413</v>
      </c>
      <c r="BA71">
        <f>IF(OR(Catalogo!$C71="",Catalogo!$B71="Espacio libre",Catalogo!$B71="Espacio reservado"),0,COUNTIF($C$13:$C$42,Catalogo!$C71)+IF($E$7=Catalogo!$C71,N($K$7),0)+IF($E$8=Catalogo!$C71,N($N$8),0)+IF(Proyecto!$D$12=Catalogo!$C71,$AQ$4,0)+SUMIF($C$49:$C$58,Catalogo!$C71,$K$49:$K$58))</f>
        <v>0</v>
      </c>
    </row>
    <row r="72" spans="2:82" hidden="1" x14ac:dyDescent="0.45">
      <c r="B72" s="6"/>
      <c r="C72" s="9" t="str">
        <f>IF(CA72="","",CA72&amp;"-"&amp;TEXT(0+COUNTIF($CA$72:CA72,CA72),"000"))</f>
        <v/>
      </c>
      <c r="D72" s="9" t="str">
        <f>IF(AND($BN$13&lt;&gt;"",($BM$13+1)&lt;=$BO$13),$BN$13,"")</f>
        <v>1A-AA</v>
      </c>
      <c r="E72" s="9" t="str">
        <f>IF(AND($BN$13&lt;&gt;"",($BM$13+1)&lt;=$BO$13),TEXT(($BM$13+1),"00"),"")</f>
        <v>01</v>
      </c>
      <c r="F72" s="9" t="str">
        <f>IF(AND($BN$13&lt;&gt;"",($BM$13+1)&lt;=$BO$13),$BN$13&amp;"-"&amp;TEXT(($BM$13+1),"00"),"")</f>
        <v>1A-AA-01</v>
      </c>
      <c r="H72" s="6"/>
      <c r="I72" s="9" t="str">
        <f>IF(CB72="","",CB72&amp;"-"&amp;TEXT(COUNTIF($CA$72:$CA$95,CB72)+COUNTIF($CB$72:CB72,CB72),"000"))</f>
        <v/>
      </c>
      <c r="J72" s="9" t="str">
        <f>IF(AND($BN$14&lt;&gt;"",($BM$14+1)&lt;=$BO$14),$BN$14,"")</f>
        <v>1A-AB</v>
      </c>
      <c r="K72" s="9" t="str">
        <f>IF(AND($BN$14&lt;&gt;"",($BM$14+1)&lt;=$BO$14),TEXT(($BM$14+1),"00"),"")</f>
        <v>01</v>
      </c>
      <c r="L72" s="9" t="str">
        <f>IF(AND($BN$14&lt;&gt;"",($BM$14+1)&lt;=$BO$14),$BN$14&amp;"-"&amp;TEXT(($BM$14+1),"00"),"")</f>
        <v>1A-AB-01</v>
      </c>
      <c r="N72" s="6"/>
      <c r="O72" s="9" t="str">
        <f>IF(CC72="","",CC72&amp;"-"&amp;TEXT(COUNTIF($CA$72:$CA$95,CC72)+COUNTIF($CB$72:$CB$95,CC72)+COUNTIF($CC$72:CC72,CC72),"000"))</f>
        <v/>
      </c>
      <c r="P72" s="9" t="str">
        <f>IF(AND($BN$15&lt;&gt;"",($BM$15+1)&lt;=$BO$15),$BN$15,"")</f>
        <v>1A-AC</v>
      </c>
      <c r="Q72" s="9" t="str">
        <f>IF(AND($BN$15&lt;&gt;"",($BM$15+1)&lt;=$BO$15),TEXT(($BM$15+1),"00"),"")</f>
        <v>01</v>
      </c>
      <c r="R72" s="9" t="str">
        <f>IF(AND($BN$15&lt;&gt;"",($BM$15+1)&lt;=$BO$15),$BN$15&amp;"-"&amp;TEXT(($BM$15+1),"00"),"")</f>
        <v>1A-AC-01</v>
      </c>
      <c r="T72" s="6"/>
      <c r="U72" s="9" t="str">
        <f>IF(CD72="","",CD72&amp;"-"&amp;TEXT(COUNTIF($CA$72:$CA$95,CD72)+COUNTIF($CB$72:$CB$95,CD72)+COUNTIF($CC$72:$CC$95,CD72)+COUNTIF($CD$72:CD72,CD72),"000"))</f>
        <v/>
      </c>
      <c r="V72" s="9" t="str">
        <f>IF(AND($BN$16&lt;&gt;"",($BM$16+1)&lt;=$BO$16),$BN$16,"")</f>
        <v>1A-AD</v>
      </c>
      <c r="W72" s="9" t="str">
        <f>IF(AND($BN$16&lt;&gt;"",($BM$16+1)&lt;=$BO$16),TEXT(($BM$16+1),"00"),"")</f>
        <v>01</v>
      </c>
      <c r="X72" s="9" t="str">
        <f>IF(AND($BN$16&lt;&gt;"",($BM$16+1)&lt;=$BO$16),$BN$16&amp;"-"&amp;TEXT(($BM$16+1),"00"),"")</f>
        <v>1A-AD-01</v>
      </c>
      <c r="BA72">
        <f>IF(OR(Catalogo!$C72="",Catalogo!$B72="Espacio libre",Catalogo!$B72="Espacio reservado"),0,COUNTIF($C$13:$C$42,Catalogo!$C72)+IF($E$7=Catalogo!$C72,N($K$7),0)+IF($E$8=Catalogo!$C72,N($N$8),0)+IF(Proyecto!$D$12=Catalogo!$C72,$AQ$4,0)+SUMIF($C$49:$C$58,Catalogo!$C72,$K$49:$K$58))</f>
        <v>0</v>
      </c>
      <c r="CA72" t="str" cm="1">
        <f t="array" ref="CA72">IF(NOT(AND($BN$13&lt;&gt;"",($BM$13+1)&lt;=$BO$13)),"",IF(B72&lt;&gt;"",IF(B72="-","",B72),IF(ISNUMBER(SEARCH(":",$BP$13)),IFERROR(_xlfn.LET(_xlpm.s,_xlfn.TEXTSPLIT($BP$13,","),_xlpm.k,FIND(":",_xlpm.s),INDEX(TRIM(LEFT(_xlpm.s,_xlpm.k-1)),_xlfn.XMATCH(($BM$13+1),_xlfn.SCAN(0,--MID(_xlpm.s,_xlpm.k+1,9),_xlfn.LAMBDA(_xlpm.a,_xlpm.v,_xlpm.a+_xlpm.v)),1))),""),IF(($BM$13+1)&lt;=$BQ$13,$BP$13,""))))</f>
        <v/>
      </c>
      <c r="CB72" t="str" cm="1">
        <f t="array" ref="CB72">IF(NOT(AND($BN$14&lt;&gt;"",($BM$14+1)&lt;=$BO$14)),"",IF(H72&lt;&gt;"",IF(H72="-","",H72),IF(ISNUMBER(SEARCH(":",$BP$14)),IFERROR(_xlfn.LET(_xlpm.s,_xlfn.TEXTSPLIT($BP$14,","),_xlpm.k,FIND(":",_xlpm.s),INDEX(TRIM(LEFT(_xlpm.s,_xlpm.k-1)),_xlfn.XMATCH(($BM$14+1),_xlfn.SCAN(0,--MID(_xlpm.s,_xlpm.k+1,9),_xlfn.LAMBDA(_xlpm.a,_xlpm.v,_xlpm.a+_xlpm.v)),1))),""),IF(($BM$14+1)&lt;=$BQ$14,$BP$14,""))))</f>
        <v/>
      </c>
      <c r="CC72" t="str" cm="1">
        <f t="array" ref="CC72">IF(NOT(AND($BN$15&lt;&gt;"",($BM$15+1)&lt;=$BO$15)),"",IF(N72&lt;&gt;"",IF(N72="-","",N72),IF(ISNUMBER(SEARCH(":",$BP$15)),IFERROR(_xlfn.LET(_xlpm.s,_xlfn.TEXTSPLIT($BP$15,","),_xlpm.k,FIND(":",_xlpm.s),INDEX(TRIM(LEFT(_xlpm.s,_xlpm.k-1)),_xlfn.XMATCH(($BM$15+1),_xlfn.SCAN(0,--MID(_xlpm.s,_xlpm.k+1,9),_xlfn.LAMBDA(_xlpm.a,_xlpm.v,_xlpm.a+_xlpm.v)),1))),""),IF(($BM$15+1)&lt;=$BQ$15,$BP$15,""))))</f>
        <v/>
      </c>
      <c r="CD72" t="str" cm="1">
        <f t="array" ref="CD72">IF(NOT(AND($BN$16&lt;&gt;"",($BM$16+1)&lt;=$BO$16)),"",IF(T72&lt;&gt;"",IF(T72="-","",T72),IF(ISNUMBER(SEARCH(":",$BP$16)),IFERROR(_xlfn.LET(_xlpm.s,_xlfn.TEXTSPLIT($BP$16,","),_xlpm.k,FIND(":",_xlpm.s),INDEX(TRIM(LEFT(_xlpm.s,_xlpm.k-1)),_xlfn.XMATCH(($BM$16+1),_xlfn.SCAN(0,--MID(_xlpm.s,_xlpm.k+1,9),_xlfn.LAMBDA(_xlpm.a,_xlpm.v,_xlpm.a+_xlpm.v)),1))),""),IF(($BM$16+1)&lt;=$BQ$16,$BP$16,""))))</f>
        <v/>
      </c>
    </row>
    <row r="73" spans="2:82" hidden="1" x14ac:dyDescent="0.45">
      <c r="B73" s="6"/>
      <c r="C73" s="9" t="str">
        <f>IF(CA73="","",CA73&amp;"-"&amp;TEXT(0+COUNTIF($CA$72:CA73,CA73),"000"))</f>
        <v/>
      </c>
      <c r="D73" s="9" t="str">
        <f>IF(AND($BN$13&lt;&gt;"",($BM$13+2)&lt;=$BO$13),$BN$13,"")</f>
        <v>1A-AA</v>
      </c>
      <c r="E73" s="9" t="str">
        <f>IF(AND($BN$13&lt;&gt;"",($BM$13+2)&lt;=$BO$13),TEXT(($BM$13+2),"00"),"")</f>
        <v>02</v>
      </c>
      <c r="F73" s="9" t="str">
        <f>IF(AND($BN$13&lt;&gt;"",($BM$13+2)&lt;=$BO$13),$BN$13&amp;"-"&amp;TEXT(($BM$13+2),"00"),"")</f>
        <v>1A-AA-02</v>
      </c>
      <c r="H73" s="6"/>
      <c r="I73" s="9" t="str">
        <f>IF(CB73="","",CB73&amp;"-"&amp;TEXT(COUNTIF($CA$72:$CA$95,CB73)+COUNTIF($CB$72:CB73,CB73),"000"))</f>
        <v/>
      </c>
      <c r="J73" s="9" t="str">
        <f>IF(AND($BN$14&lt;&gt;"",($BM$14+2)&lt;=$BO$14),$BN$14,"")</f>
        <v>1A-AB</v>
      </c>
      <c r="K73" s="9" t="str">
        <f>IF(AND($BN$14&lt;&gt;"",($BM$14+2)&lt;=$BO$14),TEXT(($BM$14+2),"00"),"")</f>
        <v>02</v>
      </c>
      <c r="L73" s="9" t="str">
        <f>IF(AND($BN$14&lt;&gt;"",($BM$14+2)&lt;=$BO$14),$BN$14&amp;"-"&amp;TEXT(($BM$14+2),"00"),"")</f>
        <v>1A-AB-02</v>
      </c>
      <c r="N73" s="6"/>
      <c r="O73" s="9" t="str">
        <f>IF(CC73="","",CC73&amp;"-"&amp;TEXT(COUNTIF($CA$72:$CA$95,CC73)+COUNTIF($CB$72:$CB$95,CC73)+COUNTIF($CC$72:CC73,CC73),"000"))</f>
        <v/>
      </c>
      <c r="P73" s="9" t="str">
        <f>IF(AND($BN$15&lt;&gt;"",($BM$15+2)&lt;=$BO$15),$BN$15,"")</f>
        <v>1A-AC</v>
      </c>
      <c r="Q73" s="9" t="str">
        <f>IF(AND($BN$15&lt;&gt;"",($BM$15+2)&lt;=$BO$15),TEXT(($BM$15+2),"00"),"")</f>
        <v>02</v>
      </c>
      <c r="R73" s="9" t="str">
        <f>IF(AND($BN$15&lt;&gt;"",($BM$15+2)&lt;=$BO$15),$BN$15&amp;"-"&amp;TEXT(($BM$15+2),"00"),"")</f>
        <v>1A-AC-02</v>
      </c>
      <c r="T73" s="6"/>
      <c r="U73" s="9" t="str">
        <f>IF(CD73="","",CD73&amp;"-"&amp;TEXT(COUNTIF($CA$72:$CA$95,CD73)+COUNTIF($CB$72:$CB$95,CD73)+COUNTIF($CC$72:$CC$95,CD73)+COUNTIF($CD$72:CD73,CD73),"000"))</f>
        <v/>
      </c>
      <c r="V73" s="9" t="str">
        <f>IF(AND($BN$16&lt;&gt;"",($BM$16+2)&lt;=$BO$16),$BN$16,"")</f>
        <v>1A-AD</v>
      </c>
      <c r="W73" s="9" t="str">
        <f>IF(AND($BN$16&lt;&gt;"",($BM$16+2)&lt;=$BO$16),TEXT(($BM$16+2),"00"),"")</f>
        <v>02</v>
      </c>
      <c r="X73" s="9" t="str">
        <f>IF(AND($BN$16&lt;&gt;"",($BM$16+2)&lt;=$BO$16),$BN$16&amp;"-"&amp;TEXT(($BM$16+2),"00"),"")</f>
        <v>1A-AD-02</v>
      </c>
      <c r="BA73">
        <f>IF(OR(Catalogo!$C73="",Catalogo!$B73="Espacio libre",Catalogo!$B73="Espacio reservado"),0,COUNTIF($C$13:$C$42,Catalogo!$C73)+IF($E$7=Catalogo!$C73,N($K$7),0)+IF($E$8=Catalogo!$C73,N($N$8),0)+IF(Proyecto!$D$12=Catalogo!$C73,$AQ$4,0)+SUMIF($C$49:$C$58,Catalogo!$C73,$K$49:$K$58))</f>
        <v>0</v>
      </c>
      <c r="CA73" t="str" cm="1">
        <f t="array" ref="CA73">IF(NOT(AND($BN$13&lt;&gt;"",($BM$13+2)&lt;=$BO$13)),"",IF(B73&lt;&gt;"",IF(B73="-","",B73),IF(ISNUMBER(SEARCH(":",$BP$13)),IFERROR(_xlfn.LET(_xlpm.s,_xlfn.TEXTSPLIT($BP$13,","),_xlpm.k,FIND(":",_xlpm.s),INDEX(TRIM(LEFT(_xlpm.s,_xlpm.k-1)),_xlfn.XMATCH(($BM$13+2),_xlfn.SCAN(0,--MID(_xlpm.s,_xlpm.k+1,9),_xlfn.LAMBDA(_xlpm.a,_xlpm.v,_xlpm.a+_xlpm.v)),1))),""),IF(($BM$13+2)&lt;=$BQ$13,$BP$13,""))))</f>
        <v/>
      </c>
      <c r="CB73" t="str" cm="1">
        <f t="array" ref="CB73">IF(NOT(AND($BN$14&lt;&gt;"",($BM$14+2)&lt;=$BO$14)),"",IF(H73&lt;&gt;"",IF(H73="-","",H73),IF(ISNUMBER(SEARCH(":",$BP$14)),IFERROR(_xlfn.LET(_xlpm.s,_xlfn.TEXTSPLIT($BP$14,","),_xlpm.k,FIND(":",_xlpm.s),INDEX(TRIM(LEFT(_xlpm.s,_xlpm.k-1)),_xlfn.XMATCH(($BM$14+2),_xlfn.SCAN(0,--MID(_xlpm.s,_xlpm.k+1,9),_xlfn.LAMBDA(_xlpm.a,_xlpm.v,_xlpm.a+_xlpm.v)),1))),""),IF(($BM$14+2)&lt;=$BQ$14,$BP$14,""))))</f>
        <v/>
      </c>
      <c r="CC73" t="str" cm="1">
        <f t="array" ref="CC73">IF(NOT(AND($BN$15&lt;&gt;"",($BM$15+2)&lt;=$BO$15)),"",IF(N73&lt;&gt;"",IF(N73="-","",N73),IF(ISNUMBER(SEARCH(":",$BP$15)),IFERROR(_xlfn.LET(_xlpm.s,_xlfn.TEXTSPLIT($BP$15,","),_xlpm.k,FIND(":",_xlpm.s),INDEX(TRIM(LEFT(_xlpm.s,_xlpm.k-1)),_xlfn.XMATCH(($BM$15+2),_xlfn.SCAN(0,--MID(_xlpm.s,_xlpm.k+1,9),_xlfn.LAMBDA(_xlpm.a,_xlpm.v,_xlpm.a+_xlpm.v)),1))),""),IF(($BM$15+2)&lt;=$BQ$15,$BP$15,""))))</f>
        <v/>
      </c>
      <c r="CD73" t="str" cm="1">
        <f t="array" ref="CD73">IF(NOT(AND($BN$16&lt;&gt;"",($BM$16+2)&lt;=$BO$16)),"",IF(T73&lt;&gt;"",IF(T73="-","",T73),IF(ISNUMBER(SEARCH(":",$BP$16)),IFERROR(_xlfn.LET(_xlpm.s,_xlfn.TEXTSPLIT($BP$16,","),_xlpm.k,FIND(":",_xlpm.s),INDEX(TRIM(LEFT(_xlpm.s,_xlpm.k-1)),_xlfn.XMATCH(($BM$16+2),_xlfn.SCAN(0,--MID(_xlpm.s,_xlpm.k+1,9),_xlfn.LAMBDA(_xlpm.a,_xlpm.v,_xlpm.a+_xlpm.v)),1))),""),IF(($BM$16+2)&lt;=$BQ$16,$BP$16,""))))</f>
        <v/>
      </c>
    </row>
    <row r="74" spans="2:82" hidden="1" x14ac:dyDescent="0.45">
      <c r="B74" s="6"/>
      <c r="C74" s="9" t="str">
        <f>IF(CA74="","",CA74&amp;"-"&amp;TEXT(0+COUNTIF($CA$72:CA74,CA74),"000"))</f>
        <v/>
      </c>
      <c r="D74" s="9" t="str">
        <f>IF(AND($BN$13&lt;&gt;"",($BM$13+3)&lt;=$BO$13),$BN$13,"")</f>
        <v>1A-AA</v>
      </c>
      <c r="E74" s="9" t="str">
        <f>IF(AND($BN$13&lt;&gt;"",($BM$13+3)&lt;=$BO$13),TEXT(($BM$13+3),"00"),"")</f>
        <v>03</v>
      </c>
      <c r="F74" s="9" t="str">
        <f>IF(AND($BN$13&lt;&gt;"",($BM$13+3)&lt;=$BO$13),$BN$13&amp;"-"&amp;TEXT(($BM$13+3),"00"),"")</f>
        <v>1A-AA-03</v>
      </c>
      <c r="H74" s="6"/>
      <c r="I74" s="9" t="str">
        <f>IF(CB74="","",CB74&amp;"-"&amp;TEXT(COUNTIF($CA$72:$CA$95,CB74)+COUNTIF($CB$72:CB74,CB74),"000"))</f>
        <v/>
      </c>
      <c r="J74" s="9" t="str">
        <f>IF(AND($BN$14&lt;&gt;"",($BM$14+3)&lt;=$BO$14),$BN$14,"")</f>
        <v>1A-AB</v>
      </c>
      <c r="K74" s="9" t="str">
        <f>IF(AND($BN$14&lt;&gt;"",($BM$14+3)&lt;=$BO$14),TEXT(($BM$14+3),"00"),"")</f>
        <v>03</v>
      </c>
      <c r="L74" s="9" t="str">
        <f>IF(AND($BN$14&lt;&gt;"",($BM$14+3)&lt;=$BO$14),$BN$14&amp;"-"&amp;TEXT(($BM$14+3),"00"),"")</f>
        <v>1A-AB-03</v>
      </c>
      <c r="N74" s="6"/>
      <c r="O74" s="9" t="str">
        <f>IF(CC74="","",CC74&amp;"-"&amp;TEXT(COUNTIF($CA$72:$CA$95,CC74)+COUNTIF($CB$72:$CB$95,CC74)+COUNTIF($CC$72:CC74,CC74),"000"))</f>
        <v/>
      </c>
      <c r="P74" s="9" t="str">
        <f>IF(AND($BN$15&lt;&gt;"",($BM$15+3)&lt;=$BO$15),$BN$15,"")</f>
        <v>1A-AC</v>
      </c>
      <c r="Q74" s="9" t="str">
        <f>IF(AND($BN$15&lt;&gt;"",($BM$15+3)&lt;=$BO$15),TEXT(($BM$15+3),"00"),"")</f>
        <v>03</v>
      </c>
      <c r="R74" s="9" t="str">
        <f>IF(AND($BN$15&lt;&gt;"",($BM$15+3)&lt;=$BO$15),$BN$15&amp;"-"&amp;TEXT(($BM$15+3),"00"),"")</f>
        <v>1A-AC-03</v>
      </c>
      <c r="T74" s="6"/>
      <c r="U74" s="9" t="str">
        <f>IF(CD74="","",CD74&amp;"-"&amp;TEXT(COUNTIF($CA$72:$CA$95,CD74)+COUNTIF($CB$72:$CB$95,CD74)+COUNTIF($CC$72:$CC$95,CD74)+COUNTIF($CD$72:CD74,CD74),"000"))</f>
        <v/>
      </c>
      <c r="V74" s="9" t="str">
        <f>IF(AND($BN$16&lt;&gt;"",($BM$16+3)&lt;=$BO$16),$BN$16,"")</f>
        <v>1A-AD</v>
      </c>
      <c r="W74" s="9" t="str">
        <f>IF(AND($BN$16&lt;&gt;"",($BM$16+3)&lt;=$BO$16),TEXT(($BM$16+3),"00"),"")</f>
        <v>03</v>
      </c>
      <c r="X74" s="9" t="str">
        <f>IF(AND($BN$16&lt;&gt;"",($BM$16+3)&lt;=$BO$16),$BN$16&amp;"-"&amp;TEXT(($BM$16+3),"00"),"")</f>
        <v>1A-AD-03</v>
      </c>
      <c r="BA74">
        <f>IF(OR(Catalogo!$C74="",Catalogo!$B74="Espacio libre",Catalogo!$B74="Espacio reservado"),0,COUNTIF($C$13:$C$42,Catalogo!$C74)+IF($E$7=Catalogo!$C74,N($K$7),0)+IF($E$8=Catalogo!$C74,N($N$8),0)+IF(Proyecto!$D$12=Catalogo!$C74,$AQ$4,0)+SUMIF($C$49:$C$58,Catalogo!$C74,$K$49:$K$58))</f>
        <v>0</v>
      </c>
      <c r="CA74" t="str" cm="1">
        <f t="array" ref="CA74">IF(NOT(AND($BN$13&lt;&gt;"",($BM$13+3)&lt;=$BO$13)),"",IF(B74&lt;&gt;"",IF(B74="-","",B74),IF(ISNUMBER(SEARCH(":",$BP$13)),IFERROR(_xlfn.LET(_xlpm.s,_xlfn.TEXTSPLIT($BP$13,","),_xlpm.k,FIND(":",_xlpm.s),INDEX(TRIM(LEFT(_xlpm.s,_xlpm.k-1)),_xlfn.XMATCH(($BM$13+3),_xlfn.SCAN(0,--MID(_xlpm.s,_xlpm.k+1,9),_xlfn.LAMBDA(_xlpm.a,_xlpm.v,_xlpm.a+_xlpm.v)),1))),""),IF(($BM$13+3)&lt;=$BQ$13,$BP$13,""))))</f>
        <v/>
      </c>
      <c r="CB74" t="str" cm="1">
        <f t="array" ref="CB74">IF(NOT(AND($BN$14&lt;&gt;"",($BM$14+3)&lt;=$BO$14)),"",IF(H74&lt;&gt;"",IF(H74="-","",H74),IF(ISNUMBER(SEARCH(":",$BP$14)),IFERROR(_xlfn.LET(_xlpm.s,_xlfn.TEXTSPLIT($BP$14,","),_xlpm.k,FIND(":",_xlpm.s),INDEX(TRIM(LEFT(_xlpm.s,_xlpm.k-1)),_xlfn.XMATCH(($BM$14+3),_xlfn.SCAN(0,--MID(_xlpm.s,_xlpm.k+1,9),_xlfn.LAMBDA(_xlpm.a,_xlpm.v,_xlpm.a+_xlpm.v)),1))),""),IF(($BM$14+3)&lt;=$BQ$14,$BP$14,""))))</f>
        <v/>
      </c>
      <c r="CC74" t="str" cm="1">
        <f t="array" ref="CC74">IF(NOT(AND($BN$15&lt;&gt;"",($BM$15+3)&lt;=$BO$15)),"",IF(N74&lt;&gt;"",IF(N74="-","",N74),IF(ISNUMBER(SEARCH(":",$BP$15)),IFERROR(_xlfn.LET(_xlpm.s,_xlfn.TEXTSPLIT($BP$15,","),_xlpm.k,FIND(":",_xlpm.s),INDEX(TRIM(LEFT(_xlpm.s,_xlpm.k-1)),_xlfn.XMATCH(($BM$15+3),_xlfn.SCAN(0,--MID(_xlpm.s,_xlpm.k+1,9),_xlfn.LAMBDA(_xlpm.a,_xlpm.v,_xlpm.a+_xlpm.v)),1))),""),IF(($BM$15+3)&lt;=$BQ$15,$BP$15,""))))</f>
        <v/>
      </c>
      <c r="CD74" t="str" cm="1">
        <f t="array" ref="CD74">IF(NOT(AND($BN$16&lt;&gt;"",($BM$16+3)&lt;=$BO$16)),"",IF(T74&lt;&gt;"",IF(T74="-","",T74),IF(ISNUMBER(SEARCH(":",$BP$16)),IFERROR(_xlfn.LET(_xlpm.s,_xlfn.TEXTSPLIT($BP$16,","),_xlpm.k,FIND(":",_xlpm.s),INDEX(TRIM(LEFT(_xlpm.s,_xlpm.k-1)),_xlfn.XMATCH(($BM$16+3),_xlfn.SCAN(0,--MID(_xlpm.s,_xlpm.k+1,9),_xlfn.LAMBDA(_xlpm.a,_xlpm.v,_xlpm.a+_xlpm.v)),1))),""),IF(($BM$16+3)&lt;=$BQ$16,$BP$16,""))))</f>
        <v/>
      </c>
    </row>
    <row r="75" spans="2:82" hidden="1" x14ac:dyDescent="0.45">
      <c r="B75" s="6"/>
      <c r="C75" s="9" t="str">
        <f>IF(CA75="","",CA75&amp;"-"&amp;TEXT(0+COUNTIF($CA$72:CA75,CA75),"000"))</f>
        <v/>
      </c>
      <c r="D75" s="9" t="str">
        <f>IF(AND($BN$13&lt;&gt;"",($BM$13+4)&lt;=$BO$13),$BN$13,"")</f>
        <v>1A-AA</v>
      </c>
      <c r="E75" s="9" t="str">
        <f>IF(AND($BN$13&lt;&gt;"",($BM$13+4)&lt;=$BO$13),TEXT(($BM$13+4),"00"),"")</f>
        <v>04</v>
      </c>
      <c r="F75" s="9" t="str">
        <f>IF(AND($BN$13&lt;&gt;"",($BM$13+4)&lt;=$BO$13),$BN$13&amp;"-"&amp;TEXT(($BM$13+4),"00"),"")</f>
        <v>1A-AA-04</v>
      </c>
      <c r="H75" s="6"/>
      <c r="I75" s="9" t="str">
        <f>IF(CB75="","",CB75&amp;"-"&amp;TEXT(COUNTIF($CA$72:$CA$95,CB75)+COUNTIF($CB$72:CB75,CB75),"000"))</f>
        <v/>
      </c>
      <c r="J75" s="9" t="str">
        <f>IF(AND($BN$14&lt;&gt;"",($BM$14+4)&lt;=$BO$14),$BN$14,"")</f>
        <v>1A-AB</v>
      </c>
      <c r="K75" s="9" t="str">
        <f>IF(AND($BN$14&lt;&gt;"",($BM$14+4)&lt;=$BO$14),TEXT(($BM$14+4),"00"),"")</f>
        <v>04</v>
      </c>
      <c r="L75" s="9" t="str">
        <f>IF(AND($BN$14&lt;&gt;"",($BM$14+4)&lt;=$BO$14),$BN$14&amp;"-"&amp;TEXT(($BM$14+4),"00"),"")</f>
        <v>1A-AB-04</v>
      </c>
      <c r="N75" s="6"/>
      <c r="O75" s="9" t="str">
        <f>IF(CC75="","",CC75&amp;"-"&amp;TEXT(COUNTIF($CA$72:$CA$95,CC75)+COUNTIF($CB$72:$CB$95,CC75)+COUNTIF($CC$72:CC75,CC75),"000"))</f>
        <v/>
      </c>
      <c r="P75" s="9" t="str">
        <f>IF(AND($BN$15&lt;&gt;"",($BM$15+4)&lt;=$BO$15),$BN$15,"")</f>
        <v>1A-AC</v>
      </c>
      <c r="Q75" s="9" t="str">
        <f>IF(AND($BN$15&lt;&gt;"",($BM$15+4)&lt;=$BO$15),TEXT(($BM$15+4),"00"),"")</f>
        <v>04</v>
      </c>
      <c r="R75" s="9" t="str">
        <f>IF(AND($BN$15&lt;&gt;"",($BM$15+4)&lt;=$BO$15),$BN$15&amp;"-"&amp;TEXT(($BM$15+4),"00"),"")</f>
        <v>1A-AC-04</v>
      </c>
      <c r="T75" s="6"/>
      <c r="U75" s="9" t="str">
        <f>IF(CD75="","",CD75&amp;"-"&amp;TEXT(COUNTIF($CA$72:$CA$95,CD75)+COUNTIF($CB$72:$CB$95,CD75)+COUNTIF($CC$72:$CC$95,CD75)+COUNTIF($CD$72:CD75,CD75),"000"))</f>
        <v/>
      </c>
      <c r="V75" s="9" t="str">
        <f>IF(AND($BN$16&lt;&gt;"",($BM$16+4)&lt;=$BO$16),$BN$16,"")</f>
        <v>1A-AD</v>
      </c>
      <c r="W75" s="9" t="str">
        <f>IF(AND($BN$16&lt;&gt;"",($BM$16+4)&lt;=$BO$16),TEXT(($BM$16+4),"00"),"")</f>
        <v>04</v>
      </c>
      <c r="X75" s="9" t="str">
        <f>IF(AND($BN$16&lt;&gt;"",($BM$16+4)&lt;=$BO$16),$BN$16&amp;"-"&amp;TEXT(($BM$16+4),"00"),"")</f>
        <v>1A-AD-04</v>
      </c>
      <c r="BA75">
        <f>IF(OR(Catalogo!$C75="",Catalogo!$B75="Espacio libre",Catalogo!$B75="Espacio reservado"),0,COUNTIF($C$13:$C$42,Catalogo!$C75)+IF($E$7=Catalogo!$C75,N($K$7),0)+IF($E$8=Catalogo!$C75,N($N$8),0)+IF(Proyecto!$D$12=Catalogo!$C75,$AQ$4,0)+SUMIF($C$49:$C$58,Catalogo!$C75,$K$49:$K$58))</f>
        <v>0</v>
      </c>
      <c r="CA75" t="str" cm="1">
        <f t="array" ref="CA75">IF(NOT(AND($BN$13&lt;&gt;"",($BM$13+4)&lt;=$BO$13)),"",IF(B75&lt;&gt;"",IF(B75="-","",B75),IF(ISNUMBER(SEARCH(":",$BP$13)),IFERROR(_xlfn.LET(_xlpm.s,_xlfn.TEXTSPLIT($BP$13,","),_xlpm.k,FIND(":",_xlpm.s),INDEX(TRIM(LEFT(_xlpm.s,_xlpm.k-1)),_xlfn.XMATCH(($BM$13+4),_xlfn.SCAN(0,--MID(_xlpm.s,_xlpm.k+1,9),_xlfn.LAMBDA(_xlpm.a,_xlpm.v,_xlpm.a+_xlpm.v)),1))),""),IF(($BM$13+4)&lt;=$BQ$13,$BP$13,""))))</f>
        <v/>
      </c>
      <c r="CB75" t="str" cm="1">
        <f t="array" ref="CB75">IF(NOT(AND($BN$14&lt;&gt;"",($BM$14+4)&lt;=$BO$14)),"",IF(H75&lt;&gt;"",IF(H75="-","",H75),IF(ISNUMBER(SEARCH(":",$BP$14)),IFERROR(_xlfn.LET(_xlpm.s,_xlfn.TEXTSPLIT($BP$14,","),_xlpm.k,FIND(":",_xlpm.s),INDEX(TRIM(LEFT(_xlpm.s,_xlpm.k-1)),_xlfn.XMATCH(($BM$14+4),_xlfn.SCAN(0,--MID(_xlpm.s,_xlpm.k+1,9),_xlfn.LAMBDA(_xlpm.a,_xlpm.v,_xlpm.a+_xlpm.v)),1))),""),IF(($BM$14+4)&lt;=$BQ$14,$BP$14,""))))</f>
        <v/>
      </c>
      <c r="CC75" t="str" cm="1">
        <f t="array" ref="CC75">IF(NOT(AND($BN$15&lt;&gt;"",($BM$15+4)&lt;=$BO$15)),"",IF(N75&lt;&gt;"",IF(N75="-","",N75),IF(ISNUMBER(SEARCH(":",$BP$15)),IFERROR(_xlfn.LET(_xlpm.s,_xlfn.TEXTSPLIT($BP$15,","),_xlpm.k,FIND(":",_xlpm.s),INDEX(TRIM(LEFT(_xlpm.s,_xlpm.k-1)),_xlfn.XMATCH(($BM$15+4),_xlfn.SCAN(0,--MID(_xlpm.s,_xlpm.k+1,9),_xlfn.LAMBDA(_xlpm.a,_xlpm.v,_xlpm.a+_xlpm.v)),1))),""),IF(($BM$15+4)&lt;=$BQ$15,$BP$15,""))))</f>
        <v/>
      </c>
      <c r="CD75" t="str" cm="1">
        <f t="array" ref="CD75">IF(NOT(AND($BN$16&lt;&gt;"",($BM$16+4)&lt;=$BO$16)),"",IF(T75&lt;&gt;"",IF(T75="-","",T75),IF(ISNUMBER(SEARCH(":",$BP$16)),IFERROR(_xlfn.LET(_xlpm.s,_xlfn.TEXTSPLIT($BP$16,","),_xlpm.k,FIND(":",_xlpm.s),INDEX(TRIM(LEFT(_xlpm.s,_xlpm.k-1)),_xlfn.XMATCH(($BM$16+4),_xlfn.SCAN(0,--MID(_xlpm.s,_xlpm.k+1,9),_xlfn.LAMBDA(_xlpm.a,_xlpm.v,_xlpm.a+_xlpm.v)),1))),""),IF(($BM$16+4)&lt;=$BQ$16,$BP$16,""))))</f>
        <v/>
      </c>
    </row>
    <row r="76" spans="2:82" hidden="1" x14ac:dyDescent="0.45">
      <c r="B76" s="6"/>
      <c r="C76" s="9" t="str">
        <f>IF(CA76="","",CA76&amp;"-"&amp;TEXT(0+COUNTIF($CA$72:CA76,CA76),"000"))</f>
        <v/>
      </c>
      <c r="D76" s="9" t="str">
        <f>IF(AND($BN$13&lt;&gt;"",($BM$13+5)&lt;=$BO$13),$BN$13,"")</f>
        <v>1A-AA</v>
      </c>
      <c r="E76" s="9" t="str">
        <f>IF(AND($BN$13&lt;&gt;"",($BM$13+5)&lt;=$BO$13),TEXT(($BM$13+5),"00"),"")</f>
        <v>05</v>
      </c>
      <c r="F76" s="9" t="str">
        <f>IF(AND($BN$13&lt;&gt;"",($BM$13+5)&lt;=$BO$13),$BN$13&amp;"-"&amp;TEXT(($BM$13+5),"00"),"")</f>
        <v>1A-AA-05</v>
      </c>
      <c r="H76" s="6"/>
      <c r="I76" s="9" t="str">
        <f>IF(CB76="","",CB76&amp;"-"&amp;TEXT(COUNTIF($CA$72:$CA$95,CB76)+COUNTIF($CB$72:CB76,CB76),"000"))</f>
        <v/>
      </c>
      <c r="J76" s="9" t="str">
        <f>IF(AND($BN$14&lt;&gt;"",($BM$14+5)&lt;=$BO$14),$BN$14,"")</f>
        <v>1A-AB</v>
      </c>
      <c r="K76" s="9" t="str">
        <f>IF(AND($BN$14&lt;&gt;"",($BM$14+5)&lt;=$BO$14),TEXT(($BM$14+5),"00"),"")</f>
        <v>05</v>
      </c>
      <c r="L76" s="9" t="str">
        <f>IF(AND($BN$14&lt;&gt;"",($BM$14+5)&lt;=$BO$14),$BN$14&amp;"-"&amp;TEXT(($BM$14+5),"00"),"")</f>
        <v>1A-AB-05</v>
      </c>
      <c r="N76" s="6"/>
      <c r="O76" s="9" t="str">
        <f>IF(CC76="","",CC76&amp;"-"&amp;TEXT(COUNTIF($CA$72:$CA$95,CC76)+COUNTIF($CB$72:$CB$95,CC76)+COUNTIF($CC$72:CC76,CC76),"000"))</f>
        <v/>
      </c>
      <c r="P76" s="9" t="str">
        <f>IF(AND($BN$15&lt;&gt;"",($BM$15+5)&lt;=$BO$15),$BN$15,"")</f>
        <v>1A-AC</v>
      </c>
      <c r="Q76" s="9" t="str">
        <f>IF(AND($BN$15&lt;&gt;"",($BM$15+5)&lt;=$BO$15),TEXT(($BM$15+5),"00"),"")</f>
        <v>05</v>
      </c>
      <c r="R76" s="9" t="str">
        <f>IF(AND($BN$15&lt;&gt;"",($BM$15+5)&lt;=$BO$15),$BN$15&amp;"-"&amp;TEXT(($BM$15+5),"00"),"")</f>
        <v>1A-AC-05</v>
      </c>
      <c r="T76" s="6"/>
      <c r="U76" s="9" t="str">
        <f>IF(CD76="","",CD76&amp;"-"&amp;TEXT(COUNTIF($CA$72:$CA$95,CD76)+COUNTIF($CB$72:$CB$95,CD76)+COUNTIF($CC$72:$CC$95,CD76)+COUNTIF($CD$72:CD76,CD76),"000"))</f>
        <v/>
      </c>
      <c r="V76" s="9" t="str">
        <f>IF(AND($BN$16&lt;&gt;"",($BM$16+5)&lt;=$BO$16),$BN$16,"")</f>
        <v>1A-AD</v>
      </c>
      <c r="W76" s="9" t="str">
        <f>IF(AND($BN$16&lt;&gt;"",($BM$16+5)&lt;=$BO$16),TEXT(($BM$16+5),"00"),"")</f>
        <v>05</v>
      </c>
      <c r="X76" s="9" t="str">
        <f>IF(AND($BN$16&lt;&gt;"",($BM$16+5)&lt;=$BO$16),$BN$16&amp;"-"&amp;TEXT(($BM$16+5),"00"),"")</f>
        <v>1A-AD-05</v>
      </c>
      <c r="BA76">
        <f>IF(OR(Catalogo!$C76="",Catalogo!$B76="Espacio libre",Catalogo!$B76="Espacio reservado"),0,COUNTIF($C$13:$C$42,Catalogo!$C76)+IF($E$7=Catalogo!$C76,N($K$7),0)+IF($E$8=Catalogo!$C76,N($N$8),0)+IF(Proyecto!$D$12=Catalogo!$C76,$AQ$4,0)+SUMIF($C$49:$C$58,Catalogo!$C76,$K$49:$K$58))</f>
        <v>0</v>
      </c>
      <c r="CA76" t="str" cm="1">
        <f t="array" ref="CA76">IF(NOT(AND($BN$13&lt;&gt;"",($BM$13+5)&lt;=$BO$13)),"",IF(B76&lt;&gt;"",IF(B76="-","",B76),IF(ISNUMBER(SEARCH(":",$BP$13)),IFERROR(_xlfn.LET(_xlpm.s,_xlfn.TEXTSPLIT($BP$13,","),_xlpm.k,FIND(":",_xlpm.s),INDEX(TRIM(LEFT(_xlpm.s,_xlpm.k-1)),_xlfn.XMATCH(($BM$13+5),_xlfn.SCAN(0,--MID(_xlpm.s,_xlpm.k+1,9),_xlfn.LAMBDA(_xlpm.a,_xlpm.v,_xlpm.a+_xlpm.v)),1))),""),IF(($BM$13+5)&lt;=$BQ$13,$BP$13,""))))</f>
        <v/>
      </c>
      <c r="CB76" t="str" cm="1">
        <f t="array" ref="CB76">IF(NOT(AND($BN$14&lt;&gt;"",($BM$14+5)&lt;=$BO$14)),"",IF(H76&lt;&gt;"",IF(H76="-","",H76),IF(ISNUMBER(SEARCH(":",$BP$14)),IFERROR(_xlfn.LET(_xlpm.s,_xlfn.TEXTSPLIT($BP$14,","),_xlpm.k,FIND(":",_xlpm.s),INDEX(TRIM(LEFT(_xlpm.s,_xlpm.k-1)),_xlfn.XMATCH(($BM$14+5),_xlfn.SCAN(0,--MID(_xlpm.s,_xlpm.k+1,9),_xlfn.LAMBDA(_xlpm.a,_xlpm.v,_xlpm.a+_xlpm.v)),1))),""),IF(($BM$14+5)&lt;=$BQ$14,$BP$14,""))))</f>
        <v/>
      </c>
      <c r="CC76" t="str" cm="1">
        <f t="array" ref="CC76">IF(NOT(AND($BN$15&lt;&gt;"",($BM$15+5)&lt;=$BO$15)),"",IF(N76&lt;&gt;"",IF(N76="-","",N76),IF(ISNUMBER(SEARCH(":",$BP$15)),IFERROR(_xlfn.LET(_xlpm.s,_xlfn.TEXTSPLIT($BP$15,","),_xlpm.k,FIND(":",_xlpm.s),INDEX(TRIM(LEFT(_xlpm.s,_xlpm.k-1)),_xlfn.XMATCH(($BM$15+5),_xlfn.SCAN(0,--MID(_xlpm.s,_xlpm.k+1,9),_xlfn.LAMBDA(_xlpm.a,_xlpm.v,_xlpm.a+_xlpm.v)),1))),""),IF(($BM$15+5)&lt;=$BQ$15,$BP$15,""))))</f>
        <v/>
      </c>
      <c r="CD76" t="str" cm="1">
        <f t="array" ref="CD76">IF(NOT(AND($BN$16&lt;&gt;"",($BM$16+5)&lt;=$BO$16)),"",IF(T76&lt;&gt;"",IF(T76="-","",T76),IF(ISNUMBER(SEARCH(":",$BP$16)),IFERROR(_xlfn.LET(_xlpm.s,_xlfn.TEXTSPLIT($BP$16,","),_xlpm.k,FIND(":",_xlpm.s),INDEX(TRIM(LEFT(_xlpm.s,_xlpm.k-1)),_xlfn.XMATCH(($BM$16+5),_xlfn.SCAN(0,--MID(_xlpm.s,_xlpm.k+1,9),_xlfn.LAMBDA(_xlpm.a,_xlpm.v,_xlpm.a+_xlpm.v)),1))),""),IF(($BM$16+5)&lt;=$BQ$16,$BP$16,""))))</f>
        <v/>
      </c>
    </row>
    <row r="77" spans="2:82" hidden="1" x14ac:dyDescent="0.45">
      <c r="B77" s="6"/>
      <c r="C77" s="9" t="str">
        <f>IF(CA77="","",CA77&amp;"-"&amp;TEXT(0+COUNTIF($CA$72:CA77,CA77),"000"))</f>
        <v/>
      </c>
      <c r="D77" s="9" t="str">
        <f>IF(AND($BN$13&lt;&gt;"",($BM$13+6)&lt;=$BO$13),$BN$13,"")</f>
        <v>1A-AA</v>
      </c>
      <c r="E77" s="9" t="str">
        <f>IF(AND($BN$13&lt;&gt;"",($BM$13+6)&lt;=$BO$13),TEXT(($BM$13+6),"00"),"")</f>
        <v>06</v>
      </c>
      <c r="F77" s="9" t="str">
        <f>IF(AND($BN$13&lt;&gt;"",($BM$13+6)&lt;=$BO$13),$BN$13&amp;"-"&amp;TEXT(($BM$13+6),"00"),"")</f>
        <v>1A-AA-06</v>
      </c>
      <c r="H77" s="6"/>
      <c r="I77" s="9" t="str">
        <f>IF(CB77="","",CB77&amp;"-"&amp;TEXT(COUNTIF($CA$72:$CA$95,CB77)+COUNTIF($CB$72:CB77,CB77),"000"))</f>
        <v/>
      </c>
      <c r="J77" s="9" t="str">
        <f>IF(AND($BN$14&lt;&gt;"",($BM$14+6)&lt;=$BO$14),$BN$14,"")</f>
        <v>1A-AB</v>
      </c>
      <c r="K77" s="9" t="str">
        <f>IF(AND($BN$14&lt;&gt;"",($BM$14+6)&lt;=$BO$14),TEXT(($BM$14+6),"00"),"")</f>
        <v>06</v>
      </c>
      <c r="L77" s="9" t="str">
        <f>IF(AND($BN$14&lt;&gt;"",($BM$14+6)&lt;=$BO$14),$BN$14&amp;"-"&amp;TEXT(($BM$14+6),"00"),"")</f>
        <v>1A-AB-06</v>
      </c>
      <c r="N77" s="6"/>
      <c r="O77" s="9" t="str">
        <f>IF(CC77="","",CC77&amp;"-"&amp;TEXT(COUNTIF($CA$72:$CA$95,CC77)+COUNTIF($CB$72:$CB$95,CC77)+COUNTIF($CC$72:CC77,CC77),"000"))</f>
        <v/>
      </c>
      <c r="P77" s="9" t="str">
        <f>IF(AND($BN$15&lt;&gt;"",($BM$15+6)&lt;=$BO$15),$BN$15,"")</f>
        <v>1A-AC</v>
      </c>
      <c r="Q77" s="9" t="str">
        <f>IF(AND($BN$15&lt;&gt;"",($BM$15+6)&lt;=$BO$15),TEXT(($BM$15+6),"00"),"")</f>
        <v>06</v>
      </c>
      <c r="R77" s="9" t="str">
        <f>IF(AND($BN$15&lt;&gt;"",($BM$15+6)&lt;=$BO$15),$BN$15&amp;"-"&amp;TEXT(($BM$15+6),"00"),"")</f>
        <v>1A-AC-06</v>
      </c>
      <c r="T77" s="6"/>
      <c r="U77" s="9" t="str">
        <f>IF(CD77="","",CD77&amp;"-"&amp;TEXT(COUNTIF($CA$72:$CA$95,CD77)+COUNTIF($CB$72:$CB$95,CD77)+COUNTIF($CC$72:$CC$95,CD77)+COUNTIF($CD$72:CD77,CD77),"000"))</f>
        <v/>
      </c>
      <c r="V77" s="9" t="str">
        <f>IF(AND($BN$16&lt;&gt;"",($BM$16+6)&lt;=$BO$16),$BN$16,"")</f>
        <v>1A-AD</v>
      </c>
      <c r="W77" s="9" t="str">
        <f>IF(AND($BN$16&lt;&gt;"",($BM$16+6)&lt;=$BO$16),TEXT(($BM$16+6),"00"),"")</f>
        <v>06</v>
      </c>
      <c r="X77" s="9" t="str">
        <f>IF(AND($BN$16&lt;&gt;"",($BM$16+6)&lt;=$BO$16),$BN$16&amp;"-"&amp;TEXT(($BM$16+6),"00"),"")</f>
        <v>1A-AD-06</v>
      </c>
      <c r="BA77">
        <f>IF(OR(Catalogo!$C77="",Catalogo!$B77="Espacio libre",Catalogo!$B77="Espacio reservado"),0,COUNTIF($C$13:$C$42,Catalogo!$C77)+IF($E$7=Catalogo!$C77,N($K$7),0)+IF($E$8=Catalogo!$C77,N($N$8),0)+IF(Proyecto!$D$12=Catalogo!$C77,$AQ$4,0)+SUMIF($C$49:$C$58,Catalogo!$C77,$K$49:$K$58))</f>
        <v>0</v>
      </c>
      <c r="CA77" t="str" cm="1">
        <f t="array" ref="CA77">IF(NOT(AND($BN$13&lt;&gt;"",($BM$13+6)&lt;=$BO$13)),"",IF(B77&lt;&gt;"",IF(B77="-","",B77),IF(ISNUMBER(SEARCH(":",$BP$13)),IFERROR(_xlfn.LET(_xlpm.s,_xlfn.TEXTSPLIT($BP$13,","),_xlpm.k,FIND(":",_xlpm.s),INDEX(TRIM(LEFT(_xlpm.s,_xlpm.k-1)),_xlfn.XMATCH(($BM$13+6),_xlfn.SCAN(0,--MID(_xlpm.s,_xlpm.k+1,9),_xlfn.LAMBDA(_xlpm.a,_xlpm.v,_xlpm.a+_xlpm.v)),1))),""),IF(($BM$13+6)&lt;=$BQ$13,$BP$13,""))))</f>
        <v/>
      </c>
      <c r="CB77" t="str" cm="1">
        <f t="array" ref="CB77">IF(NOT(AND($BN$14&lt;&gt;"",($BM$14+6)&lt;=$BO$14)),"",IF(H77&lt;&gt;"",IF(H77="-","",H77),IF(ISNUMBER(SEARCH(":",$BP$14)),IFERROR(_xlfn.LET(_xlpm.s,_xlfn.TEXTSPLIT($BP$14,","),_xlpm.k,FIND(":",_xlpm.s),INDEX(TRIM(LEFT(_xlpm.s,_xlpm.k-1)),_xlfn.XMATCH(($BM$14+6),_xlfn.SCAN(0,--MID(_xlpm.s,_xlpm.k+1,9),_xlfn.LAMBDA(_xlpm.a,_xlpm.v,_xlpm.a+_xlpm.v)),1))),""),IF(($BM$14+6)&lt;=$BQ$14,$BP$14,""))))</f>
        <v/>
      </c>
      <c r="CC77" t="str" cm="1">
        <f t="array" ref="CC77">IF(NOT(AND($BN$15&lt;&gt;"",($BM$15+6)&lt;=$BO$15)),"",IF(N77&lt;&gt;"",IF(N77="-","",N77),IF(ISNUMBER(SEARCH(":",$BP$15)),IFERROR(_xlfn.LET(_xlpm.s,_xlfn.TEXTSPLIT($BP$15,","),_xlpm.k,FIND(":",_xlpm.s),INDEX(TRIM(LEFT(_xlpm.s,_xlpm.k-1)),_xlfn.XMATCH(($BM$15+6),_xlfn.SCAN(0,--MID(_xlpm.s,_xlpm.k+1,9),_xlfn.LAMBDA(_xlpm.a,_xlpm.v,_xlpm.a+_xlpm.v)),1))),""),IF(($BM$15+6)&lt;=$BQ$15,$BP$15,""))))</f>
        <v/>
      </c>
      <c r="CD77" t="str" cm="1">
        <f t="array" ref="CD77">IF(NOT(AND($BN$16&lt;&gt;"",($BM$16+6)&lt;=$BO$16)),"",IF(T77&lt;&gt;"",IF(T77="-","",T77),IF(ISNUMBER(SEARCH(":",$BP$16)),IFERROR(_xlfn.LET(_xlpm.s,_xlfn.TEXTSPLIT($BP$16,","),_xlpm.k,FIND(":",_xlpm.s),INDEX(TRIM(LEFT(_xlpm.s,_xlpm.k-1)),_xlfn.XMATCH(($BM$16+6),_xlfn.SCAN(0,--MID(_xlpm.s,_xlpm.k+1,9),_xlfn.LAMBDA(_xlpm.a,_xlpm.v,_xlpm.a+_xlpm.v)),1))),""),IF(($BM$16+6)&lt;=$BQ$16,$BP$16,""))))</f>
        <v/>
      </c>
    </row>
    <row r="78" spans="2:82" hidden="1" x14ac:dyDescent="0.45">
      <c r="B78" s="6"/>
      <c r="C78" s="9" t="str">
        <f>IF(CA78="","",CA78&amp;"-"&amp;TEXT(0+COUNTIF($CA$72:CA78,CA78),"000"))</f>
        <v/>
      </c>
      <c r="D78" s="9" t="str">
        <f>IF(AND($BN$13&lt;&gt;"",($BM$13+7)&lt;=$BO$13),$BN$13,"")</f>
        <v>1A-AA</v>
      </c>
      <c r="E78" s="9" t="str">
        <f>IF(AND($BN$13&lt;&gt;"",($BM$13+7)&lt;=$BO$13),TEXT(($BM$13+7),"00"),"")</f>
        <v>07</v>
      </c>
      <c r="F78" s="9" t="str">
        <f>IF(AND($BN$13&lt;&gt;"",($BM$13+7)&lt;=$BO$13),$BN$13&amp;"-"&amp;TEXT(($BM$13+7),"00"),"")</f>
        <v>1A-AA-07</v>
      </c>
      <c r="H78" s="6"/>
      <c r="I78" s="9" t="str">
        <f>IF(CB78="","",CB78&amp;"-"&amp;TEXT(COUNTIF($CA$72:$CA$95,CB78)+COUNTIF($CB$72:CB78,CB78),"000"))</f>
        <v/>
      </c>
      <c r="J78" s="9" t="str">
        <f>IF(AND($BN$14&lt;&gt;"",($BM$14+7)&lt;=$BO$14),$BN$14,"")</f>
        <v>1A-AB</v>
      </c>
      <c r="K78" s="9" t="str">
        <f>IF(AND($BN$14&lt;&gt;"",($BM$14+7)&lt;=$BO$14),TEXT(($BM$14+7),"00"),"")</f>
        <v>07</v>
      </c>
      <c r="L78" s="9" t="str">
        <f>IF(AND($BN$14&lt;&gt;"",($BM$14+7)&lt;=$BO$14),$BN$14&amp;"-"&amp;TEXT(($BM$14+7),"00"),"")</f>
        <v>1A-AB-07</v>
      </c>
      <c r="N78" s="6"/>
      <c r="O78" s="9" t="str">
        <f>IF(CC78="","",CC78&amp;"-"&amp;TEXT(COUNTIF($CA$72:$CA$95,CC78)+COUNTIF($CB$72:$CB$95,CC78)+COUNTIF($CC$72:CC78,CC78),"000"))</f>
        <v/>
      </c>
      <c r="P78" s="9" t="str">
        <f>IF(AND($BN$15&lt;&gt;"",($BM$15+7)&lt;=$BO$15),$BN$15,"")</f>
        <v>1A-AC</v>
      </c>
      <c r="Q78" s="9" t="str">
        <f>IF(AND($BN$15&lt;&gt;"",($BM$15+7)&lt;=$BO$15),TEXT(($BM$15+7),"00"),"")</f>
        <v>07</v>
      </c>
      <c r="R78" s="9" t="str">
        <f>IF(AND($BN$15&lt;&gt;"",($BM$15+7)&lt;=$BO$15),$BN$15&amp;"-"&amp;TEXT(($BM$15+7),"00"),"")</f>
        <v>1A-AC-07</v>
      </c>
      <c r="T78" s="6"/>
      <c r="U78" s="9" t="str">
        <f>IF(CD78="","",CD78&amp;"-"&amp;TEXT(COUNTIF($CA$72:$CA$95,CD78)+COUNTIF($CB$72:$CB$95,CD78)+COUNTIF($CC$72:$CC$95,CD78)+COUNTIF($CD$72:CD78,CD78),"000"))</f>
        <v/>
      </c>
      <c r="V78" s="9" t="str">
        <f>IF(AND($BN$16&lt;&gt;"",($BM$16+7)&lt;=$BO$16),$BN$16,"")</f>
        <v>1A-AD</v>
      </c>
      <c r="W78" s="9" t="str">
        <f>IF(AND($BN$16&lt;&gt;"",($BM$16+7)&lt;=$BO$16),TEXT(($BM$16+7),"00"),"")</f>
        <v>07</v>
      </c>
      <c r="X78" s="9" t="str">
        <f>IF(AND($BN$16&lt;&gt;"",($BM$16+7)&lt;=$BO$16),$BN$16&amp;"-"&amp;TEXT(($BM$16+7),"00"),"")</f>
        <v>1A-AD-07</v>
      </c>
      <c r="BA78">
        <f>IF(OR(Catalogo!$C78="",Catalogo!$B78="Espacio libre",Catalogo!$B78="Espacio reservado"),0,COUNTIF($C$13:$C$42,Catalogo!$C78)+IF($E$7=Catalogo!$C78,N($K$7),0)+IF($E$8=Catalogo!$C78,N($N$8),0)+IF(Proyecto!$D$12=Catalogo!$C78,$AQ$4,0)+SUMIF($C$49:$C$58,Catalogo!$C78,$K$49:$K$58))</f>
        <v>0</v>
      </c>
      <c r="CA78" t="str" cm="1">
        <f t="array" ref="CA78">IF(NOT(AND($BN$13&lt;&gt;"",($BM$13+7)&lt;=$BO$13)),"",IF(B78&lt;&gt;"",IF(B78="-","",B78),IF(ISNUMBER(SEARCH(":",$BP$13)),IFERROR(_xlfn.LET(_xlpm.s,_xlfn.TEXTSPLIT($BP$13,","),_xlpm.k,FIND(":",_xlpm.s),INDEX(TRIM(LEFT(_xlpm.s,_xlpm.k-1)),_xlfn.XMATCH(($BM$13+7),_xlfn.SCAN(0,--MID(_xlpm.s,_xlpm.k+1,9),_xlfn.LAMBDA(_xlpm.a,_xlpm.v,_xlpm.a+_xlpm.v)),1))),""),IF(($BM$13+7)&lt;=$BQ$13,$BP$13,""))))</f>
        <v/>
      </c>
      <c r="CB78" t="str" cm="1">
        <f t="array" ref="CB78">IF(NOT(AND($BN$14&lt;&gt;"",($BM$14+7)&lt;=$BO$14)),"",IF(H78&lt;&gt;"",IF(H78="-","",H78),IF(ISNUMBER(SEARCH(":",$BP$14)),IFERROR(_xlfn.LET(_xlpm.s,_xlfn.TEXTSPLIT($BP$14,","),_xlpm.k,FIND(":",_xlpm.s),INDEX(TRIM(LEFT(_xlpm.s,_xlpm.k-1)),_xlfn.XMATCH(($BM$14+7),_xlfn.SCAN(0,--MID(_xlpm.s,_xlpm.k+1,9),_xlfn.LAMBDA(_xlpm.a,_xlpm.v,_xlpm.a+_xlpm.v)),1))),""),IF(($BM$14+7)&lt;=$BQ$14,$BP$14,""))))</f>
        <v/>
      </c>
      <c r="CC78" t="str" cm="1">
        <f t="array" ref="CC78">IF(NOT(AND($BN$15&lt;&gt;"",($BM$15+7)&lt;=$BO$15)),"",IF(N78&lt;&gt;"",IF(N78="-","",N78),IF(ISNUMBER(SEARCH(":",$BP$15)),IFERROR(_xlfn.LET(_xlpm.s,_xlfn.TEXTSPLIT($BP$15,","),_xlpm.k,FIND(":",_xlpm.s),INDEX(TRIM(LEFT(_xlpm.s,_xlpm.k-1)),_xlfn.XMATCH(($BM$15+7),_xlfn.SCAN(0,--MID(_xlpm.s,_xlpm.k+1,9),_xlfn.LAMBDA(_xlpm.a,_xlpm.v,_xlpm.a+_xlpm.v)),1))),""),IF(($BM$15+7)&lt;=$BQ$15,$BP$15,""))))</f>
        <v/>
      </c>
      <c r="CD78" t="str" cm="1">
        <f t="array" ref="CD78">IF(NOT(AND($BN$16&lt;&gt;"",($BM$16+7)&lt;=$BO$16)),"",IF(T78&lt;&gt;"",IF(T78="-","",T78),IF(ISNUMBER(SEARCH(":",$BP$16)),IFERROR(_xlfn.LET(_xlpm.s,_xlfn.TEXTSPLIT($BP$16,","),_xlpm.k,FIND(":",_xlpm.s),INDEX(TRIM(LEFT(_xlpm.s,_xlpm.k-1)),_xlfn.XMATCH(($BM$16+7),_xlfn.SCAN(0,--MID(_xlpm.s,_xlpm.k+1,9),_xlfn.LAMBDA(_xlpm.a,_xlpm.v,_xlpm.a+_xlpm.v)),1))),""),IF(($BM$16+7)&lt;=$BQ$16,$BP$16,""))))</f>
        <v/>
      </c>
    </row>
    <row r="79" spans="2:82" hidden="1" x14ac:dyDescent="0.45">
      <c r="B79" s="6"/>
      <c r="C79" s="9" t="str">
        <f>IF(CA79="","",CA79&amp;"-"&amp;TEXT(0+COUNTIF($CA$72:CA79,CA79),"000"))</f>
        <v/>
      </c>
      <c r="D79" s="9" t="str">
        <f>IF(AND($BN$13&lt;&gt;"",($BM$13+8)&lt;=$BO$13),$BN$13,"")</f>
        <v>1A-AA</v>
      </c>
      <c r="E79" s="9" t="str">
        <f>IF(AND($BN$13&lt;&gt;"",($BM$13+8)&lt;=$BO$13),TEXT(($BM$13+8),"00"),"")</f>
        <v>08</v>
      </c>
      <c r="F79" s="9" t="str">
        <f>IF(AND($BN$13&lt;&gt;"",($BM$13+8)&lt;=$BO$13),$BN$13&amp;"-"&amp;TEXT(($BM$13+8),"00"),"")</f>
        <v>1A-AA-08</v>
      </c>
      <c r="H79" s="6"/>
      <c r="I79" s="9" t="str">
        <f>IF(CB79="","",CB79&amp;"-"&amp;TEXT(COUNTIF($CA$72:$CA$95,CB79)+COUNTIF($CB$72:CB79,CB79),"000"))</f>
        <v/>
      </c>
      <c r="J79" s="9" t="str">
        <f>IF(AND($BN$14&lt;&gt;"",($BM$14+8)&lt;=$BO$14),$BN$14,"")</f>
        <v>1A-AB</v>
      </c>
      <c r="K79" s="9" t="str">
        <f>IF(AND($BN$14&lt;&gt;"",($BM$14+8)&lt;=$BO$14),TEXT(($BM$14+8),"00"),"")</f>
        <v>08</v>
      </c>
      <c r="L79" s="9" t="str">
        <f>IF(AND($BN$14&lt;&gt;"",($BM$14+8)&lt;=$BO$14),$BN$14&amp;"-"&amp;TEXT(($BM$14+8),"00"),"")</f>
        <v>1A-AB-08</v>
      </c>
      <c r="N79" s="6"/>
      <c r="O79" s="9" t="str">
        <f>IF(CC79="","",CC79&amp;"-"&amp;TEXT(COUNTIF($CA$72:$CA$95,CC79)+COUNTIF($CB$72:$CB$95,CC79)+COUNTIF($CC$72:CC79,CC79),"000"))</f>
        <v/>
      </c>
      <c r="P79" s="9" t="str">
        <f>IF(AND($BN$15&lt;&gt;"",($BM$15+8)&lt;=$BO$15),$BN$15,"")</f>
        <v>1A-AC</v>
      </c>
      <c r="Q79" s="9" t="str">
        <f>IF(AND($BN$15&lt;&gt;"",($BM$15+8)&lt;=$BO$15),TEXT(($BM$15+8),"00"),"")</f>
        <v>08</v>
      </c>
      <c r="R79" s="9" t="str">
        <f>IF(AND($BN$15&lt;&gt;"",($BM$15+8)&lt;=$BO$15),$BN$15&amp;"-"&amp;TEXT(($BM$15+8),"00"),"")</f>
        <v>1A-AC-08</v>
      </c>
      <c r="T79" s="6"/>
      <c r="U79" s="9" t="str">
        <f>IF(CD79="","",CD79&amp;"-"&amp;TEXT(COUNTIF($CA$72:$CA$95,CD79)+COUNTIF($CB$72:$CB$95,CD79)+COUNTIF($CC$72:$CC$95,CD79)+COUNTIF($CD$72:CD79,CD79),"000"))</f>
        <v/>
      </c>
      <c r="V79" s="9" t="str">
        <f>IF(AND($BN$16&lt;&gt;"",($BM$16+8)&lt;=$BO$16),$BN$16,"")</f>
        <v>1A-AD</v>
      </c>
      <c r="W79" s="9" t="str">
        <f>IF(AND($BN$16&lt;&gt;"",($BM$16+8)&lt;=$BO$16),TEXT(($BM$16+8),"00"),"")</f>
        <v>08</v>
      </c>
      <c r="X79" s="9" t="str">
        <f>IF(AND($BN$16&lt;&gt;"",($BM$16+8)&lt;=$BO$16),$BN$16&amp;"-"&amp;TEXT(($BM$16+8),"00"),"")</f>
        <v>1A-AD-08</v>
      </c>
      <c r="BA79">
        <f>IF(OR(Catalogo!$C79="",Catalogo!$B79="Espacio libre",Catalogo!$B79="Espacio reservado"),0,COUNTIF($C$13:$C$42,Catalogo!$C79)+IF($E$7=Catalogo!$C79,N($K$7),0)+IF($E$8=Catalogo!$C79,N($N$8),0)+IF(Proyecto!$D$12=Catalogo!$C79,$AQ$4,0)+SUMIF($C$49:$C$58,Catalogo!$C79,$K$49:$K$58))</f>
        <v>0</v>
      </c>
      <c r="CA79" t="str" cm="1">
        <f t="array" ref="CA79">IF(NOT(AND($BN$13&lt;&gt;"",($BM$13+8)&lt;=$BO$13)),"",IF(B79&lt;&gt;"",IF(B79="-","",B79),IF(ISNUMBER(SEARCH(":",$BP$13)),IFERROR(_xlfn.LET(_xlpm.s,_xlfn.TEXTSPLIT($BP$13,","),_xlpm.k,FIND(":",_xlpm.s),INDEX(TRIM(LEFT(_xlpm.s,_xlpm.k-1)),_xlfn.XMATCH(($BM$13+8),_xlfn.SCAN(0,--MID(_xlpm.s,_xlpm.k+1,9),_xlfn.LAMBDA(_xlpm.a,_xlpm.v,_xlpm.a+_xlpm.v)),1))),""),IF(($BM$13+8)&lt;=$BQ$13,$BP$13,""))))</f>
        <v/>
      </c>
      <c r="CB79" t="str" cm="1">
        <f t="array" ref="CB79">IF(NOT(AND($BN$14&lt;&gt;"",($BM$14+8)&lt;=$BO$14)),"",IF(H79&lt;&gt;"",IF(H79="-","",H79),IF(ISNUMBER(SEARCH(":",$BP$14)),IFERROR(_xlfn.LET(_xlpm.s,_xlfn.TEXTSPLIT($BP$14,","),_xlpm.k,FIND(":",_xlpm.s),INDEX(TRIM(LEFT(_xlpm.s,_xlpm.k-1)),_xlfn.XMATCH(($BM$14+8),_xlfn.SCAN(0,--MID(_xlpm.s,_xlpm.k+1,9),_xlfn.LAMBDA(_xlpm.a,_xlpm.v,_xlpm.a+_xlpm.v)),1))),""),IF(($BM$14+8)&lt;=$BQ$14,$BP$14,""))))</f>
        <v/>
      </c>
      <c r="CC79" t="str" cm="1">
        <f t="array" ref="CC79">IF(NOT(AND($BN$15&lt;&gt;"",($BM$15+8)&lt;=$BO$15)),"",IF(N79&lt;&gt;"",IF(N79="-","",N79),IF(ISNUMBER(SEARCH(":",$BP$15)),IFERROR(_xlfn.LET(_xlpm.s,_xlfn.TEXTSPLIT($BP$15,","),_xlpm.k,FIND(":",_xlpm.s),INDEX(TRIM(LEFT(_xlpm.s,_xlpm.k-1)),_xlfn.XMATCH(($BM$15+8),_xlfn.SCAN(0,--MID(_xlpm.s,_xlpm.k+1,9),_xlfn.LAMBDA(_xlpm.a,_xlpm.v,_xlpm.a+_xlpm.v)),1))),""),IF(($BM$15+8)&lt;=$BQ$15,$BP$15,""))))</f>
        <v/>
      </c>
      <c r="CD79" t="str" cm="1">
        <f t="array" ref="CD79">IF(NOT(AND($BN$16&lt;&gt;"",($BM$16+8)&lt;=$BO$16)),"",IF(T79&lt;&gt;"",IF(T79="-","",T79),IF(ISNUMBER(SEARCH(":",$BP$16)),IFERROR(_xlfn.LET(_xlpm.s,_xlfn.TEXTSPLIT($BP$16,","),_xlpm.k,FIND(":",_xlpm.s),INDEX(TRIM(LEFT(_xlpm.s,_xlpm.k-1)),_xlfn.XMATCH(($BM$16+8),_xlfn.SCAN(0,--MID(_xlpm.s,_xlpm.k+1,9),_xlfn.LAMBDA(_xlpm.a,_xlpm.v,_xlpm.a+_xlpm.v)),1))),""),IF(($BM$16+8)&lt;=$BQ$16,$BP$16,""))))</f>
        <v/>
      </c>
    </row>
    <row r="80" spans="2:82" hidden="1" x14ac:dyDescent="0.45">
      <c r="B80" s="6"/>
      <c r="C80" s="9" t="str">
        <f>IF(CA80="","",CA80&amp;"-"&amp;TEXT(0+COUNTIF($CA$72:CA80,CA80),"000"))</f>
        <v/>
      </c>
      <c r="D80" s="9" t="str">
        <f>IF(AND($BN$13&lt;&gt;"",($BM$13+9)&lt;=$BO$13),$BN$13,"")</f>
        <v>1A-AA</v>
      </c>
      <c r="E80" s="9" t="str">
        <f>IF(AND($BN$13&lt;&gt;"",($BM$13+9)&lt;=$BO$13),TEXT(($BM$13+9),"00"),"")</f>
        <v>09</v>
      </c>
      <c r="F80" s="9" t="str">
        <f>IF(AND($BN$13&lt;&gt;"",($BM$13+9)&lt;=$BO$13),$BN$13&amp;"-"&amp;TEXT(($BM$13+9),"00"),"")</f>
        <v>1A-AA-09</v>
      </c>
      <c r="H80" s="6"/>
      <c r="I80" s="9" t="str">
        <f>IF(CB80="","",CB80&amp;"-"&amp;TEXT(COUNTIF($CA$72:$CA$95,CB80)+COUNTIF($CB$72:CB80,CB80),"000"))</f>
        <v/>
      </c>
      <c r="J80" s="9" t="str">
        <f>IF(AND($BN$14&lt;&gt;"",($BM$14+9)&lt;=$BO$14),$BN$14,"")</f>
        <v>1A-AB</v>
      </c>
      <c r="K80" s="9" t="str">
        <f>IF(AND($BN$14&lt;&gt;"",($BM$14+9)&lt;=$BO$14),TEXT(($BM$14+9),"00"),"")</f>
        <v>09</v>
      </c>
      <c r="L80" s="9" t="str">
        <f>IF(AND($BN$14&lt;&gt;"",($BM$14+9)&lt;=$BO$14),$BN$14&amp;"-"&amp;TEXT(($BM$14+9),"00"),"")</f>
        <v>1A-AB-09</v>
      </c>
      <c r="N80" s="6"/>
      <c r="O80" s="9" t="str">
        <f>IF(CC80="","",CC80&amp;"-"&amp;TEXT(COUNTIF($CA$72:$CA$95,CC80)+COUNTIF($CB$72:$CB$95,CC80)+COUNTIF($CC$72:CC80,CC80),"000"))</f>
        <v/>
      </c>
      <c r="P80" s="9" t="str">
        <f>IF(AND($BN$15&lt;&gt;"",($BM$15+9)&lt;=$BO$15),$BN$15,"")</f>
        <v>1A-AC</v>
      </c>
      <c r="Q80" s="9" t="str">
        <f>IF(AND($BN$15&lt;&gt;"",($BM$15+9)&lt;=$BO$15),TEXT(($BM$15+9),"00"),"")</f>
        <v>09</v>
      </c>
      <c r="R80" s="9" t="str">
        <f>IF(AND($BN$15&lt;&gt;"",($BM$15+9)&lt;=$BO$15),$BN$15&amp;"-"&amp;TEXT(($BM$15+9),"00"),"")</f>
        <v>1A-AC-09</v>
      </c>
      <c r="T80" s="6"/>
      <c r="U80" s="9" t="str">
        <f>IF(CD80="","",CD80&amp;"-"&amp;TEXT(COUNTIF($CA$72:$CA$95,CD80)+COUNTIF($CB$72:$CB$95,CD80)+COUNTIF($CC$72:$CC$95,CD80)+COUNTIF($CD$72:CD80,CD80),"000"))</f>
        <v/>
      </c>
      <c r="V80" s="9" t="str">
        <f>IF(AND($BN$16&lt;&gt;"",($BM$16+9)&lt;=$BO$16),$BN$16,"")</f>
        <v>1A-AD</v>
      </c>
      <c r="W80" s="9" t="str">
        <f>IF(AND($BN$16&lt;&gt;"",($BM$16+9)&lt;=$BO$16),TEXT(($BM$16+9),"00"),"")</f>
        <v>09</v>
      </c>
      <c r="X80" s="9" t="str">
        <f>IF(AND($BN$16&lt;&gt;"",($BM$16+9)&lt;=$BO$16),$BN$16&amp;"-"&amp;TEXT(($BM$16+9),"00"),"")</f>
        <v>1A-AD-09</v>
      </c>
      <c r="BA80">
        <f>IF(OR(Catalogo!$C80="",Catalogo!$B80="Espacio libre",Catalogo!$B80="Espacio reservado"),0,COUNTIF($C$13:$C$42,Catalogo!$C80)+IF($E$7=Catalogo!$C80,N($K$7),0)+IF($E$8=Catalogo!$C80,N($N$8),0)+IF(Proyecto!$D$12=Catalogo!$C80,$AQ$4,0)+SUMIF($C$49:$C$58,Catalogo!$C80,$K$49:$K$58))</f>
        <v>0</v>
      </c>
      <c r="CA80" t="str" cm="1">
        <f t="array" ref="CA80">IF(NOT(AND($BN$13&lt;&gt;"",($BM$13+9)&lt;=$BO$13)),"",IF(B80&lt;&gt;"",IF(B80="-","",B80),IF(ISNUMBER(SEARCH(":",$BP$13)),IFERROR(_xlfn.LET(_xlpm.s,_xlfn.TEXTSPLIT($BP$13,","),_xlpm.k,FIND(":",_xlpm.s),INDEX(TRIM(LEFT(_xlpm.s,_xlpm.k-1)),_xlfn.XMATCH(($BM$13+9),_xlfn.SCAN(0,--MID(_xlpm.s,_xlpm.k+1,9),_xlfn.LAMBDA(_xlpm.a,_xlpm.v,_xlpm.a+_xlpm.v)),1))),""),IF(($BM$13+9)&lt;=$BQ$13,$BP$13,""))))</f>
        <v/>
      </c>
      <c r="CB80" t="str" cm="1">
        <f t="array" ref="CB80">IF(NOT(AND($BN$14&lt;&gt;"",($BM$14+9)&lt;=$BO$14)),"",IF(H80&lt;&gt;"",IF(H80="-","",H80),IF(ISNUMBER(SEARCH(":",$BP$14)),IFERROR(_xlfn.LET(_xlpm.s,_xlfn.TEXTSPLIT($BP$14,","),_xlpm.k,FIND(":",_xlpm.s),INDEX(TRIM(LEFT(_xlpm.s,_xlpm.k-1)),_xlfn.XMATCH(($BM$14+9),_xlfn.SCAN(0,--MID(_xlpm.s,_xlpm.k+1,9),_xlfn.LAMBDA(_xlpm.a,_xlpm.v,_xlpm.a+_xlpm.v)),1))),""),IF(($BM$14+9)&lt;=$BQ$14,$BP$14,""))))</f>
        <v/>
      </c>
      <c r="CC80" t="str" cm="1">
        <f t="array" ref="CC80">IF(NOT(AND($BN$15&lt;&gt;"",($BM$15+9)&lt;=$BO$15)),"",IF(N80&lt;&gt;"",IF(N80="-","",N80),IF(ISNUMBER(SEARCH(":",$BP$15)),IFERROR(_xlfn.LET(_xlpm.s,_xlfn.TEXTSPLIT($BP$15,","),_xlpm.k,FIND(":",_xlpm.s),INDEX(TRIM(LEFT(_xlpm.s,_xlpm.k-1)),_xlfn.XMATCH(($BM$15+9),_xlfn.SCAN(0,--MID(_xlpm.s,_xlpm.k+1,9),_xlfn.LAMBDA(_xlpm.a,_xlpm.v,_xlpm.a+_xlpm.v)),1))),""),IF(($BM$15+9)&lt;=$BQ$15,$BP$15,""))))</f>
        <v/>
      </c>
      <c r="CD80" t="str" cm="1">
        <f t="array" ref="CD80">IF(NOT(AND($BN$16&lt;&gt;"",($BM$16+9)&lt;=$BO$16)),"",IF(T80&lt;&gt;"",IF(T80="-","",T80),IF(ISNUMBER(SEARCH(":",$BP$16)),IFERROR(_xlfn.LET(_xlpm.s,_xlfn.TEXTSPLIT($BP$16,","),_xlpm.k,FIND(":",_xlpm.s),INDEX(TRIM(LEFT(_xlpm.s,_xlpm.k-1)),_xlfn.XMATCH(($BM$16+9),_xlfn.SCAN(0,--MID(_xlpm.s,_xlpm.k+1,9),_xlfn.LAMBDA(_xlpm.a,_xlpm.v,_xlpm.a+_xlpm.v)),1))),""),IF(($BM$16+9)&lt;=$BQ$16,$BP$16,""))))</f>
        <v/>
      </c>
    </row>
    <row r="81" spans="2:82" hidden="1" x14ac:dyDescent="0.45">
      <c r="B81" s="6"/>
      <c r="C81" s="9" t="str">
        <f>IF(CA81="","",CA81&amp;"-"&amp;TEXT(0+COUNTIF($CA$72:CA81,CA81),"000"))</f>
        <v/>
      </c>
      <c r="D81" s="9" t="str">
        <f>IF(AND($BN$13&lt;&gt;"",($BM$13+10)&lt;=$BO$13),$BN$13,"")</f>
        <v>1A-AA</v>
      </c>
      <c r="E81" s="9" t="str">
        <f>IF(AND($BN$13&lt;&gt;"",($BM$13+10)&lt;=$BO$13),TEXT(($BM$13+10),"00"),"")</f>
        <v>10</v>
      </c>
      <c r="F81" s="9" t="str">
        <f>IF(AND($BN$13&lt;&gt;"",($BM$13+10)&lt;=$BO$13),$BN$13&amp;"-"&amp;TEXT(($BM$13+10),"00"),"")</f>
        <v>1A-AA-10</v>
      </c>
      <c r="H81" s="6"/>
      <c r="I81" s="9" t="str">
        <f>IF(CB81="","",CB81&amp;"-"&amp;TEXT(COUNTIF($CA$72:$CA$95,CB81)+COUNTIF($CB$72:CB81,CB81),"000"))</f>
        <v/>
      </c>
      <c r="J81" s="9" t="str">
        <f>IF(AND($BN$14&lt;&gt;"",($BM$14+10)&lt;=$BO$14),$BN$14,"")</f>
        <v>1A-AB</v>
      </c>
      <c r="K81" s="9" t="str">
        <f>IF(AND($BN$14&lt;&gt;"",($BM$14+10)&lt;=$BO$14),TEXT(($BM$14+10),"00"),"")</f>
        <v>10</v>
      </c>
      <c r="L81" s="9" t="str">
        <f>IF(AND($BN$14&lt;&gt;"",($BM$14+10)&lt;=$BO$14),$BN$14&amp;"-"&amp;TEXT(($BM$14+10),"00"),"")</f>
        <v>1A-AB-10</v>
      </c>
      <c r="N81" s="6"/>
      <c r="O81" s="9" t="str">
        <f>IF(CC81="","",CC81&amp;"-"&amp;TEXT(COUNTIF($CA$72:$CA$95,CC81)+COUNTIF($CB$72:$CB$95,CC81)+COUNTIF($CC$72:CC81,CC81),"000"))</f>
        <v/>
      </c>
      <c r="P81" s="9" t="str">
        <f>IF(AND($BN$15&lt;&gt;"",($BM$15+10)&lt;=$BO$15),$BN$15,"")</f>
        <v>1A-AC</v>
      </c>
      <c r="Q81" s="9" t="str">
        <f>IF(AND($BN$15&lt;&gt;"",($BM$15+10)&lt;=$BO$15),TEXT(($BM$15+10),"00"),"")</f>
        <v>10</v>
      </c>
      <c r="R81" s="9" t="str">
        <f>IF(AND($BN$15&lt;&gt;"",($BM$15+10)&lt;=$BO$15),$BN$15&amp;"-"&amp;TEXT(($BM$15+10),"00"),"")</f>
        <v>1A-AC-10</v>
      </c>
      <c r="T81" s="6"/>
      <c r="U81" s="9" t="str">
        <f>IF(CD81="","",CD81&amp;"-"&amp;TEXT(COUNTIF($CA$72:$CA$95,CD81)+COUNTIF($CB$72:$CB$95,CD81)+COUNTIF($CC$72:$CC$95,CD81)+COUNTIF($CD$72:CD81,CD81),"000"))</f>
        <v/>
      </c>
      <c r="V81" s="9" t="str">
        <f>IF(AND($BN$16&lt;&gt;"",($BM$16+10)&lt;=$BO$16),$BN$16,"")</f>
        <v>1A-AD</v>
      </c>
      <c r="W81" s="9" t="str">
        <f>IF(AND($BN$16&lt;&gt;"",($BM$16+10)&lt;=$BO$16),TEXT(($BM$16+10),"00"),"")</f>
        <v>10</v>
      </c>
      <c r="X81" s="9" t="str">
        <f>IF(AND($BN$16&lt;&gt;"",($BM$16+10)&lt;=$BO$16),$BN$16&amp;"-"&amp;TEXT(($BM$16+10),"00"),"")</f>
        <v>1A-AD-10</v>
      </c>
      <c r="BA81">
        <f>IF(OR(Catalogo!$C81="",Catalogo!$B81="Espacio libre",Catalogo!$B81="Espacio reservado"),0,COUNTIF($C$13:$C$42,Catalogo!$C81)+IF($E$7=Catalogo!$C81,N($K$7),0)+IF($E$8=Catalogo!$C81,N($N$8),0)+IF(Proyecto!$D$12=Catalogo!$C81,$AQ$4,0)+SUMIF($C$49:$C$58,Catalogo!$C81,$K$49:$K$58))</f>
        <v>0</v>
      </c>
      <c r="CA81" t="str" cm="1">
        <f t="array" ref="CA81">IF(NOT(AND($BN$13&lt;&gt;"",($BM$13+10)&lt;=$BO$13)),"",IF(B81&lt;&gt;"",IF(B81="-","",B81),IF(ISNUMBER(SEARCH(":",$BP$13)),IFERROR(_xlfn.LET(_xlpm.s,_xlfn.TEXTSPLIT($BP$13,","),_xlpm.k,FIND(":",_xlpm.s),INDEX(TRIM(LEFT(_xlpm.s,_xlpm.k-1)),_xlfn.XMATCH(($BM$13+10),_xlfn.SCAN(0,--MID(_xlpm.s,_xlpm.k+1,9),_xlfn.LAMBDA(_xlpm.a,_xlpm.v,_xlpm.a+_xlpm.v)),1))),""),IF(($BM$13+10)&lt;=$BQ$13,$BP$13,""))))</f>
        <v/>
      </c>
      <c r="CB81" t="str" cm="1">
        <f t="array" ref="CB81">IF(NOT(AND($BN$14&lt;&gt;"",($BM$14+10)&lt;=$BO$14)),"",IF(H81&lt;&gt;"",IF(H81="-","",H81),IF(ISNUMBER(SEARCH(":",$BP$14)),IFERROR(_xlfn.LET(_xlpm.s,_xlfn.TEXTSPLIT($BP$14,","),_xlpm.k,FIND(":",_xlpm.s),INDEX(TRIM(LEFT(_xlpm.s,_xlpm.k-1)),_xlfn.XMATCH(($BM$14+10),_xlfn.SCAN(0,--MID(_xlpm.s,_xlpm.k+1,9),_xlfn.LAMBDA(_xlpm.a,_xlpm.v,_xlpm.a+_xlpm.v)),1))),""),IF(($BM$14+10)&lt;=$BQ$14,$BP$14,""))))</f>
        <v/>
      </c>
      <c r="CC81" t="str" cm="1">
        <f t="array" ref="CC81">IF(NOT(AND($BN$15&lt;&gt;"",($BM$15+10)&lt;=$BO$15)),"",IF(N81&lt;&gt;"",IF(N81="-","",N81),IF(ISNUMBER(SEARCH(":",$BP$15)),IFERROR(_xlfn.LET(_xlpm.s,_xlfn.TEXTSPLIT($BP$15,","),_xlpm.k,FIND(":",_xlpm.s),INDEX(TRIM(LEFT(_xlpm.s,_xlpm.k-1)),_xlfn.XMATCH(($BM$15+10),_xlfn.SCAN(0,--MID(_xlpm.s,_xlpm.k+1,9),_xlfn.LAMBDA(_xlpm.a,_xlpm.v,_xlpm.a+_xlpm.v)),1))),""),IF(($BM$15+10)&lt;=$BQ$15,$BP$15,""))))</f>
        <v/>
      </c>
      <c r="CD81" t="str" cm="1">
        <f t="array" ref="CD81">IF(NOT(AND($BN$16&lt;&gt;"",($BM$16+10)&lt;=$BO$16)),"",IF(T81&lt;&gt;"",IF(T81="-","",T81),IF(ISNUMBER(SEARCH(":",$BP$16)),IFERROR(_xlfn.LET(_xlpm.s,_xlfn.TEXTSPLIT($BP$16,","),_xlpm.k,FIND(":",_xlpm.s),INDEX(TRIM(LEFT(_xlpm.s,_xlpm.k-1)),_xlfn.XMATCH(($BM$16+10),_xlfn.SCAN(0,--MID(_xlpm.s,_xlpm.k+1,9),_xlfn.LAMBDA(_xlpm.a,_xlpm.v,_xlpm.a+_xlpm.v)),1))),""),IF(($BM$16+10)&lt;=$BQ$16,$BP$16,""))))</f>
        <v/>
      </c>
    </row>
    <row r="82" spans="2:82" hidden="1" x14ac:dyDescent="0.45">
      <c r="B82" s="6"/>
      <c r="C82" s="9" t="str">
        <f>IF(CA82="","",CA82&amp;"-"&amp;TEXT(0+COUNTIF($CA$72:CA82,CA82),"000"))</f>
        <v/>
      </c>
      <c r="D82" s="9" t="str">
        <f>IF(AND($BN$13&lt;&gt;"",($BM$13+11)&lt;=$BO$13),$BN$13,"")</f>
        <v>1A-AA</v>
      </c>
      <c r="E82" s="9" t="str">
        <f>IF(AND($BN$13&lt;&gt;"",($BM$13+11)&lt;=$BO$13),TEXT(($BM$13+11),"00"),"")</f>
        <v>11</v>
      </c>
      <c r="F82" s="9" t="str">
        <f>IF(AND($BN$13&lt;&gt;"",($BM$13+11)&lt;=$BO$13),$BN$13&amp;"-"&amp;TEXT(($BM$13+11),"00"),"")</f>
        <v>1A-AA-11</v>
      </c>
      <c r="H82" s="6"/>
      <c r="I82" s="9" t="str">
        <f>IF(CB82="","",CB82&amp;"-"&amp;TEXT(COUNTIF($CA$72:$CA$95,CB82)+COUNTIF($CB$72:CB82,CB82),"000"))</f>
        <v/>
      </c>
      <c r="J82" s="9" t="str">
        <f>IF(AND($BN$14&lt;&gt;"",($BM$14+11)&lt;=$BO$14),$BN$14,"")</f>
        <v>1A-AB</v>
      </c>
      <c r="K82" s="9" t="str">
        <f>IF(AND($BN$14&lt;&gt;"",($BM$14+11)&lt;=$BO$14),TEXT(($BM$14+11),"00"),"")</f>
        <v>11</v>
      </c>
      <c r="L82" s="9" t="str">
        <f>IF(AND($BN$14&lt;&gt;"",($BM$14+11)&lt;=$BO$14),$BN$14&amp;"-"&amp;TEXT(($BM$14+11),"00"),"")</f>
        <v>1A-AB-11</v>
      </c>
      <c r="N82" s="6"/>
      <c r="O82" s="9" t="str">
        <f>IF(CC82="","",CC82&amp;"-"&amp;TEXT(COUNTIF($CA$72:$CA$95,CC82)+COUNTIF($CB$72:$CB$95,CC82)+COUNTIF($CC$72:CC82,CC82),"000"))</f>
        <v/>
      </c>
      <c r="P82" s="9" t="str">
        <f>IF(AND($BN$15&lt;&gt;"",($BM$15+11)&lt;=$BO$15),$BN$15,"")</f>
        <v>1A-AC</v>
      </c>
      <c r="Q82" s="9" t="str">
        <f>IF(AND($BN$15&lt;&gt;"",($BM$15+11)&lt;=$BO$15),TEXT(($BM$15+11),"00"),"")</f>
        <v>11</v>
      </c>
      <c r="R82" s="9" t="str">
        <f>IF(AND($BN$15&lt;&gt;"",($BM$15+11)&lt;=$BO$15),$BN$15&amp;"-"&amp;TEXT(($BM$15+11),"00"),"")</f>
        <v>1A-AC-11</v>
      </c>
      <c r="T82" s="6"/>
      <c r="U82" s="9" t="str">
        <f>IF(CD82="","",CD82&amp;"-"&amp;TEXT(COUNTIF($CA$72:$CA$95,CD82)+COUNTIF($CB$72:$CB$95,CD82)+COUNTIF($CC$72:$CC$95,CD82)+COUNTIF($CD$72:CD82,CD82),"000"))</f>
        <v/>
      </c>
      <c r="V82" s="9" t="str">
        <f>IF(AND($BN$16&lt;&gt;"",($BM$16+11)&lt;=$BO$16),$BN$16,"")</f>
        <v>1A-AD</v>
      </c>
      <c r="W82" s="9" t="str">
        <f>IF(AND($BN$16&lt;&gt;"",($BM$16+11)&lt;=$BO$16),TEXT(($BM$16+11),"00"),"")</f>
        <v>11</v>
      </c>
      <c r="X82" s="9" t="str">
        <f>IF(AND($BN$16&lt;&gt;"",($BM$16+11)&lt;=$BO$16),$BN$16&amp;"-"&amp;TEXT(($BM$16+11),"00"),"")</f>
        <v>1A-AD-11</v>
      </c>
      <c r="BA82">
        <f>IF(OR(Catalogo!$C82="",Catalogo!$B82="Espacio libre",Catalogo!$B82="Espacio reservado"),0,COUNTIF($C$13:$C$42,Catalogo!$C82)+IF($E$7=Catalogo!$C82,N($K$7),0)+IF($E$8=Catalogo!$C82,N($N$8),0)+IF(Proyecto!$D$12=Catalogo!$C82,$AQ$4,0)+SUMIF($C$49:$C$58,Catalogo!$C82,$K$49:$K$58))</f>
        <v>0</v>
      </c>
      <c r="CA82" t="str" cm="1">
        <f t="array" ref="CA82">IF(NOT(AND($BN$13&lt;&gt;"",($BM$13+11)&lt;=$BO$13)),"",IF(B82&lt;&gt;"",IF(B82="-","",B82),IF(ISNUMBER(SEARCH(":",$BP$13)),IFERROR(_xlfn.LET(_xlpm.s,_xlfn.TEXTSPLIT($BP$13,","),_xlpm.k,FIND(":",_xlpm.s),INDEX(TRIM(LEFT(_xlpm.s,_xlpm.k-1)),_xlfn.XMATCH(($BM$13+11),_xlfn.SCAN(0,--MID(_xlpm.s,_xlpm.k+1,9),_xlfn.LAMBDA(_xlpm.a,_xlpm.v,_xlpm.a+_xlpm.v)),1))),""),IF(($BM$13+11)&lt;=$BQ$13,$BP$13,""))))</f>
        <v/>
      </c>
      <c r="CB82" t="str" cm="1">
        <f t="array" ref="CB82">IF(NOT(AND($BN$14&lt;&gt;"",($BM$14+11)&lt;=$BO$14)),"",IF(H82&lt;&gt;"",IF(H82="-","",H82),IF(ISNUMBER(SEARCH(":",$BP$14)),IFERROR(_xlfn.LET(_xlpm.s,_xlfn.TEXTSPLIT($BP$14,","),_xlpm.k,FIND(":",_xlpm.s),INDEX(TRIM(LEFT(_xlpm.s,_xlpm.k-1)),_xlfn.XMATCH(($BM$14+11),_xlfn.SCAN(0,--MID(_xlpm.s,_xlpm.k+1,9),_xlfn.LAMBDA(_xlpm.a,_xlpm.v,_xlpm.a+_xlpm.v)),1))),""),IF(($BM$14+11)&lt;=$BQ$14,$BP$14,""))))</f>
        <v/>
      </c>
      <c r="CC82" t="str" cm="1">
        <f t="array" ref="CC82">IF(NOT(AND($BN$15&lt;&gt;"",($BM$15+11)&lt;=$BO$15)),"",IF(N82&lt;&gt;"",IF(N82="-","",N82),IF(ISNUMBER(SEARCH(":",$BP$15)),IFERROR(_xlfn.LET(_xlpm.s,_xlfn.TEXTSPLIT($BP$15,","),_xlpm.k,FIND(":",_xlpm.s),INDEX(TRIM(LEFT(_xlpm.s,_xlpm.k-1)),_xlfn.XMATCH(($BM$15+11),_xlfn.SCAN(0,--MID(_xlpm.s,_xlpm.k+1,9),_xlfn.LAMBDA(_xlpm.a,_xlpm.v,_xlpm.a+_xlpm.v)),1))),""),IF(($BM$15+11)&lt;=$BQ$15,$BP$15,""))))</f>
        <v/>
      </c>
      <c r="CD82" t="str" cm="1">
        <f t="array" ref="CD82">IF(NOT(AND($BN$16&lt;&gt;"",($BM$16+11)&lt;=$BO$16)),"",IF(T82&lt;&gt;"",IF(T82="-","",T82),IF(ISNUMBER(SEARCH(":",$BP$16)),IFERROR(_xlfn.LET(_xlpm.s,_xlfn.TEXTSPLIT($BP$16,","),_xlpm.k,FIND(":",_xlpm.s),INDEX(TRIM(LEFT(_xlpm.s,_xlpm.k-1)),_xlfn.XMATCH(($BM$16+11),_xlfn.SCAN(0,--MID(_xlpm.s,_xlpm.k+1,9),_xlfn.LAMBDA(_xlpm.a,_xlpm.v,_xlpm.a+_xlpm.v)),1))),""),IF(($BM$16+11)&lt;=$BQ$16,$BP$16,""))))</f>
        <v/>
      </c>
    </row>
    <row r="83" spans="2:82" hidden="1" x14ac:dyDescent="0.45">
      <c r="B83" s="6"/>
      <c r="C83" s="9" t="str">
        <f>IF(CA83="","",CA83&amp;"-"&amp;TEXT(0+COUNTIF($CA$72:CA83,CA83),"000"))</f>
        <v/>
      </c>
      <c r="D83" s="9" t="str">
        <f>IF(AND($BN$13&lt;&gt;"",($BM$13+12)&lt;=$BO$13),$BN$13,"")</f>
        <v>1A-AA</v>
      </c>
      <c r="E83" s="9" t="str">
        <f>IF(AND($BN$13&lt;&gt;"",($BM$13+12)&lt;=$BO$13),TEXT(($BM$13+12),"00"),"")</f>
        <v>12</v>
      </c>
      <c r="F83" s="9" t="str">
        <f>IF(AND($BN$13&lt;&gt;"",($BM$13+12)&lt;=$BO$13),$BN$13&amp;"-"&amp;TEXT(($BM$13+12),"00"),"")</f>
        <v>1A-AA-12</v>
      </c>
      <c r="H83" s="6"/>
      <c r="I83" s="9" t="str">
        <f>IF(CB83="","",CB83&amp;"-"&amp;TEXT(COUNTIF($CA$72:$CA$95,CB83)+COUNTIF($CB$72:CB83,CB83),"000"))</f>
        <v/>
      </c>
      <c r="J83" s="9" t="str">
        <f>IF(AND($BN$14&lt;&gt;"",($BM$14+12)&lt;=$BO$14),$BN$14,"")</f>
        <v>1A-AB</v>
      </c>
      <c r="K83" s="9" t="str">
        <f>IF(AND($BN$14&lt;&gt;"",($BM$14+12)&lt;=$BO$14),TEXT(($BM$14+12),"00"),"")</f>
        <v>12</v>
      </c>
      <c r="L83" s="9" t="str">
        <f>IF(AND($BN$14&lt;&gt;"",($BM$14+12)&lt;=$BO$14),$BN$14&amp;"-"&amp;TEXT(($BM$14+12),"00"),"")</f>
        <v>1A-AB-12</v>
      </c>
      <c r="N83" s="6"/>
      <c r="O83" s="9" t="str">
        <f>IF(CC83="","",CC83&amp;"-"&amp;TEXT(COUNTIF($CA$72:$CA$95,CC83)+COUNTIF($CB$72:$CB$95,CC83)+COUNTIF($CC$72:CC83,CC83),"000"))</f>
        <v/>
      </c>
      <c r="P83" s="9" t="str">
        <f>IF(AND($BN$15&lt;&gt;"",($BM$15+12)&lt;=$BO$15),$BN$15,"")</f>
        <v>1A-AC</v>
      </c>
      <c r="Q83" s="9" t="str">
        <f>IF(AND($BN$15&lt;&gt;"",($BM$15+12)&lt;=$BO$15),TEXT(($BM$15+12),"00"),"")</f>
        <v>12</v>
      </c>
      <c r="R83" s="9" t="str">
        <f>IF(AND($BN$15&lt;&gt;"",($BM$15+12)&lt;=$BO$15),$BN$15&amp;"-"&amp;TEXT(($BM$15+12),"00"),"")</f>
        <v>1A-AC-12</v>
      </c>
      <c r="T83" s="6"/>
      <c r="U83" s="9" t="str">
        <f>IF(CD83="","",CD83&amp;"-"&amp;TEXT(COUNTIF($CA$72:$CA$95,CD83)+COUNTIF($CB$72:$CB$95,CD83)+COUNTIF($CC$72:$CC$95,CD83)+COUNTIF($CD$72:CD83,CD83),"000"))</f>
        <v/>
      </c>
      <c r="V83" s="9" t="str">
        <f>IF(AND($BN$16&lt;&gt;"",($BM$16+12)&lt;=$BO$16),$BN$16,"")</f>
        <v>1A-AD</v>
      </c>
      <c r="W83" s="9" t="str">
        <f>IF(AND($BN$16&lt;&gt;"",($BM$16+12)&lt;=$BO$16),TEXT(($BM$16+12),"00"),"")</f>
        <v>12</v>
      </c>
      <c r="X83" s="9" t="str">
        <f>IF(AND($BN$16&lt;&gt;"",($BM$16+12)&lt;=$BO$16),$BN$16&amp;"-"&amp;TEXT(($BM$16+12),"00"),"")</f>
        <v>1A-AD-12</v>
      </c>
      <c r="BA83">
        <f>IF(OR(Catalogo!$C83="",Catalogo!$B83="Espacio libre",Catalogo!$B83="Espacio reservado"),0,COUNTIF($C$13:$C$42,Catalogo!$C83)+IF($E$7=Catalogo!$C83,N($K$7),0)+IF($E$8=Catalogo!$C83,N($N$8),0)+IF(Proyecto!$D$12=Catalogo!$C83,$AQ$4,0)+SUMIF($C$49:$C$58,Catalogo!$C83,$K$49:$K$58))</f>
        <v>0</v>
      </c>
      <c r="CA83" t="str" cm="1">
        <f t="array" ref="CA83">IF(NOT(AND($BN$13&lt;&gt;"",($BM$13+12)&lt;=$BO$13)),"",IF(B83&lt;&gt;"",IF(B83="-","",B83),IF(ISNUMBER(SEARCH(":",$BP$13)),IFERROR(_xlfn.LET(_xlpm.s,_xlfn.TEXTSPLIT($BP$13,","),_xlpm.k,FIND(":",_xlpm.s),INDEX(TRIM(LEFT(_xlpm.s,_xlpm.k-1)),_xlfn.XMATCH(($BM$13+12),_xlfn.SCAN(0,--MID(_xlpm.s,_xlpm.k+1,9),_xlfn.LAMBDA(_xlpm.a,_xlpm.v,_xlpm.a+_xlpm.v)),1))),""),IF(($BM$13+12)&lt;=$BQ$13,$BP$13,""))))</f>
        <v/>
      </c>
      <c r="CB83" t="str" cm="1">
        <f t="array" ref="CB83">IF(NOT(AND($BN$14&lt;&gt;"",($BM$14+12)&lt;=$BO$14)),"",IF(H83&lt;&gt;"",IF(H83="-","",H83),IF(ISNUMBER(SEARCH(":",$BP$14)),IFERROR(_xlfn.LET(_xlpm.s,_xlfn.TEXTSPLIT($BP$14,","),_xlpm.k,FIND(":",_xlpm.s),INDEX(TRIM(LEFT(_xlpm.s,_xlpm.k-1)),_xlfn.XMATCH(($BM$14+12),_xlfn.SCAN(0,--MID(_xlpm.s,_xlpm.k+1,9),_xlfn.LAMBDA(_xlpm.a,_xlpm.v,_xlpm.a+_xlpm.v)),1))),""),IF(($BM$14+12)&lt;=$BQ$14,$BP$14,""))))</f>
        <v/>
      </c>
      <c r="CC83" t="str" cm="1">
        <f t="array" ref="CC83">IF(NOT(AND($BN$15&lt;&gt;"",($BM$15+12)&lt;=$BO$15)),"",IF(N83&lt;&gt;"",IF(N83="-","",N83),IF(ISNUMBER(SEARCH(":",$BP$15)),IFERROR(_xlfn.LET(_xlpm.s,_xlfn.TEXTSPLIT($BP$15,","),_xlpm.k,FIND(":",_xlpm.s),INDEX(TRIM(LEFT(_xlpm.s,_xlpm.k-1)),_xlfn.XMATCH(($BM$15+12),_xlfn.SCAN(0,--MID(_xlpm.s,_xlpm.k+1,9),_xlfn.LAMBDA(_xlpm.a,_xlpm.v,_xlpm.a+_xlpm.v)),1))),""),IF(($BM$15+12)&lt;=$BQ$15,$BP$15,""))))</f>
        <v/>
      </c>
      <c r="CD83" t="str" cm="1">
        <f t="array" ref="CD83">IF(NOT(AND($BN$16&lt;&gt;"",($BM$16+12)&lt;=$BO$16)),"",IF(T83&lt;&gt;"",IF(T83="-","",T83),IF(ISNUMBER(SEARCH(":",$BP$16)),IFERROR(_xlfn.LET(_xlpm.s,_xlfn.TEXTSPLIT($BP$16,","),_xlpm.k,FIND(":",_xlpm.s),INDEX(TRIM(LEFT(_xlpm.s,_xlpm.k-1)),_xlfn.XMATCH(($BM$16+12),_xlfn.SCAN(0,--MID(_xlpm.s,_xlpm.k+1,9),_xlfn.LAMBDA(_xlpm.a,_xlpm.v,_xlpm.a+_xlpm.v)),1))),""),IF(($BM$16+12)&lt;=$BQ$16,$BP$16,""))))</f>
        <v/>
      </c>
    </row>
    <row r="84" spans="2:82" hidden="1" x14ac:dyDescent="0.45">
      <c r="B84" s="6"/>
      <c r="C84" s="9" t="str">
        <f>IF(CA84="","",CA84&amp;"-"&amp;TEXT(0+COUNTIF($CA$72:CA84,CA84),"000"))</f>
        <v/>
      </c>
      <c r="D84" s="9" t="str">
        <f>IF(AND($BN$13&lt;&gt;"",($BM$13+13)&lt;=$BO$13),$BN$13,"")</f>
        <v>1A-AA</v>
      </c>
      <c r="E84" s="9" t="str">
        <f>IF(AND($BN$13&lt;&gt;"",($BM$13+13)&lt;=$BO$13),TEXT(($BM$13+13),"00"),"")</f>
        <v>13</v>
      </c>
      <c r="F84" s="9" t="str">
        <f>IF(AND($BN$13&lt;&gt;"",($BM$13+13)&lt;=$BO$13),$BN$13&amp;"-"&amp;TEXT(($BM$13+13),"00"),"")</f>
        <v>1A-AA-13</v>
      </c>
      <c r="H84" s="6"/>
      <c r="I84" s="9" t="str">
        <f>IF(CB84="","",CB84&amp;"-"&amp;TEXT(COUNTIF($CA$72:$CA$95,CB84)+COUNTIF($CB$72:CB84,CB84),"000"))</f>
        <v/>
      </c>
      <c r="J84" s="9" t="str">
        <f>IF(AND($BN$14&lt;&gt;"",($BM$14+13)&lt;=$BO$14),$BN$14,"")</f>
        <v>1A-AB</v>
      </c>
      <c r="K84" s="9" t="str">
        <f>IF(AND($BN$14&lt;&gt;"",($BM$14+13)&lt;=$BO$14),TEXT(($BM$14+13),"00"),"")</f>
        <v>13</v>
      </c>
      <c r="L84" s="9" t="str">
        <f>IF(AND($BN$14&lt;&gt;"",($BM$14+13)&lt;=$BO$14),$BN$14&amp;"-"&amp;TEXT(($BM$14+13),"00"),"")</f>
        <v>1A-AB-13</v>
      </c>
      <c r="N84" s="6"/>
      <c r="O84" s="9" t="str">
        <f>IF(CC84="","",CC84&amp;"-"&amp;TEXT(COUNTIF($CA$72:$CA$95,CC84)+COUNTIF($CB$72:$CB$95,CC84)+COUNTIF($CC$72:CC84,CC84),"000"))</f>
        <v/>
      </c>
      <c r="P84" s="9" t="str">
        <f>IF(AND($BN$15&lt;&gt;"",($BM$15+13)&lt;=$BO$15),$BN$15,"")</f>
        <v>1A-AC</v>
      </c>
      <c r="Q84" s="9" t="str">
        <f>IF(AND($BN$15&lt;&gt;"",($BM$15+13)&lt;=$BO$15),TEXT(($BM$15+13),"00"),"")</f>
        <v>13</v>
      </c>
      <c r="R84" s="9" t="str">
        <f>IF(AND($BN$15&lt;&gt;"",($BM$15+13)&lt;=$BO$15),$BN$15&amp;"-"&amp;TEXT(($BM$15+13),"00"),"")</f>
        <v>1A-AC-13</v>
      </c>
      <c r="T84" s="6"/>
      <c r="U84" s="9" t="str">
        <f>IF(CD84="","",CD84&amp;"-"&amp;TEXT(COUNTIF($CA$72:$CA$95,CD84)+COUNTIF($CB$72:$CB$95,CD84)+COUNTIF($CC$72:$CC$95,CD84)+COUNTIF($CD$72:CD84,CD84),"000"))</f>
        <v/>
      </c>
      <c r="V84" s="9" t="str">
        <f>IF(AND($BN$16&lt;&gt;"",($BM$16+13)&lt;=$BO$16),$BN$16,"")</f>
        <v>1A-AD</v>
      </c>
      <c r="W84" s="9" t="str">
        <f>IF(AND($BN$16&lt;&gt;"",($BM$16+13)&lt;=$BO$16),TEXT(($BM$16+13),"00"),"")</f>
        <v>13</v>
      </c>
      <c r="X84" s="9" t="str">
        <f>IF(AND($BN$16&lt;&gt;"",($BM$16+13)&lt;=$BO$16),$BN$16&amp;"-"&amp;TEXT(($BM$16+13),"00"),"")</f>
        <v>1A-AD-13</v>
      </c>
      <c r="BA84">
        <f>IF(OR(Catalogo!$C84="",Catalogo!$B84="Espacio libre",Catalogo!$B84="Espacio reservado"),0,COUNTIF($C$13:$C$42,Catalogo!$C84)+IF($E$7=Catalogo!$C84,N($K$7),0)+IF($E$8=Catalogo!$C84,N($N$8),0)+IF(Proyecto!$D$12=Catalogo!$C84,$AQ$4,0)+SUMIF($C$49:$C$58,Catalogo!$C84,$K$49:$K$58))</f>
        <v>0</v>
      </c>
      <c r="CA84" t="str" cm="1">
        <f t="array" ref="CA84">IF(NOT(AND($BN$13&lt;&gt;"",($BM$13+13)&lt;=$BO$13)),"",IF(B84&lt;&gt;"",IF(B84="-","",B84),IF(ISNUMBER(SEARCH(":",$BP$13)),IFERROR(_xlfn.LET(_xlpm.s,_xlfn.TEXTSPLIT($BP$13,","),_xlpm.k,FIND(":",_xlpm.s),INDEX(TRIM(LEFT(_xlpm.s,_xlpm.k-1)),_xlfn.XMATCH(($BM$13+13),_xlfn.SCAN(0,--MID(_xlpm.s,_xlpm.k+1,9),_xlfn.LAMBDA(_xlpm.a,_xlpm.v,_xlpm.a+_xlpm.v)),1))),""),IF(($BM$13+13)&lt;=$BQ$13,$BP$13,""))))</f>
        <v/>
      </c>
      <c r="CB84" t="str" cm="1">
        <f t="array" ref="CB84">IF(NOT(AND($BN$14&lt;&gt;"",($BM$14+13)&lt;=$BO$14)),"",IF(H84&lt;&gt;"",IF(H84="-","",H84),IF(ISNUMBER(SEARCH(":",$BP$14)),IFERROR(_xlfn.LET(_xlpm.s,_xlfn.TEXTSPLIT($BP$14,","),_xlpm.k,FIND(":",_xlpm.s),INDEX(TRIM(LEFT(_xlpm.s,_xlpm.k-1)),_xlfn.XMATCH(($BM$14+13),_xlfn.SCAN(0,--MID(_xlpm.s,_xlpm.k+1,9),_xlfn.LAMBDA(_xlpm.a,_xlpm.v,_xlpm.a+_xlpm.v)),1))),""),IF(($BM$14+13)&lt;=$BQ$14,$BP$14,""))))</f>
        <v/>
      </c>
      <c r="CC84" t="str" cm="1">
        <f t="array" ref="CC84">IF(NOT(AND($BN$15&lt;&gt;"",($BM$15+13)&lt;=$BO$15)),"",IF(N84&lt;&gt;"",IF(N84="-","",N84),IF(ISNUMBER(SEARCH(":",$BP$15)),IFERROR(_xlfn.LET(_xlpm.s,_xlfn.TEXTSPLIT($BP$15,","),_xlpm.k,FIND(":",_xlpm.s),INDEX(TRIM(LEFT(_xlpm.s,_xlpm.k-1)),_xlfn.XMATCH(($BM$15+13),_xlfn.SCAN(0,--MID(_xlpm.s,_xlpm.k+1,9),_xlfn.LAMBDA(_xlpm.a,_xlpm.v,_xlpm.a+_xlpm.v)),1))),""),IF(($BM$15+13)&lt;=$BQ$15,$BP$15,""))))</f>
        <v/>
      </c>
      <c r="CD84" t="str" cm="1">
        <f t="array" ref="CD84">IF(NOT(AND($BN$16&lt;&gt;"",($BM$16+13)&lt;=$BO$16)),"",IF(T84&lt;&gt;"",IF(T84="-","",T84),IF(ISNUMBER(SEARCH(":",$BP$16)),IFERROR(_xlfn.LET(_xlpm.s,_xlfn.TEXTSPLIT($BP$16,","),_xlpm.k,FIND(":",_xlpm.s),INDEX(TRIM(LEFT(_xlpm.s,_xlpm.k-1)),_xlfn.XMATCH(($BM$16+13),_xlfn.SCAN(0,--MID(_xlpm.s,_xlpm.k+1,9),_xlfn.LAMBDA(_xlpm.a,_xlpm.v,_xlpm.a+_xlpm.v)),1))),""),IF(($BM$16+13)&lt;=$BQ$16,$BP$16,""))))</f>
        <v/>
      </c>
    </row>
    <row r="85" spans="2:82" hidden="1" x14ac:dyDescent="0.45">
      <c r="B85" s="6"/>
      <c r="C85" s="9" t="str">
        <f>IF(CA85="","",CA85&amp;"-"&amp;TEXT(0+COUNTIF($CA$72:CA85,CA85),"000"))</f>
        <v/>
      </c>
      <c r="D85" s="9" t="str">
        <f>IF(AND($BN$13&lt;&gt;"",($BM$13+14)&lt;=$BO$13),$BN$13,"")</f>
        <v>1A-AA</v>
      </c>
      <c r="E85" s="9" t="str">
        <f>IF(AND($BN$13&lt;&gt;"",($BM$13+14)&lt;=$BO$13),TEXT(($BM$13+14),"00"),"")</f>
        <v>14</v>
      </c>
      <c r="F85" s="9" t="str">
        <f>IF(AND($BN$13&lt;&gt;"",($BM$13+14)&lt;=$BO$13),$BN$13&amp;"-"&amp;TEXT(($BM$13+14),"00"),"")</f>
        <v>1A-AA-14</v>
      </c>
      <c r="H85" s="6"/>
      <c r="I85" s="9" t="str">
        <f>IF(CB85="","",CB85&amp;"-"&amp;TEXT(COUNTIF($CA$72:$CA$95,CB85)+COUNTIF($CB$72:CB85,CB85),"000"))</f>
        <v/>
      </c>
      <c r="J85" s="9" t="str">
        <f>IF(AND($BN$14&lt;&gt;"",($BM$14+14)&lt;=$BO$14),$BN$14,"")</f>
        <v>1A-AB</v>
      </c>
      <c r="K85" s="9" t="str">
        <f>IF(AND($BN$14&lt;&gt;"",($BM$14+14)&lt;=$BO$14),TEXT(($BM$14+14),"00"),"")</f>
        <v>14</v>
      </c>
      <c r="L85" s="9" t="str">
        <f>IF(AND($BN$14&lt;&gt;"",($BM$14+14)&lt;=$BO$14),$BN$14&amp;"-"&amp;TEXT(($BM$14+14),"00"),"")</f>
        <v>1A-AB-14</v>
      </c>
      <c r="N85" s="6"/>
      <c r="O85" s="9" t="str">
        <f>IF(CC85="","",CC85&amp;"-"&amp;TEXT(COUNTIF($CA$72:$CA$95,CC85)+COUNTIF($CB$72:$CB$95,CC85)+COUNTIF($CC$72:CC85,CC85),"000"))</f>
        <v/>
      </c>
      <c r="P85" s="9" t="str">
        <f>IF(AND($BN$15&lt;&gt;"",($BM$15+14)&lt;=$BO$15),$BN$15,"")</f>
        <v>1A-AC</v>
      </c>
      <c r="Q85" s="9" t="str">
        <f>IF(AND($BN$15&lt;&gt;"",($BM$15+14)&lt;=$BO$15),TEXT(($BM$15+14),"00"),"")</f>
        <v>14</v>
      </c>
      <c r="R85" s="9" t="str">
        <f>IF(AND($BN$15&lt;&gt;"",($BM$15+14)&lt;=$BO$15),$BN$15&amp;"-"&amp;TEXT(($BM$15+14),"00"),"")</f>
        <v>1A-AC-14</v>
      </c>
      <c r="T85" s="6"/>
      <c r="U85" s="9" t="str">
        <f>IF(CD85="","",CD85&amp;"-"&amp;TEXT(COUNTIF($CA$72:$CA$95,CD85)+COUNTIF($CB$72:$CB$95,CD85)+COUNTIF($CC$72:$CC$95,CD85)+COUNTIF($CD$72:CD85,CD85),"000"))</f>
        <v/>
      </c>
      <c r="V85" s="9" t="str">
        <f>IF(AND($BN$16&lt;&gt;"",($BM$16+14)&lt;=$BO$16),$BN$16,"")</f>
        <v>1A-AD</v>
      </c>
      <c r="W85" s="9" t="str">
        <f>IF(AND($BN$16&lt;&gt;"",($BM$16+14)&lt;=$BO$16),TEXT(($BM$16+14),"00"),"")</f>
        <v>14</v>
      </c>
      <c r="X85" s="9" t="str">
        <f>IF(AND($BN$16&lt;&gt;"",($BM$16+14)&lt;=$BO$16),$BN$16&amp;"-"&amp;TEXT(($BM$16+14),"00"),"")</f>
        <v>1A-AD-14</v>
      </c>
      <c r="BA85">
        <f>IF(OR(Catalogo!$C85="",Catalogo!$B85="Espacio libre",Catalogo!$B85="Espacio reservado"),0,COUNTIF($C$13:$C$42,Catalogo!$C85)+IF($E$7=Catalogo!$C85,N($K$7),0)+IF($E$8=Catalogo!$C85,N($N$8),0)+IF(Proyecto!$D$12=Catalogo!$C85,$AQ$4,0)+SUMIF($C$49:$C$58,Catalogo!$C85,$K$49:$K$58))</f>
        <v>0</v>
      </c>
      <c r="CA85" t="str" cm="1">
        <f t="array" ref="CA85">IF(NOT(AND($BN$13&lt;&gt;"",($BM$13+14)&lt;=$BO$13)),"",IF(B85&lt;&gt;"",IF(B85="-","",B85),IF(ISNUMBER(SEARCH(":",$BP$13)),IFERROR(_xlfn.LET(_xlpm.s,_xlfn.TEXTSPLIT($BP$13,","),_xlpm.k,FIND(":",_xlpm.s),INDEX(TRIM(LEFT(_xlpm.s,_xlpm.k-1)),_xlfn.XMATCH(($BM$13+14),_xlfn.SCAN(0,--MID(_xlpm.s,_xlpm.k+1,9),_xlfn.LAMBDA(_xlpm.a,_xlpm.v,_xlpm.a+_xlpm.v)),1))),""),IF(($BM$13+14)&lt;=$BQ$13,$BP$13,""))))</f>
        <v/>
      </c>
      <c r="CB85" t="str" cm="1">
        <f t="array" ref="CB85">IF(NOT(AND($BN$14&lt;&gt;"",($BM$14+14)&lt;=$BO$14)),"",IF(H85&lt;&gt;"",IF(H85="-","",H85),IF(ISNUMBER(SEARCH(":",$BP$14)),IFERROR(_xlfn.LET(_xlpm.s,_xlfn.TEXTSPLIT($BP$14,","),_xlpm.k,FIND(":",_xlpm.s),INDEX(TRIM(LEFT(_xlpm.s,_xlpm.k-1)),_xlfn.XMATCH(($BM$14+14),_xlfn.SCAN(0,--MID(_xlpm.s,_xlpm.k+1,9),_xlfn.LAMBDA(_xlpm.a,_xlpm.v,_xlpm.a+_xlpm.v)),1))),""),IF(($BM$14+14)&lt;=$BQ$14,$BP$14,""))))</f>
        <v/>
      </c>
      <c r="CC85" t="str" cm="1">
        <f t="array" ref="CC85">IF(NOT(AND($BN$15&lt;&gt;"",($BM$15+14)&lt;=$BO$15)),"",IF(N85&lt;&gt;"",IF(N85="-","",N85),IF(ISNUMBER(SEARCH(":",$BP$15)),IFERROR(_xlfn.LET(_xlpm.s,_xlfn.TEXTSPLIT($BP$15,","),_xlpm.k,FIND(":",_xlpm.s),INDEX(TRIM(LEFT(_xlpm.s,_xlpm.k-1)),_xlfn.XMATCH(($BM$15+14),_xlfn.SCAN(0,--MID(_xlpm.s,_xlpm.k+1,9),_xlfn.LAMBDA(_xlpm.a,_xlpm.v,_xlpm.a+_xlpm.v)),1))),""),IF(($BM$15+14)&lt;=$BQ$15,$BP$15,""))))</f>
        <v/>
      </c>
      <c r="CD85" t="str" cm="1">
        <f t="array" ref="CD85">IF(NOT(AND($BN$16&lt;&gt;"",($BM$16+14)&lt;=$BO$16)),"",IF(T85&lt;&gt;"",IF(T85="-","",T85),IF(ISNUMBER(SEARCH(":",$BP$16)),IFERROR(_xlfn.LET(_xlpm.s,_xlfn.TEXTSPLIT($BP$16,","),_xlpm.k,FIND(":",_xlpm.s),INDEX(TRIM(LEFT(_xlpm.s,_xlpm.k-1)),_xlfn.XMATCH(($BM$16+14),_xlfn.SCAN(0,--MID(_xlpm.s,_xlpm.k+1,9),_xlfn.LAMBDA(_xlpm.a,_xlpm.v,_xlpm.a+_xlpm.v)),1))),""),IF(($BM$16+14)&lt;=$BQ$16,$BP$16,""))))</f>
        <v/>
      </c>
    </row>
    <row r="86" spans="2:82" hidden="1" x14ac:dyDescent="0.45">
      <c r="B86" s="6"/>
      <c r="C86" s="9" t="str">
        <f>IF(CA86="","",CA86&amp;"-"&amp;TEXT(0+COUNTIF($CA$72:CA86,CA86),"000"))</f>
        <v/>
      </c>
      <c r="D86" s="9" t="str">
        <f>IF(AND($BN$13&lt;&gt;"",($BM$13+15)&lt;=$BO$13),$BN$13,"")</f>
        <v>1A-AA</v>
      </c>
      <c r="E86" s="9" t="str">
        <f>IF(AND($BN$13&lt;&gt;"",($BM$13+15)&lt;=$BO$13),TEXT(($BM$13+15),"00"),"")</f>
        <v>15</v>
      </c>
      <c r="F86" s="9" t="str">
        <f>IF(AND($BN$13&lt;&gt;"",($BM$13+15)&lt;=$BO$13),$BN$13&amp;"-"&amp;TEXT(($BM$13+15),"00"),"")</f>
        <v>1A-AA-15</v>
      </c>
      <c r="H86" s="6"/>
      <c r="I86" s="9" t="str">
        <f>IF(CB86="","",CB86&amp;"-"&amp;TEXT(COUNTIF($CA$72:$CA$95,CB86)+COUNTIF($CB$72:CB86,CB86),"000"))</f>
        <v/>
      </c>
      <c r="J86" s="9" t="str">
        <f>IF(AND($BN$14&lt;&gt;"",($BM$14+15)&lt;=$BO$14),$BN$14,"")</f>
        <v>1A-AB</v>
      </c>
      <c r="K86" s="9" t="str">
        <f>IF(AND($BN$14&lt;&gt;"",($BM$14+15)&lt;=$BO$14),TEXT(($BM$14+15),"00"),"")</f>
        <v>15</v>
      </c>
      <c r="L86" s="9" t="str">
        <f>IF(AND($BN$14&lt;&gt;"",($BM$14+15)&lt;=$BO$14),$BN$14&amp;"-"&amp;TEXT(($BM$14+15),"00"),"")</f>
        <v>1A-AB-15</v>
      </c>
      <c r="N86" s="6"/>
      <c r="O86" s="9" t="str">
        <f>IF(CC86="","",CC86&amp;"-"&amp;TEXT(COUNTIF($CA$72:$CA$95,CC86)+COUNTIF($CB$72:$CB$95,CC86)+COUNTIF($CC$72:CC86,CC86),"000"))</f>
        <v/>
      </c>
      <c r="P86" s="9" t="str">
        <f>IF(AND($BN$15&lt;&gt;"",($BM$15+15)&lt;=$BO$15),$BN$15,"")</f>
        <v>1A-AC</v>
      </c>
      <c r="Q86" s="9" t="str">
        <f>IF(AND($BN$15&lt;&gt;"",($BM$15+15)&lt;=$BO$15),TEXT(($BM$15+15),"00"),"")</f>
        <v>15</v>
      </c>
      <c r="R86" s="9" t="str">
        <f>IF(AND($BN$15&lt;&gt;"",($BM$15+15)&lt;=$BO$15),$BN$15&amp;"-"&amp;TEXT(($BM$15+15),"00"),"")</f>
        <v>1A-AC-15</v>
      </c>
      <c r="T86" s="6"/>
      <c r="U86" s="9" t="str">
        <f>IF(CD86="","",CD86&amp;"-"&amp;TEXT(COUNTIF($CA$72:$CA$95,CD86)+COUNTIF($CB$72:$CB$95,CD86)+COUNTIF($CC$72:$CC$95,CD86)+COUNTIF($CD$72:CD86,CD86),"000"))</f>
        <v/>
      </c>
      <c r="V86" s="9" t="str">
        <f>IF(AND($BN$16&lt;&gt;"",($BM$16+15)&lt;=$BO$16),$BN$16,"")</f>
        <v>1A-AD</v>
      </c>
      <c r="W86" s="9" t="str">
        <f>IF(AND($BN$16&lt;&gt;"",($BM$16+15)&lt;=$BO$16),TEXT(($BM$16+15),"00"),"")</f>
        <v>15</v>
      </c>
      <c r="X86" s="9" t="str">
        <f>IF(AND($BN$16&lt;&gt;"",($BM$16+15)&lt;=$BO$16),$BN$16&amp;"-"&amp;TEXT(($BM$16+15),"00"),"")</f>
        <v>1A-AD-15</v>
      </c>
      <c r="BA86">
        <f>IF(OR(Catalogo!$C86="",Catalogo!$B86="Espacio libre",Catalogo!$B86="Espacio reservado"),0,COUNTIF($C$13:$C$42,Catalogo!$C86)+IF($E$7=Catalogo!$C86,N($K$7),0)+IF($E$8=Catalogo!$C86,N($N$8),0)+IF(Proyecto!$D$12=Catalogo!$C86,$AQ$4,0)+SUMIF($C$49:$C$58,Catalogo!$C86,$K$49:$K$58))</f>
        <v>0</v>
      </c>
      <c r="CA86" t="str" cm="1">
        <f t="array" ref="CA86">IF(NOT(AND($BN$13&lt;&gt;"",($BM$13+15)&lt;=$BO$13)),"",IF(B86&lt;&gt;"",IF(B86="-","",B86),IF(ISNUMBER(SEARCH(":",$BP$13)),IFERROR(_xlfn.LET(_xlpm.s,_xlfn.TEXTSPLIT($BP$13,","),_xlpm.k,FIND(":",_xlpm.s),INDEX(TRIM(LEFT(_xlpm.s,_xlpm.k-1)),_xlfn.XMATCH(($BM$13+15),_xlfn.SCAN(0,--MID(_xlpm.s,_xlpm.k+1,9),_xlfn.LAMBDA(_xlpm.a,_xlpm.v,_xlpm.a+_xlpm.v)),1))),""),IF(($BM$13+15)&lt;=$BQ$13,$BP$13,""))))</f>
        <v/>
      </c>
      <c r="CB86" t="str" cm="1">
        <f t="array" ref="CB86">IF(NOT(AND($BN$14&lt;&gt;"",($BM$14+15)&lt;=$BO$14)),"",IF(H86&lt;&gt;"",IF(H86="-","",H86),IF(ISNUMBER(SEARCH(":",$BP$14)),IFERROR(_xlfn.LET(_xlpm.s,_xlfn.TEXTSPLIT($BP$14,","),_xlpm.k,FIND(":",_xlpm.s),INDEX(TRIM(LEFT(_xlpm.s,_xlpm.k-1)),_xlfn.XMATCH(($BM$14+15),_xlfn.SCAN(0,--MID(_xlpm.s,_xlpm.k+1,9),_xlfn.LAMBDA(_xlpm.a,_xlpm.v,_xlpm.a+_xlpm.v)),1))),""),IF(($BM$14+15)&lt;=$BQ$14,$BP$14,""))))</f>
        <v/>
      </c>
      <c r="CC86" t="str" cm="1">
        <f t="array" ref="CC86">IF(NOT(AND($BN$15&lt;&gt;"",($BM$15+15)&lt;=$BO$15)),"",IF(N86&lt;&gt;"",IF(N86="-","",N86),IF(ISNUMBER(SEARCH(":",$BP$15)),IFERROR(_xlfn.LET(_xlpm.s,_xlfn.TEXTSPLIT($BP$15,","),_xlpm.k,FIND(":",_xlpm.s),INDEX(TRIM(LEFT(_xlpm.s,_xlpm.k-1)),_xlfn.XMATCH(($BM$15+15),_xlfn.SCAN(0,--MID(_xlpm.s,_xlpm.k+1,9),_xlfn.LAMBDA(_xlpm.a,_xlpm.v,_xlpm.a+_xlpm.v)),1))),""),IF(($BM$15+15)&lt;=$BQ$15,$BP$15,""))))</f>
        <v/>
      </c>
      <c r="CD86" t="str" cm="1">
        <f t="array" ref="CD86">IF(NOT(AND($BN$16&lt;&gt;"",($BM$16+15)&lt;=$BO$16)),"",IF(T86&lt;&gt;"",IF(T86="-","",T86),IF(ISNUMBER(SEARCH(":",$BP$16)),IFERROR(_xlfn.LET(_xlpm.s,_xlfn.TEXTSPLIT($BP$16,","),_xlpm.k,FIND(":",_xlpm.s),INDEX(TRIM(LEFT(_xlpm.s,_xlpm.k-1)),_xlfn.XMATCH(($BM$16+15),_xlfn.SCAN(0,--MID(_xlpm.s,_xlpm.k+1,9),_xlfn.LAMBDA(_xlpm.a,_xlpm.v,_xlpm.a+_xlpm.v)),1))),""),IF(($BM$16+15)&lt;=$BQ$16,$BP$16,""))))</f>
        <v/>
      </c>
    </row>
    <row r="87" spans="2:82" hidden="1" x14ac:dyDescent="0.45">
      <c r="B87" s="6"/>
      <c r="C87" s="9" t="str">
        <f>IF(CA87="","",CA87&amp;"-"&amp;TEXT(0+COUNTIF($CA$72:CA87,CA87),"000"))</f>
        <v/>
      </c>
      <c r="D87" s="9" t="str">
        <f>IF(AND($BN$13&lt;&gt;"",($BM$13+16)&lt;=$BO$13),$BN$13,"")</f>
        <v>1A-AA</v>
      </c>
      <c r="E87" s="9" t="str">
        <f>IF(AND($BN$13&lt;&gt;"",($BM$13+16)&lt;=$BO$13),TEXT(($BM$13+16),"00"),"")</f>
        <v>16</v>
      </c>
      <c r="F87" s="9" t="str">
        <f>IF(AND($BN$13&lt;&gt;"",($BM$13+16)&lt;=$BO$13),$BN$13&amp;"-"&amp;TEXT(($BM$13+16),"00"),"")</f>
        <v>1A-AA-16</v>
      </c>
      <c r="H87" s="6"/>
      <c r="I87" s="9" t="str">
        <f>IF(CB87="","",CB87&amp;"-"&amp;TEXT(COUNTIF($CA$72:$CA$95,CB87)+COUNTIF($CB$72:CB87,CB87),"000"))</f>
        <v/>
      </c>
      <c r="J87" s="9" t="str">
        <f>IF(AND($BN$14&lt;&gt;"",($BM$14+16)&lt;=$BO$14),$BN$14,"")</f>
        <v>1A-AB</v>
      </c>
      <c r="K87" s="9" t="str">
        <f>IF(AND($BN$14&lt;&gt;"",($BM$14+16)&lt;=$BO$14),TEXT(($BM$14+16),"00"),"")</f>
        <v>16</v>
      </c>
      <c r="L87" s="9" t="str">
        <f>IF(AND($BN$14&lt;&gt;"",($BM$14+16)&lt;=$BO$14),$BN$14&amp;"-"&amp;TEXT(($BM$14+16),"00"),"")</f>
        <v>1A-AB-16</v>
      </c>
      <c r="N87" s="6"/>
      <c r="O87" s="9" t="str">
        <f>IF(CC87="","",CC87&amp;"-"&amp;TEXT(COUNTIF($CA$72:$CA$95,CC87)+COUNTIF($CB$72:$CB$95,CC87)+COUNTIF($CC$72:CC87,CC87),"000"))</f>
        <v/>
      </c>
      <c r="P87" s="9" t="str">
        <f>IF(AND($BN$15&lt;&gt;"",($BM$15+16)&lt;=$BO$15),$BN$15,"")</f>
        <v>1A-AC</v>
      </c>
      <c r="Q87" s="9" t="str">
        <f>IF(AND($BN$15&lt;&gt;"",($BM$15+16)&lt;=$BO$15),TEXT(($BM$15+16),"00"),"")</f>
        <v>16</v>
      </c>
      <c r="R87" s="9" t="str">
        <f>IF(AND($BN$15&lt;&gt;"",($BM$15+16)&lt;=$BO$15),$BN$15&amp;"-"&amp;TEXT(($BM$15+16),"00"),"")</f>
        <v>1A-AC-16</v>
      </c>
      <c r="T87" s="6"/>
      <c r="U87" s="9" t="str">
        <f>IF(CD87="","",CD87&amp;"-"&amp;TEXT(COUNTIF($CA$72:$CA$95,CD87)+COUNTIF($CB$72:$CB$95,CD87)+COUNTIF($CC$72:$CC$95,CD87)+COUNTIF($CD$72:CD87,CD87),"000"))</f>
        <v/>
      </c>
      <c r="V87" s="9" t="str">
        <f>IF(AND($BN$16&lt;&gt;"",($BM$16+16)&lt;=$BO$16),$BN$16,"")</f>
        <v>1A-AD</v>
      </c>
      <c r="W87" s="9" t="str">
        <f>IF(AND($BN$16&lt;&gt;"",($BM$16+16)&lt;=$BO$16),TEXT(($BM$16+16),"00"),"")</f>
        <v>16</v>
      </c>
      <c r="X87" s="9" t="str">
        <f>IF(AND($BN$16&lt;&gt;"",($BM$16+16)&lt;=$BO$16),$BN$16&amp;"-"&amp;TEXT(($BM$16+16),"00"),"")</f>
        <v>1A-AD-16</v>
      </c>
      <c r="BA87">
        <f>IF(OR(Catalogo!$C87="",Catalogo!$B87="Espacio libre",Catalogo!$B87="Espacio reservado"),0,COUNTIF($C$13:$C$42,Catalogo!$C87)+IF($E$7=Catalogo!$C87,N($K$7),0)+IF($E$8=Catalogo!$C87,N($N$8),0)+IF(Proyecto!$D$12=Catalogo!$C87,$AQ$4,0)+SUMIF($C$49:$C$58,Catalogo!$C87,$K$49:$K$58))</f>
        <v>0</v>
      </c>
      <c r="CA87" t="str" cm="1">
        <f t="array" ref="CA87">IF(NOT(AND($BN$13&lt;&gt;"",($BM$13+16)&lt;=$BO$13)),"",IF(B87&lt;&gt;"",IF(B87="-","",B87),IF(ISNUMBER(SEARCH(":",$BP$13)),IFERROR(_xlfn.LET(_xlpm.s,_xlfn.TEXTSPLIT($BP$13,","),_xlpm.k,FIND(":",_xlpm.s),INDEX(TRIM(LEFT(_xlpm.s,_xlpm.k-1)),_xlfn.XMATCH(($BM$13+16),_xlfn.SCAN(0,--MID(_xlpm.s,_xlpm.k+1,9),_xlfn.LAMBDA(_xlpm.a,_xlpm.v,_xlpm.a+_xlpm.v)),1))),""),IF(($BM$13+16)&lt;=$BQ$13,$BP$13,""))))</f>
        <v/>
      </c>
      <c r="CB87" t="str" cm="1">
        <f t="array" ref="CB87">IF(NOT(AND($BN$14&lt;&gt;"",($BM$14+16)&lt;=$BO$14)),"",IF(H87&lt;&gt;"",IF(H87="-","",H87),IF(ISNUMBER(SEARCH(":",$BP$14)),IFERROR(_xlfn.LET(_xlpm.s,_xlfn.TEXTSPLIT($BP$14,","),_xlpm.k,FIND(":",_xlpm.s),INDEX(TRIM(LEFT(_xlpm.s,_xlpm.k-1)),_xlfn.XMATCH(($BM$14+16),_xlfn.SCAN(0,--MID(_xlpm.s,_xlpm.k+1,9),_xlfn.LAMBDA(_xlpm.a,_xlpm.v,_xlpm.a+_xlpm.v)),1))),""),IF(($BM$14+16)&lt;=$BQ$14,$BP$14,""))))</f>
        <v/>
      </c>
      <c r="CC87" t="str" cm="1">
        <f t="array" ref="CC87">IF(NOT(AND($BN$15&lt;&gt;"",($BM$15+16)&lt;=$BO$15)),"",IF(N87&lt;&gt;"",IF(N87="-","",N87),IF(ISNUMBER(SEARCH(":",$BP$15)),IFERROR(_xlfn.LET(_xlpm.s,_xlfn.TEXTSPLIT($BP$15,","),_xlpm.k,FIND(":",_xlpm.s),INDEX(TRIM(LEFT(_xlpm.s,_xlpm.k-1)),_xlfn.XMATCH(($BM$15+16),_xlfn.SCAN(0,--MID(_xlpm.s,_xlpm.k+1,9),_xlfn.LAMBDA(_xlpm.a,_xlpm.v,_xlpm.a+_xlpm.v)),1))),""),IF(($BM$15+16)&lt;=$BQ$15,$BP$15,""))))</f>
        <v/>
      </c>
      <c r="CD87" t="str" cm="1">
        <f t="array" ref="CD87">IF(NOT(AND($BN$16&lt;&gt;"",($BM$16+16)&lt;=$BO$16)),"",IF(T87&lt;&gt;"",IF(T87="-","",T87),IF(ISNUMBER(SEARCH(":",$BP$16)),IFERROR(_xlfn.LET(_xlpm.s,_xlfn.TEXTSPLIT($BP$16,","),_xlpm.k,FIND(":",_xlpm.s),INDEX(TRIM(LEFT(_xlpm.s,_xlpm.k-1)),_xlfn.XMATCH(($BM$16+16),_xlfn.SCAN(0,--MID(_xlpm.s,_xlpm.k+1,9),_xlfn.LAMBDA(_xlpm.a,_xlpm.v,_xlpm.a+_xlpm.v)),1))),""),IF(($BM$16+16)&lt;=$BQ$16,$BP$16,""))))</f>
        <v/>
      </c>
    </row>
    <row r="88" spans="2:82" hidden="1" x14ac:dyDescent="0.45">
      <c r="B88" s="6"/>
      <c r="C88" s="9" t="str">
        <f>IF(CA88="","",CA88&amp;"-"&amp;TEXT(0+COUNTIF($CA$72:CA88,CA88),"000"))</f>
        <v/>
      </c>
      <c r="D88" s="9" t="str">
        <f>IF(AND($BN$13&lt;&gt;"",($BM$13+17)&lt;=$BO$13),$BN$13,"")</f>
        <v>1A-AA</v>
      </c>
      <c r="E88" s="9" t="str">
        <f>IF(AND($BN$13&lt;&gt;"",($BM$13+17)&lt;=$BO$13),TEXT(($BM$13+17),"00"),"")</f>
        <v>17</v>
      </c>
      <c r="F88" s="9" t="str">
        <f>IF(AND($BN$13&lt;&gt;"",($BM$13+17)&lt;=$BO$13),$BN$13&amp;"-"&amp;TEXT(($BM$13+17),"00"),"")</f>
        <v>1A-AA-17</v>
      </c>
      <c r="H88" s="6"/>
      <c r="I88" s="9" t="str">
        <f>IF(CB88="","",CB88&amp;"-"&amp;TEXT(COUNTIF($CA$72:$CA$95,CB88)+COUNTIF($CB$72:CB88,CB88),"000"))</f>
        <v/>
      </c>
      <c r="J88" s="9" t="str">
        <f>IF(AND($BN$14&lt;&gt;"",($BM$14+17)&lt;=$BO$14),$BN$14,"")</f>
        <v>1A-AB</v>
      </c>
      <c r="K88" s="9" t="str">
        <f>IF(AND($BN$14&lt;&gt;"",($BM$14+17)&lt;=$BO$14),TEXT(($BM$14+17),"00"),"")</f>
        <v>17</v>
      </c>
      <c r="L88" s="9" t="str">
        <f>IF(AND($BN$14&lt;&gt;"",($BM$14+17)&lt;=$BO$14),$BN$14&amp;"-"&amp;TEXT(($BM$14+17),"00"),"")</f>
        <v>1A-AB-17</v>
      </c>
      <c r="N88" s="6"/>
      <c r="O88" s="9" t="str">
        <f>IF(CC88="","",CC88&amp;"-"&amp;TEXT(COUNTIF($CA$72:$CA$95,CC88)+COUNTIF($CB$72:$CB$95,CC88)+COUNTIF($CC$72:CC88,CC88),"000"))</f>
        <v/>
      </c>
      <c r="P88" s="9" t="str">
        <f>IF(AND($BN$15&lt;&gt;"",($BM$15+17)&lt;=$BO$15),$BN$15,"")</f>
        <v>1A-AC</v>
      </c>
      <c r="Q88" s="9" t="str">
        <f>IF(AND($BN$15&lt;&gt;"",($BM$15+17)&lt;=$BO$15),TEXT(($BM$15+17),"00"),"")</f>
        <v>17</v>
      </c>
      <c r="R88" s="9" t="str">
        <f>IF(AND($BN$15&lt;&gt;"",($BM$15+17)&lt;=$BO$15),$BN$15&amp;"-"&amp;TEXT(($BM$15+17),"00"),"")</f>
        <v>1A-AC-17</v>
      </c>
      <c r="T88" s="6"/>
      <c r="U88" s="9" t="str">
        <f>IF(CD88="","",CD88&amp;"-"&amp;TEXT(COUNTIF($CA$72:$CA$95,CD88)+COUNTIF($CB$72:$CB$95,CD88)+COUNTIF($CC$72:$CC$95,CD88)+COUNTIF($CD$72:CD88,CD88),"000"))</f>
        <v/>
      </c>
      <c r="V88" s="9" t="str">
        <f>IF(AND($BN$16&lt;&gt;"",($BM$16+17)&lt;=$BO$16),$BN$16,"")</f>
        <v>1A-AD</v>
      </c>
      <c r="W88" s="9" t="str">
        <f>IF(AND($BN$16&lt;&gt;"",($BM$16+17)&lt;=$BO$16),TEXT(($BM$16+17),"00"),"")</f>
        <v>17</v>
      </c>
      <c r="X88" s="9" t="str">
        <f>IF(AND($BN$16&lt;&gt;"",($BM$16+17)&lt;=$BO$16),$BN$16&amp;"-"&amp;TEXT(($BM$16+17),"00"),"")</f>
        <v>1A-AD-17</v>
      </c>
      <c r="BA88">
        <f>IF(OR(Catalogo!$C88="",Catalogo!$B88="Espacio libre",Catalogo!$B88="Espacio reservado"),0,COUNTIF($C$13:$C$42,Catalogo!$C88)+IF($E$7=Catalogo!$C88,N($K$7),0)+IF($E$8=Catalogo!$C88,N($N$8),0)+IF(Proyecto!$D$12=Catalogo!$C88,$AQ$4,0)+SUMIF($C$49:$C$58,Catalogo!$C88,$K$49:$K$58))</f>
        <v>0</v>
      </c>
      <c r="CA88" t="str" cm="1">
        <f t="array" ref="CA88">IF(NOT(AND($BN$13&lt;&gt;"",($BM$13+17)&lt;=$BO$13)),"",IF(B88&lt;&gt;"",IF(B88="-","",B88),IF(ISNUMBER(SEARCH(":",$BP$13)),IFERROR(_xlfn.LET(_xlpm.s,_xlfn.TEXTSPLIT($BP$13,","),_xlpm.k,FIND(":",_xlpm.s),INDEX(TRIM(LEFT(_xlpm.s,_xlpm.k-1)),_xlfn.XMATCH(($BM$13+17),_xlfn.SCAN(0,--MID(_xlpm.s,_xlpm.k+1,9),_xlfn.LAMBDA(_xlpm.a,_xlpm.v,_xlpm.a+_xlpm.v)),1))),""),IF(($BM$13+17)&lt;=$BQ$13,$BP$13,""))))</f>
        <v/>
      </c>
      <c r="CB88" t="str" cm="1">
        <f t="array" ref="CB88">IF(NOT(AND($BN$14&lt;&gt;"",($BM$14+17)&lt;=$BO$14)),"",IF(H88&lt;&gt;"",IF(H88="-","",H88),IF(ISNUMBER(SEARCH(":",$BP$14)),IFERROR(_xlfn.LET(_xlpm.s,_xlfn.TEXTSPLIT($BP$14,","),_xlpm.k,FIND(":",_xlpm.s),INDEX(TRIM(LEFT(_xlpm.s,_xlpm.k-1)),_xlfn.XMATCH(($BM$14+17),_xlfn.SCAN(0,--MID(_xlpm.s,_xlpm.k+1,9),_xlfn.LAMBDA(_xlpm.a,_xlpm.v,_xlpm.a+_xlpm.v)),1))),""),IF(($BM$14+17)&lt;=$BQ$14,$BP$14,""))))</f>
        <v/>
      </c>
      <c r="CC88" t="str" cm="1">
        <f t="array" ref="CC88">IF(NOT(AND($BN$15&lt;&gt;"",($BM$15+17)&lt;=$BO$15)),"",IF(N88&lt;&gt;"",IF(N88="-","",N88),IF(ISNUMBER(SEARCH(":",$BP$15)),IFERROR(_xlfn.LET(_xlpm.s,_xlfn.TEXTSPLIT($BP$15,","),_xlpm.k,FIND(":",_xlpm.s),INDEX(TRIM(LEFT(_xlpm.s,_xlpm.k-1)),_xlfn.XMATCH(($BM$15+17),_xlfn.SCAN(0,--MID(_xlpm.s,_xlpm.k+1,9),_xlfn.LAMBDA(_xlpm.a,_xlpm.v,_xlpm.a+_xlpm.v)),1))),""),IF(($BM$15+17)&lt;=$BQ$15,$BP$15,""))))</f>
        <v/>
      </c>
      <c r="CD88" t="str" cm="1">
        <f t="array" ref="CD88">IF(NOT(AND($BN$16&lt;&gt;"",($BM$16+17)&lt;=$BO$16)),"",IF(T88&lt;&gt;"",IF(T88="-","",T88),IF(ISNUMBER(SEARCH(":",$BP$16)),IFERROR(_xlfn.LET(_xlpm.s,_xlfn.TEXTSPLIT($BP$16,","),_xlpm.k,FIND(":",_xlpm.s),INDEX(TRIM(LEFT(_xlpm.s,_xlpm.k-1)),_xlfn.XMATCH(($BM$16+17),_xlfn.SCAN(0,--MID(_xlpm.s,_xlpm.k+1,9),_xlfn.LAMBDA(_xlpm.a,_xlpm.v,_xlpm.a+_xlpm.v)),1))),""),IF(($BM$16+17)&lt;=$BQ$16,$BP$16,""))))</f>
        <v/>
      </c>
    </row>
    <row r="89" spans="2:82" hidden="1" x14ac:dyDescent="0.45">
      <c r="B89" s="6"/>
      <c r="C89" s="9" t="str">
        <f>IF(CA89="","",CA89&amp;"-"&amp;TEXT(0+COUNTIF($CA$72:CA89,CA89),"000"))</f>
        <v/>
      </c>
      <c r="D89" s="9" t="str">
        <f>IF(AND($BN$13&lt;&gt;"",($BM$13+18)&lt;=$BO$13),$BN$13,"")</f>
        <v>1A-AA</v>
      </c>
      <c r="E89" s="9" t="str">
        <f>IF(AND($BN$13&lt;&gt;"",($BM$13+18)&lt;=$BO$13),TEXT(($BM$13+18),"00"),"")</f>
        <v>18</v>
      </c>
      <c r="F89" s="9" t="str">
        <f>IF(AND($BN$13&lt;&gt;"",($BM$13+18)&lt;=$BO$13),$BN$13&amp;"-"&amp;TEXT(($BM$13+18),"00"),"")</f>
        <v>1A-AA-18</v>
      </c>
      <c r="H89" s="6"/>
      <c r="I89" s="9" t="str">
        <f>IF(CB89="","",CB89&amp;"-"&amp;TEXT(COUNTIF($CA$72:$CA$95,CB89)+COUNTIF($CB$72:CB89,CB89),"000"))</f>
        <v/>
      </c>
      <c r="J89" s="9" t="str">
        <f>IF(AND($BN$14&lt;&gt;"",($BM$14+18)&lt;=$BO$14),$BN$14,"")</f>
        <v>1A-AB</v>
      </c>
      <c r="K89" s="9" t="str">
        <f>IF(AND($BN$14&lt;&gt;"",($BM$14+18)&lt;=$BO$14),TEXT(($BM$14+18),"00"),"")</f>
        <v>18</v>
      </c>
      <c r="L89" s="9" t="str">
        <f>IF(AND($BN$14&lt;&gt;"",($BM$14+18)&lt;=$BO$14),$BN$14&amp;"-"&amp;TEXT(($BM$14+18),"00"),"")</f>
        <v>1A-AB-18</v>
      </c>
      <c r="N89" s="6"/>
      <c r="O89" s="9" t="str">
        <f>IF(CC89="","",CC89&amp;"-"&amp;TEXT(COUNTIF($CA$72:$CA$95,CC89)+COUNTIF($CB$72:$CB$95,CC89)+COUNTIF($CC$72:CC89,CC89),"000"))</f>
        <v/>
      </c>
      <c r="P89" s="9" t="str">
        <f>IF(AND($BN$15&lt;&gt;"",($BM$15+18)&lt;=$BO$15),$BN$15,"")</f>
        <v>1A-AC</v>
      </c>
      <c r="Q89" s="9" t="str">
        <f>IF(AND($BN$15&lt;&gt;"",($BM$15+18)&lt;=$BO$15),TEXT(($BM$15+18),"00"),"")</f>
        <v>18</v>
      </c>
      <c r="R89" s="9" t="str">
        <f>IF(AND($BN$15&lt;&gt;"",($BM$15+18)&lt;=$BO$15),$BN$15&amp;"-"&amp;TEXT(($BM$15+18),"00"),"")</f>
        <v>1A-AC-18</v>
      </c>
      <c r="T89" s="6"/>
      <c r="U89" s="9" t="str">
        <f>IF(CD89="","",CD89&amp;"-"&amp;TEXT(COUNTIF($CA$72:$CA$95,CD89)+COUNTIF($CB$72:$CB$95,CD89)+COUNTIF($CC$72:$CC$95,CD89)+COUNTIF($CD$72:CD89,CD89),"000"))</f>
        <v/>
      </c>
      <c r="V89" s="9" t="str">
        <f>IF(AND($BN$16&lt;&gt;"",($BM$16+18)&lt;=$BO$16),$BN$16,"")</f>
        <v>1A-AD</v>
      </c>
      <c r="W89" s="9" t="str">
        <f>IF(AND($BN$16&lt;&gt;"",($BM$16+18)&lt;=$BO$16),TEXT(($BM$16+18),"00"),"")</f>
        <v>18</v>
      </c>
      <c r="X89" s="9" t="str">
        <f>IF(AND($BN$16&lt;&gt;"",($BM$16+18)&lt;=$BO$16),$BN$16&amp;"-"&amp;TEXT(($BM$16+18),"00"),"")</f>
        <v>1A-AD-18</v>
      </c>
      <c r="BA89">
        <f>IF(OR(Catalogo!$C89="",Catalogo!$B89="Espacio libre",Catalogo!$B89="Espacio reservado"),0,COUNTIF($C$13:$C$42,Catalogo!$C89)+IF($E$7=Catalogo!$C89,N($K$7),0)+IF($E$8=Catalogo!$C89,N($N$8),0)+IF(Proyecto!$D$12=Catalogo!$C89,$AQ$4,0)+SUMIF($C$49:$C$58,Catalogo!$C89,$K$49:$K$58))</f>
        <v>0</v>
      </c>
      <c r="CA89" t="str" cm="1">
        <f t="array" ref="CA89">IF(NOT(AND($BN$13&lt;&gt;"",($BM$13+18)&lt;=$BO$13)),"",IF(B89&lt;&gt;"",IF(B89="-","",B89),IF(ISNUMBER(SEARCH(":",$BP$13)),IFERROR(_xlfn.LET(_xlpm.s,_xlfn.TEXTSPLIT($BP$13,","),_xlpm.k,FIND(":",_xlpm.s),INDEX(TRIM(LEFT(_xlpm.s,_xlpm.k-1)),_xlfn.XMATCH(($BM$13+18),_xlfn.SCAN(0,--MID(_xlpm.s,_xlpm.k+1,9),_xlfn.LAMBDA(_xlpm.a,_xlpm.v,_xlpm.a+_xlpm.v)),1))),""),IF(($BM$13+18)&lt;=$BQ$13,$BP$13,""))))</f>
        <v/>
      </c>
      <c r="CB89" t="str" cm="1">
        <f t="array" ref="CB89">IF(NOT(AND($BN$14&lt;&gt;"",($BM$14+18)&lt;=$BO$14)),"",IF(H89&lt;&gt;"",IF(H89="-","",H89),IF(ISNUMBER(SEARCH(":",$BP$14)),IFERROR(_xlfn.LET(_xlpm.s,_xlfn.TEXTSPLIT($BP$14,","),_xlpm.k,FIND(":",_xlpm.s),INDEX(TRIM(LEFT(_xlpm.s,_xlpm.k-1)),_xlfn.XMATCH(($BM$14+18),_xlfn.SCAN(0,--MID(_xlpm.s,_xlpm.k+1,9),_xlfn.LAMBDA(_xlpm.a,_xlpm.v,_xlpm.a+_xlpm.v)),1))),""),IF(($BM$14+18)&lt;=$BQ$14,$BP$14,""))))</f>
        <v/>
      </c>
      <c r="CC89" t="str" cm="1">
        <f t="array" ref="CC89">IF(NOT(AND($BN$15&lt;&gt;"",($BM$15+18)&lt;=$BO$15)),"",IF(N89&lt;&gt;"",IF(N89="-","",N89),IF(ISNUMBER(SEARCH(":",$BP$15)),IFERROR(_xlfn.LET(_xlpm.s,_xlfn.TEXTSPLIT($BP$15,","),_xlpm.k,FIND(":",_xlpm.s),INDEX(TRIM(LEFT(_xlpm.s,_xlpm.k-1)),_xlfn.XMATCH(($BM$15+18),_xlfn.SCAN(0,--MID(_xlpm.s,_xlpm.k+1,9),_xlfn.LAMBDA(_xlpm.a,_xlpm.v,_xlpm.a+_xlpm.v)),1))),""),IF(($BM$15+18)&lt;=$BQ$15,$BP$15,""))))</f>
        <v/>
      </c>
      <c r="CD89" t="str" cm="1">
        <f t="array" ref="CD89">IF(NOT(AND($BN$16&lt;&gt;"",($BM$16+18)&lt;=$BO$16)),"",IF(T89&lt;&gt;"",IF(T89="-","",T89),IF(ISNUMBER(SEARCH(":",$BP$16)),IFERROR(_xlfn.LET(_xlpm.s,_xlfn.TEXTSPLIT($BP$16,","),_xlpm.k,FIND(":",_xlpm.s),INDEX(TRIM(LEFT(_xlpm.s,_xlpm.k-1)),_xlfn.XMATCH(($BM$16+18),_xlfn.SCAN(0,--MID(_xlpm.s,_xlpm.k+1,9),_xlfn.LAMBDA(_xlpm.a,_xlpm.v,_xlpm.a+_xlpm.v)),1))),""),IF(($BM$16+18)&lt;=$BQ$16,$BP$16,""))))</f>
        <v/>
      </c>
    </row>
    <row r="90" spans="2:82" hidden="1" x14ac:dyDescent="0.45">
      <c r="B90" s="6"/>
      <c r="C90" s="9" t="str">
        <f>IF(CA90="","",CA90&amp;"-"&amp;TEXT(0+COUNTIF($CA$72:CA90,CA90),"000"))</f>
        <v/>
      </c>
      <c r="D90" s="9" t="str">
        <f>IF(AND($BN$13&lt;&gt;"",($BM$13+19)&lt;=$BO$13),$BN$13,"")</f>
        <v>1A-AA</v>
      </c>
      <c r="E90" s="9" t="str">
        <f>IF(AND($BN$13&lt;&gt;"",($BM$13+19)&lt;=$BO$13),TEXT(($BM$13+19),"00"),"")</f>
        <v>19</v>
      </c>
      <c r="F90" s="9" t="str">
        <f>IF(AND($BN$13&lt;&gt;"",($BM$13+19)&lt;=$BO$13),$BN$13&amp;"-"&amp;TEXT(($BM$13+19),"00"),"")</f>
        <v>1A-AA-19</v>
      </c>
      <c r="H90" s="6"/>
      <c r="I90" s="9" t="str">
        <f>IF(CB90="","",CB90&amp;"-"&amp;TEXT(COUNTIF($CA$72:$CA$95,CB90)+COUNTIF($CB$72:CB90,CB90),"000"))</f>
        <v/>
      </c>
      <c r="J90" s="9" t="str">
        <f>IF(AND($BN$14&lt;&gt;"",($BM$14+19)&lt;=$BO$14),$BN$14,"")</f>
        <v>1A-AB</v>
      </c>
      <c r="K90" s="9" t="str">
        <f>IF(AND($BN$14&lt;&gt;"",($BM$14+19)&lt;=$BO$14),TEXT(($BM$14+19),"00"),"")</f>
        <v>19</v>
      </c>
      <c r="L90" s="9" t="str">
        <f>IF(AND($BN$14&lt;&gt;"",($BM$14+19)&lt;=$BO$14),$BN$14&amp;"-"&amp;TEXT(($BM$14+19),"00"),"")</f>
        <v>1A-AB-19</v>
      </c>
      <c r="N90" s="6"/>
      <c r="O90" s="9" t="str">
        <f>IF(CC90="","",CC90&amp;"-"&amp;TEXT(COUNTIF($CA$72:$CA$95,CC90)+COUNTIF($CB$72:$CB$95,CC90)+COUNTIF($CC$72:CC90,CC90),"000"))</f>
        <v/>
      </c>
      <c r="P90" s="9" t="str">
        <f>IF(AND($BN$15&lt;&gt;"",($BM$15+19)&lt;=$BO$15),$BN$15,"")</f>
        <v>1A-AC</v>
      </c>
      <c r="Q90" s="9" t="str">
        <f>IF(AND($BN$15&lt;&gt;"",($BM$15+19)&lt;=$BO$15),TEXT(($BM$15+19),"00"),"")</f>
        <v>19</v>
      </c>
      <c r="R90" s="9" t="str">
        <f>IF(AND($BN$15&lt;&gt;"",($BM$15+19)&lt;=$BO$15),$BN$15&amp;"-"&amp;TEXT(($BM$15+19),"00"),"")</f>
        <v>1A-AC-19</v>
      </c>
      <c r="T90" s="6"/>
      <c r="U90" s="9" t="str">
        <f>IF(CD90="","",CD90&amp;"-"&amp;TEXT(COUNTIF($CA$72:$CA$95,CD90)+COUNTIF($CB$72:$CB$95,CD90)+COUNTIF($CC$72:$CC$95,CD90)+COUNTIF($CD$72:CD90,CD90),"000"))</f>
        <v/>
      </c>
      <c r="V90" s="9" t="str">
        <f>IF(AND($BN$16&lt;&gt;"",($BM$16+19)&lt;=$BO$16),$BN$16,"")</f>
        <v>1A-AD</v>
      </c>
      <c r="W90" s="9" t="str">
        <f>IF(AND($BN$16&lt;&gt;"",($BM$16+19)&lt;=$BO$16),TEXT(($BM$16+19),"00"),"")</f>
        <v>19</v>
      </c>
      <c r="X90" s="9" t="str">
        <f>IF(AND($BN$16&lt;&gt;"",($BM$16+19)&lt;=$BO$16),$BN$16&amp;"-"&amp;TEXT(($BM$16+19),"00"),"")</f>
        <v>1A-AD-19</v>
      </c>
      <c r="BA90">
        <f>IF(OR(Catalogo!$C90="",Catalogo!$B90="Espacio libre",Catalogo!$B90="Espacio reservado"),0,COUNTIF($C$13:$C$42,Catalogo!$C90)+IF($E$7=Catalogo!$C90,N($K$7),0)+IF($E$8=Catalogo!$C90,N($N$8),0)+IF(Proyecto!$D$12=Catalogo!$C90,$AQ$4,0)+SUMIF($C$49:$C$58,Catalogo!$C90,$K$49:$K$58))</f>
        <v>0</v>
      </c>
      <c r="CA90" t="str" cm="1">
        <f t="array" ref="CA90">IF(NOT(AND($BN$13&lt;&gt;"",($BM$13+19)&lt;=$BO$13)),"",IF(B90&lt;&gt;"",IF(B90="-","",B90),IF(ISNUMBER(SEARCH(":",$BP$13)),IFERROR(_xlfn.LET(_xlpm.s,_xlfn.TEXTSPLIT($BP$13,","),_xlpm.k,FIND(":",_xlpm.s),INDEX(TRIM(LEFT(_xlpm.s,_xlpm.k-1)),_xlfn.XMATCH(($BM$13+19),_xlfn.SCAN(0,--MID(_xlpm.s,_xlpm.k+1,9),_xlfn.LAMBDA(_xlpm.a,_xlpm.v,_xlpm.a+_xlpm.v)),1))),""),IF(($BM$13+19)&lt;=$BQ$13,$BP$13,""))))</f>
        <v/>
      </c>
      <c r="CB90" t="str" cm="1">
        <f t="array" ref="CB90">IF(NOT(AND($BN$14&lt;&gt;"",($BM$14+19)&lt;=$BO$14)),"",IF(H90&lt;&gt;"",IF(H90="-","",H90),IF(ISNUMBER(SEARCH(":",$BP$14)),IFERROR(_xlfn.LET(_xlpm.s,_xlfn.TEXTSPLIT($BP$14,","),_xlpm.k,FIND(":",_xlpm.s),INDEX(TRIM(LEFT(_xlpm.s,_xlpm.k-1)),_xlfn.XMATCH(($BM$14+19),_xlfn.SCAN(0,--MID(_xlpm.s,_xlpm.k+1,9),_xlfn.LAMBDA(_xlpm.a,_xlpm.v,_xlpm.a+_xlpm.v)),1))),""),IF(($BM$14+19)&lt;=$BQ$14,$BP$14,""))))</f>
        <v/>
      </c>
      <c r="CC90" t="str" cm="1">
        <f t="array" ref="CC90">IF(NOT(AND($BN$15&lt;&gt;"",($BM$15+19)&lt;=$BO$15)),"",IF(N90&lt;&gt;"",IF(N90="-","",N90),IF(ISNUMBER(SEARCH(":",$BP$15)),IFERROR(_xlfn.LET(_xlpm.s,_xlfn.TEXTSPLIT($BP$15,","),_xlpm.k,FIND(":",_xlpm.s),INDEX(TRIM(LEFT(_xlpm.s,_xlpm.k-1)),_xlfn.XMATCH(($BM$15+19),_xlfn.SCAN(0,--MID(_xlpm.s,_xlpm.k+1,9),_xlfn.LAMBDA(_xlpm.a,_xlpm.v,_xlpm.a+_xlpm.v)),1))),""),IF(($BM$15+19)&lt;=$BQ$15,$BP$15,""))))</f>
        <v/>
      </c>
      <c r="CD90" t="str" cm="1">
        <f t="array" ref="CD90">IF(NOT(AND($BN$16&lt;&gt;"",($BM$16+19)&lt;=$BO$16)),"",IF(T90&lt;&gt;"",IF(T90="-","",T90),IF(ISNUMBER(SEARCH(":",$BP$16)),IFERROR(_xlfn.LET(_xlpm.s,_xlfn.TEXTSPLIT($BP$16,","),_xlpm.k,FIND(":",_xlpm.s),INDEX(TRIM(LEFT(_xlpm.s,_xlpm.k-1)),_xlfn.XMATCH(($BM$16+19),_xlfn.SCAN(0,--MID(_xlpm.s,_xlpm.k+1,9),_xlfn.LAMBDA(_xlpm.a,_xlpm.v,_xlpm.a+_xlpm.v)),1))),""),IF(($BM$16+19)&lt;=$BQ$16,$BP$16,""))))</f>
        <v/>
      </c>
    </row>
    <row r="91" spans="2:82" hidden="1" x14ac:dyDescent="0.45">
      <c r="B91" s="6"/>
      <c r="C91" s="9" t="str">
        <f>IF(CA91="","",CA91&amp;"-"&amp;TEXT(0+COUNTIF($CA$72:CA91,CA91),"000"))</f>
        <v/>
      </c>
      <c r="D91" s="9" t="str">
        <f>IF(AND($BN$13&lt;&gt;"",($BM$13+20)&lt;=$BO$13),$BN$13,"")</f>
        <v>1A-AA</v>
      </c>
      <c r="E91" s="9" t="str">
        <f>IF(AND($BN$13&lt;&gt;"",($BM$13+20)&lt;=$BO$13),TEXT(($BM$13+20),"00"),"")</f>
        <v>20</v>
      </c>
      <c r="F91" s="9" t="str">
        <f>IF(AND($BN$13&lt;&gt;"",($BM$13+20)&lt;=$BO$13),$BN$13&amp;"-"&amp;TEXT(($BM$13+20),"00"),"")</f>
        <v>1A-AA-20</v>
      </c>
      <c r="H91" s="6"/>
      <c r="I91" s="9" t="str">
        <f>IF(CB91="","",CB91&amp;"-"&amp;TEXT(COUNTIF($CA$72:$CA$95,CB91)+COUNTIF($CB$72:CB91,CB91),"000"))</f>
        <v/>
      </c>
      <c r="J91" s="9" t="str">
        <f>IF(AND($BN$14&lt;&gt;"",($BM$14+20)&lt;=$BO$14),$BN$14,"")</f>
        <v>1A-AB</v>
      </c>
      <c r="K91" s="9" t="str">
        <f>IF(AND($BN$14&lt;&gt;"",($BM$14+20)&lt;=$BO$14),TEXT(($BM$14+20),"00"),"")</f>
        <v>20</v>
      </c>
      <c r="L91" s="9" t="str">
        <f>IF(AND($BN$14&lt;&gt;"",($BM$14+20)&lt;=$BO$14),$BN$14&amp;"-"&amp;TEXT(($BM$14+20),"00"),"")</f>
        <v>1A-AB-20</v>
      </c>
      <c r="N91" s="6"/>
      <c r="O91" s="9" t="str">
        <f>IF(CC91="","",CC91&amp;"-"&amp;TEXT(COUNTIF($CA$72:$CA$95,CC91)+COUNTIF($CB$72:$CB$95,CC91)+COUNTIF($CC$72:CC91,CC91),"000"))</f>
        <v/>
      </c>
      <c r="P91" s="9" t="str">
        <f>IF(AND($BN$15&lt;&gt;"",($BM$15+20)&lt;=$BO$15),$BN$15,"")</f>
        <v>1A-AC</v>
      </c>
      <c r="Q91" s="9" t="str">
        <f>IF(AND($BN$15&lt;&gt;"",($BM$15+20)&lt;=$BO$15),TEXT(($BM$15+20),"00"),"")</f>
        <v>20</v>
      </c>
      <c r="R91" s="9" t="str">
        <f>IF(AND($BN$15&lt;&gt;"",($BM$15+20)&lt;=$BO$15),$BN$15&amp;"-"&amp;TEXT(($BM$15+20),"00"),"")</f>
        <v>1A-AC-20</v>
      </c>
      <c r="T91" s="6"/>
      <c r="U91" s="9" t="str">
        <f>IF(CD91="","",CD91&amp;"-"&amp;TEXT(COUNTIF($CA$72:$CA$95,CD91)+COUNTIF($CB$72:$CB$95,CD91)+COUNTIF($CC$72:$CC$95,CD91)+COUNTIF($CD$72:CD91,CD91),"000"))</f>
        <v/>
      </c>
      <c r="V91" s="9" t="str">
        <f>IF(AND($BN$16&lt;&gt;"",($BM$16+20)&lt;=$BO$16),$BN$16,"")</f>
        <v>1A-AD</v>
      </c>
      <c r="W91" s="9" t="str">
        <f>IF(AND($BN$16&lt;&gt;"",($BM$16+20)&lt;=$BO$16),TEXT(($BM$16+20),"00"),"")</f>
        <v>20</v>
      </c>
      <c r="X91" s="9" t="str">
        <f>IF(AND($BN$16&lt;&gt;"",($BM$16+20)&lt;=$BO$16),$BN$16&amp;"-"&amp;TEXT(($BM$16+20),"00"),"")</f>
        <v>1A-AD-20</v>
      </c>
      <c r="BA91">
        <f>IF(OR(Catalogo!$C91="",Catalogo!$B91="Espacio libre",Catalogo!$B91="Espacio reservado"),0,COUNTIF($C$13:$C$42,Catalogo!$C91)+IF($E$7=Catalogo!$C91,N($K$7),0)+IF($E$8=Catalogo!$C91,N($N$8),0)+IF(Proyecto!$D$12=Catalogo!$C91,$AQ$4,0)+SUMIF($C$49:$C$58,Catalogo!$C91,$K$49:$K$58))</f>
        <v>0</v>
      </c>
      <c r="CA91" t="str" cm="1">
        <f t="array" ref="CA91">IF(NOT(AND($BN$13&lt;&gt;"",($BM$13+20)&lt;=$BO$13)),"",IF(B91&lt;&gt;"",IF(B91="-","",B91),IF(ISNUMBER(SEARCH(":",$BP$13)),IFERROR(_xlfn.LET(_xlpm.s,_xlfn.TEXTSPLIT($BP$13,","),_xlpm.k,FIND(":",_xlpm.s),INDEX(TRIM(LEFT(_xlpm.s,_xlpm.k-1)),_xlfn.XMATCH(($BM$13+20),_xlfn.SCAN(0,--MID(_xlpm.s,_xlpm.k+1,9),_xlfn.LAMBDA(_xlpm.a,_xlpm.v,_xlpm.a+_xlpm.v)),1))),""),IF(($BM$13+20)&lt;=$BQ$13,$BP$13,""))))</f>
        <v/>
      </c>
      <c r="CB91" t="str" cm="1">
        <f t="array" ref="CB91">IF(NOT(AND($BN$14&lt;&gt;"",($BM$14+20)&lt;=$BO$14)),"",IF(H91&lt;&gt;"",IF(H91="-","",H91),IF(ISNUMBER(SEARCH(":",$BP$14)),IFERROR(_xlfn.LET(_xlpm.s,_xlfn.TEXTSPLIT($BP$14,","),_xlpm.k,FIND(":",_xlpm.s),INDEX(TRIM(LEFT(_xlpm.s,_xlpm.k-1)),_xlfn.XMATCH(($BM$14+20),_xlfn.SCAN(0,--MID(_xlpm.s,_xlpm.k+1,9),_xlfn.LAMBDA(_xlpm.a,_xlpm.v,_xlpm.a+_xlpm.v)),1))),""),IF(($BM$14+20)&lt;=$BQ$14,$BP$14,""))))</f>
        <v/>
      </c>
      <c r="CC91" t="str" cm="1">
        <f t="array" ref="CC91">IF(NOT(AND($BN$15&lt;&gt;"",($BM$15+20)&lt;=$BO$15)),"",IF(N91&lt;&gt;"",IF(N91="-","",N91),IF(ISNUMBER(SEARCH(":",$BP$15)),IFERROR(_xlfn.LET(_xlpm.s,_xlfn.TEXTSPLIT($BP$15,","),_xlpm.k,FIND(":",_xlpm.s),INDEX(TRIM(LEFT(_xlpm.s,_xlpm.k-1)),_xlfn.XMATCH(($BM$15+20),_xlfn.SCAN(0,--MID(_xlpm.s,_xlpm.k+1,9),_xlfn.LAMBDA(_xlpm.a,_xlpm.v,_xlpm.a+_xlpm.v)),1))),""),IF(($BM$15+20)&lt;=$BQ$15,$BP$15,""))))</f>
        <v/>
      </c>
      <c r="CD91" t="str" cm="1">
        <f t="array" ref="CD91">IF(NOT(AND($BN$16&lt;&gt;"",($BM$16+20)&lt;=$BO$16)),"",IF(T91&lt;&gt;"",IF(T91="-","",T91),IF(ISNUMBER(SEARCH(":",$BP$16)),IFERROR(_xlfn.LET(_xlpm.s,_xlfn.TEXTSPLIT($BP$16,","),_xlpm.k,FIND(":",_xlpm.s),INDEX(TRIM(LEFT(_xlpm.s,_xlpm.k-1)),_xlfn.XMATCH(($BM$16+20),_xlfn.SCAN(0,--MID(_xlpm.s,_xlpm.k+1,9),_xlfn.LAMBDA(_xlpm.a,_xlpm.v,_xlpm.a+_xlpm.v)),1))),""),IF(($BM$16+20)&lt;=$BQ$16,$BP$16,""))))</f>
        <v/>
      </c>
    </row>
    <row r="92" spans="2:82" hidden="1" x14ac:dyDescent="0.45">
      <c r="B92" s="6"/>
      <c r="C92" s="9" t="str">
        <f>IF(CA92="","",CA92&amp;"-"&amp;TEXT(0+COUNTIF($CA$72:CA92,CA92),"000"))</f>
        <v/>
      </c>
      <c r="D92" s="9" t="str">
        <f>IF(AND($BN$13&lt;&gt;"",($BM$13+21)&lt;=$BO$13),$BN$13,"")</f>
        <v>1A-AA</v>
      </c>
      <c r="E92" s="9" t="str">
        <f>IF(AND($BN$13&lt;&gt;"",($BM$13+21)&lt;=$BO$13),TEXT(($BM$13+21),"00"),"")</f>
        <v>21</v>
      </c>
      <c r="F92" s="9" t="str">
        <f>IF(AND($BN$13&lt;&gt;"",($BM$13+21)&lt;=$BO$13),$BN$13&amp;"-"&amp;TEXT(($BM$13+21),"00"),"")</f>
        <v>1A-AA-21</v>
      </c>
      <c r="H92" s="6"/>
      <c r="I92" s="9" t="str">
        <f>IF(CB92="","",CB92&amp;"-"&amp;TEXT(COUNTIF($CA$72:$CA$95,CB92)+COUNTIF($CB$72:CB92,CB92),"000"))</f>
        <v/>
      </c>
      <c r="J92" s="9" t="str">
        <f>IF(AND($BN$14&lt;&gt;"",($BM$14+21)&lt;=$BO$14),$BN$14,"")</f>
        <v>1A-AB</v>
      </c>
      <c r="K92" s="9" t="str">
        <f>IF(AND($BN$14&lt;&gt;"",($BM$14+21)&lt;=$BO$14),TEXT(($BM$14+21),"00"),"")</f>
        <v>21</v>
      </c>
      <c r="L92" s="9" t="str">
        <f>IF(AND($BN$14&lt;&gt;"",($BM$14+21)&lt;=$BO$14),$BN$14&amp;"-"&amp;TEXT(($BM$14+21),"00"),"")</f>
        <v>1A-AB-21</v>
      </c>
      <c r="N92" s="6"/>
      <c r="O92" s="9" t="str">
        <f>IF(CC92="","",CC92&amp;"-"&amp;TEXT(COUNTIF($CA$72:$CA$95,CC92)+COUNTIF($CB$72:$CB$95,CC92)+COUNTIF($CC$72:CC92,CC92),"000"))</f>
        <v/>
      </c>
      <c r="P92" s="9" t="str">
        <f>IF(AND($BN$15&lt;&gt;"",($BM$15+21)&lt;=$BO$15),$BN$15,"")</f>
        <v>1A-AC</v>
      </c>
      <c r="Q92" s="9" t="str">
        <f>IF(AND($BN$15&lt;&gt;"",($BM$15+21)&lt;=$BO$15),TEXT(($BM$15+21),"00"),"")</f>
        <v>21</v>
      </c>
      <c r="R92" s="9" t="str">
        <f>IF(AND($BN$15&lt;&gt;"",($BM$15+21)&lt;=$BO$15),$BN$15&amp;"-"&amp;TEXT(($BM$15+21),"00"),"")</f>
        <v>1A-AC-21</v>
      </c>
      <c r="T92" s="6"/>
      <c r="U92" s="9" t="str">
        <f>IF(CD92="","",CD92&amp;"-"&amp;TEXT(COUNTIF($CA$72:$CA$95,CD92)+COUNTIF($CB$72:$CB$95,CD92)+COUNTIF($CC$72:$CC$95,CD92)+COUNTIF($CD$72:CD92,CD92),"000"))</f>
        <v/>
      </c>
      <c r="V92" s="9" t="str">
        <f>IF(AND($BN$16&lt;&gt;"",($BM$16+21)&lt;=$BO$16),$BN$16,"")</f>
        <v>1A-AD</v>
      </c>
      <c r="W92" s="9" t="str">
        <f>IF(AND($BN$16&lt;&gt;"",($BM$16+21)&lt;=$BO$16),TEXT(($BM$16+21),"00"),"")</f>
        <v>21</v>
      </c>
      <c r="X92" s="9" t="str">
        <f>IF(AND($BN$16&lt;&gt;"",($BM$16+21)&lt;=$BO$16),$BN$16&amp;"-"&amp;TEXT(($BM$16+21),"00"),"")</f>
        <v>1A-AD-21</v>
      </c>
      <c r="BA92">
        <f>IF(OR(Catalogo!$C92="",Catalogo!$B92="Espacio libre",Catalogo!$B92="Espacio reservado"),0,COUNTIF($C$13:$C$42,Catalogo!$C92)+IF($E$7=Catalogo!$C92,N($K$7),0)+IF($E$8=Catalogo!$C92,N($N$8),0)+IF(Proyecto!$D$12=Catalogo!$C92,$AQ$4,0)+SUMIF($C$49:$C$58,Catalogo!$C92,$K$49:$K$58))</f>
        <v>0</v>
      </c>
      <c r="CA92" t="str" cm="1">
        <f t="array" ref="CA92">IF(NOT(AND($BN$13&lt;&gt;"",($BM$13+21)&lt;=$BO$13)),"",IF(B92&lt;&gt;"",IF(B92="-","",B92),IF(ISNUMBER(SEARCH(":",$BP$13)),IFERROR(_xlfn.LET(_xlpm.s,_xlfn.TEXTSPLIT($BP$13,","),_xlpm.k,FIND(":",_xlpm.s),INDEX(TRIM(LEFT(_xlpm.s,_xlpm.k-1)),_xlfn.XMATCH(($BM$13+21),_xlfn.SCAN(0,--MID(_xlpm.s,_xlpm.k+1,9),_xlfn.LAMBDA(_xlpm.a,_xlpm.v,_xlpm.a+_xlpm.v)),1))),""),IF(($BM$13+21)&lt;=$BQ$13,$BP$13,""))))</f>
        <v/>
      </c>
      <c r="CB92" t="str" cm="1">
        <f t="array" ref="CB92">IF(NOT(AND($BN$14&lt;&gt;"",($BM$14+21)&lt;=$BO$14)),"",IF(H92&lt;&gt;"",IF(H92="-","",H92),IF(ISNUMBER(SEARCH(":",$BP$14)),IFERROR(_xlfn.LET(_xlpm.s,_xlfn.TEXTSPLIT($BP$14,","),_xlpm.k,FIND(":",_xlpm.s),INDEX(TRIM(LEFT(_xlpm.s,_xlpm.k-1)),_xlfn.XMATCH(($BM$14+21),_xlfn.SCAN(0,--MID(_xlpm.s,_xlpm.k+1,9),_xlfn.LAMBDA(_xlpm.a,_xlpm.v,_xlpm.a+_xlpm.v)),1))),""),IF(($BM$14+21)&lt;=$BQ$14,$BP$14,""))))</f>
        <v/>
      </c>
      <c r="CC92" t="str" cm="1">
        <f t="array" ref="CC92">IF(NOT(AND($BN$15&lt;&gt;"",($BM$15+21)&lt;=$BO$15)),"",IF(N92&lt;&gt;"",IF(N92="-","",N92),IF(ISNUMBER(SEARCH(":",$BP$15)),IFERROR(_xlfn.LET(_xlpm.s,_xlfn.TEXTSPLIT($BP$15,","),_xlpm.k,FIND(":",_xlpm.s),INDEX(TRIM(LEFT(_xlpm.s,_xlpm.k-1)),_xlfn.XMATCH(($BM$15+21),_xlfn.SCAN(0,--MID(_xlpm.s,_xlpm.k+1,9),_xlfn.LAMBDA(_xlpm.a,_xlpm.v,_xlpm.a+_xlpm.v)),1))),""),IF(($BM$15+21)&lt;=$BQ$15,$BP$15,""))))</f>
        <v/>
      </c>
      <c r="CD92" t="str" cm="1">
        <f t="array" ref="CD92">IF(NOT(AND($BN$16&lt;&gt;"",($BM$16+21)&lt;=$BO$16)),"",IF(T92&lt;&gt;"",IF(T92="-","",T92),IF(ISNUMBER(SEARCH(":",$BP$16)),IFERROR(_xlfn.LET(_xlpm.s,_xlfn.TEXTSPLIT($BP$16,","),_xlpm.k,FIND(":",_xlpm.s),INDEX(TRIM(LEFT(_xlpm.s,_xlpm.k-1)),_xlfn.XMATCH(($BM$16+21),_xlfn.SCAN(0,--MID(_xlpm.s,_xlpm.k+1,9),_xlfn.LAMBDA(_xlpm.a,_xlpm.v,_xlpm.a+_xlpm.v)),1))),""),IF(($BM$16+21)&lt;=$BQ$16,$BP$16,""))))</f>
        <v/>
      </c>
    </row>
    <row r="93" spans="2:82" hidden="1" x14ac:dyDescent="0.45">
      <c r="B93" s="6"/>
      <c r="C93" s="9" t="str">
        <f>IF(CA93="","",CA93&amp;"-"&amp;TEXT(0+COUNTIF($CA$72:CA93,CA93),"000"))</f>
        <v/>
      </c>
      <c r="D93" s="9" t="str">
        <f>IF(AND($BN$13&lt;&gt;"",($BM$13+22)&lt;=$BO$13),$BN$13,"")</f>
        <v>1A-AA</v>
      </c>
      <c r="E93" s="9" t="str">
        <f>IF(AND($BN$13&lt;&gt;"",($BM$13+22)&lt;=$BO$13),TEXT(($BM$13+22),"00"),"")</f>
        <v>22</v>
      </c>
      <c r="F93" s="9" t="str">
        <f>IF(AND($BN$13&lt;&gt;"",($BM$13+22)&lt;=$BO$13),$BN$13&amp;"-"&amp;TEXT(($BM$13+22),"00"),"")</f>
        <v>1A-AA-22</v>
      </c>
      <c r="H93" s="6"/>
      <c r="I93" s="9" t="str">
        <f>IF(CB93="","",CB93&amp;"-"&amp;TEXT(COUNTIF($CA$72:$CA$95,CB93)+COUNTIF($CB$72:CB93,CB93),"000"))</f>
        <v/>
      </c>
      <c r="J93" s="9" t="str">
        <f>IF(AND($BN$14&lt;&gt;"",($BM$14+22)&lt;=$BO$14),$BN$14,"")</f>
        <v>1A-AB</v>
      </c>
      <c r="K93" s="9" t="str">
        <f>IF(AND($BN$14&lt;&gt;"",($BM$14+22)&lt;=$BO$14),TEXT(($BM$14+22),"00"),"")</f>
        <v>22</v>
      </c>
      <c r="L93" s="9" t="str">
        <f>IF(AND($BN$14&lt;&gt;"",($BM$14+22)&lt;=$BO$14),$BN$14&amp;"-"&amp;TEXT(($BM$14+22),"00"),"")</f>
        <v>1A-AB-22</v>
      </c>
      <c r="N93" s="6"/>
      <c r="O93" s="9" t="str">
        <f>IF(CC93="","",CC93&amp;"-"&amp;TEXT(COUNTIF($CA$72:$CA$95,CC93)+COUNTIF($CB$72:$CB$95,CC93)+COUNTIF($CC$72:CC93,CC93),"000"))</f>
        <v/>
      </c>
      <c r="P93" s="9" t="str">
        <f>IF(AND($BN$15&lt;&gt;"",($BM$15+22)&lt;=$BO$15),$BN$15,"")</f>
        <v>1A-AC</v>
      </c>
      <c r="Q93" s="9" t="str">
        <f>IF(AND($BN$15&lt;&gt;"",($BM$15+22)&lt;=$BO$15),TEXT(($BM$15+22),"00"),"")</f>
        <v>22</v>
      </c>
      <c r="R93" s="9" t="str">
        <f>IF(AND($BN$15&lt;&gt;"",($BM$15+22)&lt;=$BO$15),$BN$15&amp;"-"&amp;TEXT(($BM$15+22),"00"),"")</f>
        <v>1A-AC-22</v>
      </c>
      <c r="T93" s="6"/>
      <c r="U93" s="9" t="str">
        <f>IF(CD93="","",CD93&amp;"-"&amp;TEXT(COUNTIF($CA$72:$CA$95,CD93)+COUNTIF($CB$72:$CB$95,CD93)+COUNTIF($CC$72:$CC$95,CD93)+COUNTIF($CD$72:CD93,CD93),"000"))</f>
        <v/>
      </c>
      <c r="V93" s="9" t="str">
        <f>IF(AND($BN$16&lt;&gt;"",($BM$16+22)&lt;=$BO$16),$BN$16,"")</f>
        <v>1A-AD</v>
      </c>
      <c r="W93" s="9" t="str">
        <f>IF(AND($BN$16&lt;&gt;"",($BM$16+22)&lt;=$BO$16),TEXT(($BM$16+22),"00"),"")</f>
        <v>22</v>
      </c>
      <c r="X93" s="9" t="str">
        <f>IF(AND($BN$16&lt;&gt;"",($BM$16+22)&lt;=$BO$16),$BN$16&amp;"-"&amp;TEXT(($BM$16+22),"00"),"")</f>
        <v>1A-AD-22</v>
      </c>
      <c r="BA93">
        <f>IF(OR(Catalogo!$C93="",Catalogo!$B93="Espacio libre",Catalogo!$B93="Espacio reservado"),0,COUNTIF($C$13:$C$42,Catalogo!$C93)+IF($E$7=Catalogo!$C93,N($K$7),0)+IF($E$8=Catalogo!$C93,N($N$8),0)+IF(Proyecto!$D$12=Catalogo!$C93,$AQ$4,0)+SUMIF($C$49:$C$58,Catalogo!$C93,$K$49:$K$58))</f>
        <v>0</v>
      </c>
      <c r="CA93" t="str" cm="1">
        <f t="array" ref="CA93">IF(NOT(AND($BN$13&lt;&gt;"",($BM$13+22)&lt;=$BO$13)),"",IF(B93&lt;&gt;"",IF(B93="-","",B93),IF(ISNUMBER(SEARCH(":",$BP$13)),IFERROR(_xlfn.LET(_xlpm.s,_xlfn.TEXTSPLIT($BP$13,","),_xlpm.k,FIND(":",_xlpm.s),INDEX(TRIM(LEFT(_xlpm.s,_xlpm.k-1)),_xlfn.XMATCH(($BM$13+22),_xlfn.SCAN(0,--MID(_xlpm.s,_xlpm.k+1,9),_xlfn.LAMBDA(_xlpm.a,_xlpm.v,_xlpm.a+_xlpm.v)),1))),""),IF(($BM$13+22)&lt;=$BQ$13,$BP$13,""))))</f>
        <v/>
      </c>
      <c r="CB93" t="str" cm="1">
        <f t="array" ref="CB93">IF(NOT(AND($BN$14&lt;&gt;"",($BM$14+22)&lt;=$BO$14)),"",IF(H93&lt;&gt;"",IF(H93="-","",H93),IF(ISNUMBER(SEARCH(":",$BP$14)),IFERROR(_xlfn.LET(_xlpm.s,_xlfn.TEXTSPLIT($BP$14,","),_xlpm.k,FIND(":",_xlpm.s),INDEX(TRIM(LEFT(_xlpm.s,_xlpm.k-1)),_xlfn.XMATCH(($BM$14+22),_xlfn.SCAN(0,--MID(_xlpm.s,_xlpm.k+1,9),_xlfn.LAMBDA(_xlpm.a,_xlpm.v,_xlpm.a+_xlpm.v)),1))),""),IF(($BM$14+22)&lt;=$BQ$14,$BP$14,""))))</f>
        <v/>
      </c>
      <c r="CC93" t="str" cm="1">
        <f t="array" ref="CC93">IF(NOT(AND($BN$15&lt;&gt;"",($BM$15+22)&lt;=$BO$15)),"",IF(N93&lt;&gt;"",IF(N93="-","",N93),IF(ISNUMBER(SEARCH(":",$BP$15)),IFERROR(_xlfn.LET(_xlpm.s,_xlfn.TEXTSPLIT($BP$15,","),_xlpm.k,FIND(":",_xlpm.s),INDEX(TRIM(LEFT(_xlpm.s,_xlpm.k-1)),_xlfn.XMATCH(($BM$15+22),_xlfn.SCAN(0,--MID(_xlpm.s,_xlpm.k+1,9),_xlfn.LAMBDA(_xlpm.a,_xlpm.v,_xlpm.a+_xlpm.v)),1))),""),IF(($BM$15+22)&lt;=$BQ$15,$BP$15,""))))</f>
        <v/>
      </c>
      <c r="CD93" t="str" cm="1">
        <f t="array" ref="CD93">IF(NOT(AND($BN$16&lt;&gt;"",($BM$16+22)&lt;=$BO$16)),"",IF(T93&lt;&gt;"",IF(T93="-","",T93),IF(ISNUMBER(SEARCH(":",$BP$16)),IFERROR(_xlfn.LET(_xlpm.s,_xlfn.TEXTSPLIT($BP$16,","),_xlpm.k,FIND(":",_xlpm.s),INDEX(TRIM(LEFT(_xlpm.s,_xlpm.k-1)),_xlfn.XMATCH(($BM$16+22),_xlfn.SCAN(0,--MID(_xlpm.s,_xlpm.k+1,9),_xlfn.LAMBDA(_xlpm.a,_xlpm.v,_xlpm.a+_xlpm.v)),1))),""),IF(($BM$16+22)&lt;=$BQ$16,$BP$16,""))))</f>
        <v/>
      </c>
    </row>
    <row r="94" spans="2:82" hidden="1" x14ac:dyDescent="0.45">
      <c r="B94" s="6"/>
      <c r="C94" s="9" t="str">
        <f>IF(CA94="","",CA94&amp;"-"&amp;TEXT(0+COUNTIF($CA$72:CA94,CA94),"000"))</f>
        <v/>
      </c>
      <c r="D94" s="9" t="str">
        <f>IF(AND($BN$13&lt;&gt;"",($BM$13+23)&lt;=$BO$13),$BN$13,"")</f>
        <v>1A-AA</v>
      </c>
      <c r="E94" s="9" t="str">
        <f>IF(AND($BN$13&lt;&gt;"",($BM$13+23)&lt;=$BO$13),TEXT(($BM$13+23),"00"),"")</f>
        <v>23</v>
      </c>
      <c r="F94" s="9" t="str">
        <f>IF(AND($BN$13&lt;&gt;"",($BM$13+23)&lt;=$BO$13),$BN$13&amp;"-"&amp;TEXT(($BM$13+23),"00"),"")</f>
        <v>1A-AA-23</v>
      </c>
      <c r="H94" s="6"/>
      <c r="I94" s="9" t="str">
        <f>IF(CB94="","",CB94&amp;"-"&amp;TEXT(COUNTIF($CA$72:$CA$95,CB94)+COUNTIF($CB$72:CB94,CB94),"000"))</f>
        <v/>
      </c>
      <c r="J94" s="9" t="str">
        <f>IF(AND($BN$14&lt;&gt;"",($BM$14+23)&lt;=$BO$14),$BN$14,"")</f>
        <v>1A-AB</v>
      </c>
      <c r="K94" s="9" t="str">
        <f>IF(AND($BN$14&lt;&gt;"",($BM$14+23)&lt;=$BO$14),TEXT(($BM$14+23),"00"),"")</f>
        <v>23</v>
      </c>
      <c r="L94" s="9" t="str">
        <f>IF(AND($BN$14&lt;&gt;"",($BM$14+23)&lt;=$BO$14),$BN$14&amp;"-"&amp;TEXT(($BM$14+23),"00"),"")</f>
        <v>1A-AB-23</v>
      </c>
      <c r="N94" s="6"/>
      <c r="O94" s="9" t="str">
        <f>IF(CC94="","",CC94&amp;"-"&amp;TEXT(COUNTIF($CA$72:$CA$95,CC94)+COUNTIF($CB$72:$CB$95,CC94)+COUNTIF($CC$72:CC94,CC94),"000"))</f>
        <v/>
      </c>
      <c r="P94" s="9" t="str">
        <f>IF(AND($BN$15&lt;&gt;"",($BM$15+23)&lt;=$BO$15),$BN$15,"")</f>
        <v>1A-AC</v>
      </c>
      <c r="Q94" s="9" t="str">
        <f>IF(AND($BN$15&lt;&gt;"",($BM$15+23)&lt;=$BO$15),TEXT(($BM$15+23),"00"),"")</f>
        <v>23</v>
      </c>
      <c r="R94" s="9" t="str">
        <f>IF(AND($BN$15&lt;&gt;"",($BM$15+23)&lt;=$BO$15),$BN$15&amp;"-"&amp;TEXT(($BM$15+23),"00"),"")</f>
        <v>1A-AC-23</v>
      </c>
      <c r="T94" s="6"/>
      <c r="U94" s="9" t="str">
        <f>IF(CD94="","",CD94&amp;"-"&amp;TEXT(COUNTIF($CA$72:$CA$95,CD94)+COUNTIF($CB$72:$CB$95,CD94)+COUNTIF($CC$72:$CC$95,CD94)+COUNTIF($CD$72:CD94,CD94),"000"))</f>
        <v/>
      </c>
      <c r="V94" s="9" t="str">
        <f>IF(AND($BN$16&lt;&gt;"",($BM$16+23)&lt;=$BO$16),$BN$16,"")</f>
        <v>1A-AD</v>
      </c>
      <c r="W94" s="9" t="str">
        <f>IF(AND($BN$16&lt;&gt;"",($BM$16+23)&lt;=$BO$16),TEXT(($BM$16+23),"00"),"")</f>
        <v>23</v>
      </c>
      <c r="X94" s="9" t="str">
        <f>IF(AND($BN$16&lt;&gt;"",($BM$16+23)&lt;=$BO$16),$BN$16&amp;"-"&amp;TEXT(($BM$16+23),"00"),"")</f>
        <v>1A-AD-23</v>
      </c>
      <c r="BA94">
        <f>IF(OR(Catalogo!$C94="",Catalogo!$B94="Espacio libre",Catalogo!$B94="Espacio reservado"),0,COUNTIF($C$13:$C$42,Catalogo!$C94)+IF($E$7=Catalogo!$C94,N($K$7),0)+IF($E$8=Catalogo!$C94,N($N$8),0)+IF(Proyecto!$D$12=Catalogo!$C94,$AQ$4,0)+SUMIF($C$49:$C$58,Catalogo!$C94,$K$49:$K$58))</f>
        <v>0</v>
      </c>
      <c r="CA94" t="str" cm="1">
        <f t="array" ref="CA94">IF(NOT(AND($BN$13&lt;&gt;"",($BM$13+23)&lt;=$BO$13)),"",IF(B94&lt;&gt;"",IF(B94="-","",B94),IF(ISNUMBER(SEARCH(":",$BP$13)),IFERROR(_xlfn.LET(_xlpm.s,_xlfn.TEXTSPLIT($BP$13,","),_xlpm.k,FIND(":",_xlpm.s),INDEX(TRIM(LEFT(_xlpm.s,_xlpm.k-1)),_xlfn.XMATCH(($BM$13+23),_xlfn.SCAN(0,--MID(_xlpm.s,_xlpm.k+1,9),_xlfn.LAMBDA(_xlpm.a,_xlpm.v,_xlpm.a+_xlpm.v)),1))),""),IF(($BM$13+23)&lt;=$BQ$13,$BP$13,""))))</f>
        <v/>
      </c>
      <c r="CB94" t="str" cm="1">
        <f t="array" ref="CB94">IF(NOT(AND($BN$14&lt;&gt;"",($BM$14+23)&lt;=$BO$14)),"",IF(H94&lt;&gt;"",IF(H94="-","",H94),IF(ISNUMBER(SEARCH(":",$BP$14)),IFERROR(_xlfn.LET(_xlpm.s,_xlfn.TEXTSPLIT($BP$14,","),_xlpm.k,FIND(":",_xlpm.s),INDEX(TRIM(LEFT(_xlpm.s,_xlpm.k-1)),_xlfn.XMATCH(($BM$14+23),_xlfn.SCAN(0,--MID(_xlpm.s,_xlpm.k+1,9),_xlfn.LAMBDA(_xlpm.a,_xlpm.v,_xlpm.a+_xlpm.v)),1))),""),IF(($BM$14+23)&lt;=$BQ$14,$BP$14,""))))</f>
        <v/>
      </c>
      <c r="CC94" t="str" cm="1">
        <f t="array" ref="CC94">IF(NOT(AND($BN$15&lt;&gt;"",($BM$15+23)&lt;=$BO$15)),"",IF(N94&lt;&gt;"",IF(N94="-","",N94),IF(ISNUMBER(SEARCH(":",$BP$15)),IFERROR(_xlfn.LET(_xlpm.s,_xlfn.TEXTSPLIT($BP$15,","),_xlpm.k,FIND(":",_xlpm.s),INDEX(TRIM(LEFT(_xlpm.s,_xlpm.k-1)),_xlfn.XMATCH(($BM$15+23),_xlfn.SCAN(0,--MID(_xlpm.s,_xlpm.k+1,9),_xlfn.LAMBDA(_xlpm.a,_xlpm.v,_xlpm.a+_xlpm.v)),1))),""),IF(($BM$15+23)&lt;=$BQ$15,$BP$15,""))))</f>
        <v/>
      </c>
      <c r="CD94" t="str" cm="1">
        <f t="array" ref="CD94">IF(NOT(AND($BN$16&lt;&gt;"",($BM$16+23)&lt;=$BO$16)),"",IF(T94&lt;&gt;"",IF(T94="-","",T94),IF(ISNUMBER(SEARCH(":",$BP$16)),IFERROR(_xlfn.LET(_xlpm.s,_xlfn.TEXTSPLIT($BP$16,","),_xlpm.k,FIND(":",_xlpm.s),INDEX(TRIM(LEFT(_xlpm.s,_xlpm.k-1)),_xlfn.XMATCH(($BM$16+23),_xlfn.SCAN(0,--MID(_xlpm.s,_xlpm.k+1,9),_xlfn.LAMBDA(_xlpm.a,_xlpm.v,_xlpm.a+_xlpm.v)),1))),""),IF(($BM$16+23)&lt;=$BQ$16,$BP$16,""))))</f>
        <v/>
      </c>
    </row>
    <row r="95" spans="2:82" hidden="1" x14ac:dyDescent="0.45">
      <c r="B95" s="6"/>
      <c r="C95" s="9" t="str">
        <f>IF(CA95="","",CA95&amp;"-"&amp;TEXT(0+COUNTIF($CA$72:CA95,CA95),"000"))</f>
        <v/>
      </c>
      <c r="D95" s="9" t="str">
        <f>IF(AND($BN$13&lt;&gt;"",($BM$13+24)&lt;=$BO$13),$BN$13,"")</f>
        <v>1A-AA</v>
      </c>
      <c r="E95" s="9" t="str">
        <f>IF(AND($BN$13&lt;&gt;"",($BM$13+24)&lt;=$BO$13),TEXT(($BM$13+24),"00"),"")</f>
        <v>24</v>
      </c>
      <c r="F95" s="9" t="str">
        <f>IF(AND($BN$13&lt;&gt;"",($BM$13+24)&lt;=$BO$13),$BN$13&amp;"-"&amp;TEXT(($BM$13+24),"00"),"")</f>
        <v>1A-AA-24</v>
      </c>
      <c r="H95" s="6"/>
      <c r="I95" s="9" t="str">
        <f>IF(CB95="","",CB95&amp;"-"&amp;TEXT(COUNTIF($CA$72:$CA$95,CB95)+COUNTIF($CB$72:CB95,CB95),"000"))</f>
        <v/>
      </c>
      <c r="J95" s="9" t="str">
        <f>IF(AND($BN$14&lt;&gt;"",($BM$14+24)&lt;=$BO$14),$BN$14,"")</f>
        <v>1A-AB</v>
      </c>
      <c r="K95" s="9" t="str">
        <f>IF(AND($BN$14&lt;&gt;"",($BM$14+24)&lt;=$BO$14),TEXT(($BM$14+24),"00"),"")</f>
        <v>24</v>
      </c>
      <c r="L95" s="9" t="str">
        <f>IF(AND($BN$14&lt;&gt;"",($BM$14+24)&lt;=$BO$14),$BN$14&amp;"-"&amp;TEXT(($BM$14+24),"00"),"")</f>
        <v>1A-AB-24</v>
      </c>
      <c r="N95" s="6"/>
      <c r="O95" s="9" t="str">
        <f>IF(CC95="","",CC95&amp;"-"&amp;TEXT(COUNTIF($CA$72:$CA$95,CC95)+COUNTIF($CB$72:$CB$95,CC95)+COUNTIF($CC$72:CC95,CC95),"000"))</f>
        <v/>
      </c>
      <c r="P95" s="9" t="str">
        <f>IF(AND($BN$15&lt;&gt;"",($BM$15+24)&lt;=$BO$15),$BN$15,"")</f>
        <v>1A-AC</v>
      </c>
      <c r="Q95" s="9" t="str">
        <f>IF(AND($BN$15&lt;&gt;"",($BM$15+24)&lt;=$BO$15),TEXT(($BM$15+24),"00"),"")</f>
        <v>24</v>
      </c>
      <c r="R95" s="9" t="str">
        <f>IF(AND($BN$15&lt;&gt;"",($BM$15+24)&lt;=$BO$15),$BN$15&amp;"-"&amp;TEXT(($BM$15+24),"00"),"")</f>
        <v>1A-AC-24</v>
      </c>
      <c r="T95" s="6"/>
      <c r="U95" s="9" t="str">
        <f>IF(CD95="","",CD95&amp;"-"&amp;TEXT(COUNTIF($CA$72:$CA$95,CD95)+COUNTIF($CB$72:$CB$95,CD95)+COUNTIF($CC$72:$CC$95,CD95)+COUNTIF($CD$72:CD95,CD95),"000"))</f>
        <v/>
      </c>
      <c r="V95" s="9" t="str">
        <f>IF(AND($BN$16&lt;&gt;"",($BM$16+24)&lt;=$BO$16),$BN$16,"")</f>
        <v>1A-AD</v>
      </c>
      <c r="W95" s="9" t="str">
        <f>IF(AND($BN$16&lt;&gt;"",($BM$16+24)&lt;=$BO$16),TEXT(($BM$16+24),"00"),"")</f>
        <v>24</v>
      </c>
      <c r="X95" s="9" t="str">
        <f>IF(AND($BN$16&lt;&gt;"",($BM$16+24)&lt;=$BO$16),$BN$16&amp;"-"&amp;TEXT(($BM$16+24),"00"),"")</f>
        <v>1A-AD-24</v>
      </c>
      <c r="BA95">
        <f>IF(OR(Catalogo!$C95="",Catalogo!$B95="Espacio libre",Catalogo!$B95="Espacio reservado"),0,COUNTIF($C$13:$C$42,Catalogo!$C95)+IF($E$7=Catalogo!$C95,N($K$7),0)+IF($E$8=Catalogo!$C95,N($N$8),0)+IF(Proyecto!$D$12=Catalogo!$C95,$AQ$4,0)+SUMIF($C$49:$C$58,Catalogo!$C95,$K$49:$K$58))</f>
        <v>1</v>
      </c>
      <c r="CA95" t="str" cm="1">
        <f t="array" ref="CA95">IF(NOT(AND($BN$13&lt;&gt;"",($BM$13+24)&lt;=$BO$13)),"",IF(B95&lt;&gt;"",IF(B95="-","",B95),IF(ISNUMBER(SEARCH(":",$BP$13)),IFERROR(_xlfn.LET(_xlpm.s,_xlfn.TEXTSPLIT($BP$13,","),_xlpm.k,FIND(":",_xlpm.s),INDEX(TRIM(LEFT(_xlpm.s,_xlpm.k-1)),_xlfn.XMATCH(($BM$13+24),_xlfn.SCAN(0,--MID(_xlpm.s,_xlpm.k+1,9),_xlfn.LAMBDA(_xlpm.a,_xlpm.v,_xlpm.a+_xlpm.v)),1))),""),IF(($BM$13+24)&lt;=$BQ$13,$BP$13,""))))</f>
        <v/>
      </c>
      <c r="CB95" t="str" cm="1">
        <f t="array" ref="CB95">IF(NOT(AND($BN$14&lt;&gt;"",($BM$14+24)&lt;=$BO$14)),"",IF(H95&lt;&gt;"",IF(H95="-","",H95),IF(ISNUMBER(SEARCH(":",$BP$14)),IFERROR(_xlfn.LET(_xlpm.s,_xlfn.TEXTSPLIT($BP$14,","),_xlpm.k,FIND(":",_xlpm.s),INDEX(TRIM(LEFT(_xlpm.s,_xlpm.k-1)),_xlfn.XMATCH(($BM$14+24),_xlfn.SCAN(0,--MID(_xlpm.s,_xlpm.k+1,9),_xlfn.LAMBDA(_xlpm.a,_xlpm.v,_xlpm.a+_xlpm.v)),1))),""),IF(($BM$14+24)&lt;=$BQ$14,$BP$14,""))))</f>
        <v/>
      </c>
      <c r="CC95" t="str" cm="1">
        <f t="array" ref="CC95">IF(NOT(AND($BN$15&lt;&gt;"",($BM$15+24)&lt;=$BO$15)),"",IF(N95&lt;&gt;"",IF(N95="-","",N95),IF(ISNUMBER(SEARCH(":",$BP$15)),IFERROR(_xlfn.LET(_xlpm.s,_xlfn.TEXTSPLIT($BP$15,","),_xlpm.k,FIND(":",_xlpm.s),INDEX(TRIM(LEFT(_xlpm.s,_xlpm.k-1)),_xlfn.XMATCH(($BM$15+24),_xlfn.SCAN(0,--MID(_xlpm.s,_xlpm.k+1,9),_xlfn.LAMBDA(_xlpm.a,_xlpm.v,_xlpm.a+_xlpm.v)),1))),""),IF(($BM$15+24)&lt;=$BQ$15,$BP$15,""))))</f>
        <v/>
      </c>
      <c r="CD95" t="str" cm="1">
        <f t="array" ref="CD95">IF(NOT(AND($BN$16&lt;&gt;"",($BM$16+24)&lt;=$BO$16)),"",IF(T95&lt;&gt;"",IF(T95="-","",T95),IF(ISNUMBER(SEARCH(":",$BP$16)),IFERROR(_xlfn.LET(_xlpm.s,_xlfn.TEXTSPLIT($BP$16,","),_xlpm.k,FIND(":",_xlpm.s),INDEX(TRIM(LEFT(_xlpm.s,_xlpm.k-1)),_xlfn.XMATCH(($BM$16+24),_xlfn.SCAN(0,--MID(_xlpm.s,_xlpm.k+1,9),_xlfn.LAMBDA(_xlpm.a,_xlpm.v,_xlpm.a+_xlpm.v)),1))),""),IF(($BM$16+24)&lt;=$BQ$16,$BP$16,""))))</f>
        <v/>
      </c>
    </row>
    <row r="96" spans="2:82" hidden="1" x14ac:dyDescent="0.45">
      <c r="BA96">
        <f>IF(OR(Catalogo!$C96="",Catalogo!$B96="Espacio libre",Catalogo!$B96="Espacio reservado"),0,COUNTIF($C$13:$C$42,Catalogo!$C96)+IF($E$7=Catalogo!$C96,N($K$7),0)+IF($E$8=Catalogo!$C96,N($N$8),0)+IF(Proyecto!$D$12=Catalogo!$C96,$AQ$4,0)+SUMIF($C$49:$C$58,Catalogo!$C96,$K$49:$K$58))</f>
        <v>0</v>
      </c>
    </row>
    <row r="97" spans="2:82" hidden="1" x14ac:dyDescent="0.45">
      <c r="BA97">
        <f>IF(OR(Catalogo!$C97="",Catalogo!$B97="Espacio libre",Catalogo!$B97="Espacio reservado"),0,COUNTIF($C$13:$C$42,Catalogo!$C97)+IF($E$7=Catalogo!$C97,N($K$7),0)+IF($E$8=Catalogo!$C97,N($N$8),0)+IF(Proyecto!$D$12=Catalogo!$C97,$AQ$4,0)+SUMIF($C$49:$C$58,Catalogo!$C97,$K$49:$K$58))</f>
        <v>0</v>
      </c>
    </row>
    <row r="98" spans="2:82" hidden="1" x14ac:dyDescent="0.45">
      <c r="B98" s="51" t="str">
        <f>IF($BN$17="","Bloque 5 — sin panel","Panel "&amp;$BN$17&amp;"  (puertos "&amp;($BM$17+1)&amp;"-"&amp;MIN($BM$17+24,$BO$17)&amp;")"&amp;IF($BP$17&lt;&gt;"","  · "&amp;$BP$17,"")&amp;"  · "&amp;TEXT(IFERROR(INDEX($BS$13:$BS$28,$BL$17)/$BO$17,0),"0%"))</f>
        <v>Bloque 5 — sin panel</v>
      </c>
      <c r="C98" s="40"/>
      <c r="D98" s="40"/>
      <c r="E98" s="40"/>
      <c r="F98" s="40"/>
      <c r="H98" s="51" t="str">
        <f>IF($BN$18="","Bloque 6 — sin panel","Panel "&amp;$BN$18&amp;"  (puertos "&amp;($BM$18+1)&amp;"-"&amp;MIN($BM$18+24,$BO$18)&amp;")"&amp;IF($BP$18&lt;&gt;"","  · "&amp;$BP$18,"")&amp;"  · "&amp;TEXT(IFERROR(INDEX($BS$13:$BS$28,$BL$18)/$BO$18,0),"0%"))</f>
        <v>Bloque 6 — sin panel</v>
      </c>
      <c r="I98" s="40"/>
      <c r="J98" s="40"/>
      <c r="K98" s="40"/>
      <c r="L98" s="40"/>
      <c r="N98" s="51" t="str">
        <f>IF($BN$19="","Bloque 7 — sin panel","Panel "&amp;$BN$19&amp;"  (puertos "&amp;($BM$19+1)&amp;"-"&amp;MIN($BM$19+24,$BO$19)&amp;")"&amp;IF($BP$19&lt;&gt;"","  · "&amp;$BP$19,"")&amp;"  · "&amp;TEXT(IFERROR(INDEX($BS$13:$BS$28,$BL$19)/$BO$19,0),"0%"))</f>
        <v>Bloque 7 — sin panel</v>
      </c>
      <c r="O98" s="40"/>
      <c r="P98" s="40"/>
      <c r="Q98" s="40"/>
      <c r="R98" s="40"/>
      <c r="T98" s="51" t="str">
        <f>IF($BN$20="","Bloque 8 — sin panel","Panel "&amp;$BN$20&amp;"  (puertos "&amp;($BM$20+1)&amp;"-"&amp;MIN($BM$20+24,$BO$20)&amp;")"&amp;IF($BP$20&lt;&gt;"","  · "&amp;$BP$20,"")&amp;"  · "&amp;TEXT(IFERROR(INDEX($BS$13:$BS$28,$BL$20)/$BO$20,0),"0%"))</f>
        <v>Bloque 8 — sin panel</v>
      </c>
      <c r="U98" s="40"/>
      <c r="V98" s="40"/>
      <c r="W98" s="40"/>
      <c r="X98" s="40"/>
      <c r="BA98">
        <f>IF(OR(Catalogo!$C98="",Catalogo!$B98="Espacio libre",Catalogo!$B98="Espacio reservado"),0,COUNTIF($C$13:$C$42,Catalogo!$C98)+IF($E$7=Catalogo!$C98,N($K$7),0)+IF($E$8=Catalogo!$C98,N($N$8),0)+IF(Proyecto!$D$12=Catalogo!$C98,$AQ$4,0)+SUMIF($C$49:$C$58,Catalogo!$C98,$K$49:$K$58))</f>
        <v>2</v>
      </c>
    </row>
    <row r="99" spans="2:82" hidden="1" x14ac:dyDescent="0.45">
      <c r="B99" s="5" t="s">
        <v>410</v>
      </c>
      <c r="C99" s="5" t="s">
        <v>411</v>
      </c>
      <c r="D99" s="5" t="s">
        <v>389</v>
      </c>
      <c r="E99" s="5" t="s">
        <v>412</v>
      </c>
      <c r="F99" s="5" t="s">
        <v>413</v>
      </c>
      <c r="H99" s="5" t="s">
        <v>410</v>
      </c>
      <c r="I99" s="5" t="s">
        <v>411</v>
      </c>
      <c r="J99" s="5" t="s">
        <v>389</v>
      </c>
      <c r="K99" s="5" t="s">
        <v>412</v>
      </c>
      <c r="L99" s="5" t="s">
        <v>413</v>
      </c>
      <c r="N99" s="5" t="s">
        <v>410</v>
      </c>
      <c r="O99" s="5" t="s">
        <v>411</v>
      </c>
      <c r="P99" s="5" t="s">
        <v>389</v>
      </c>
      <c r="Q99" s="5" t="s">
        <v>412</v>
      </c>
      <c r="R99" s="5" t="s">
        <v>413</v>
      </c>
      <c r="T99" s="5" t="s">
        <v>410</v>
      </c>
      <c r="U99" s="5" t="s">
        <v>411</v>
      </c>
      <c r="V99" s="5" t="s">
        <v>389</v>
      </c>
      <c r="W99" s="5" t="s">
        <v>412</v>
      </c>
      <c r="X99" s="5" t="s">
        <v>413</v>
      </c>
      <c r="BA99">
        <f>IF(OR(Catalogo!$C99="",Catalogo!$B99="Espacio libre",Catalogo!$B99="Espacio reservado"),0,COUNTIF($C$13:$C$42,Catalogo!$C99)+IF($E$7=Catalogo!$C99,N($K$7),0)+IF($E$8=Catalogo!$C99,N($N$8),0)+IF(Proyecto!$D$12=Catalogo!$C99,$AQ$4,0)+SUMIF($C$49:$C$58,Catalogo!$C99,$K$49:$K$58))</f>
        <v>0</v>
      </c>
    </row>
    <row r="100" spans="2:82" hidden="1" x14ac:dyDescent="0.45">
      <c r="B100" s="6"/>
      <c r="C100" s="9" t="str">
        <f>IF(CA100="","",CA100&amp;"-"&amp;TEXT(COUNTIF($CA$72:$CA$95,CA100)+COUNTIF($CB$72:$CB$95,CA100)+COUNTIF($CC$72:$CC$95,CA100)+COUNTIF($CD$72:$CD$95,CA100)+COUNTIF($CA$100:CA100,CA100),"000"))</f>
        <v/>
      </c>
      <c r="D100" s="9" t="str">
        <f>IF(AND($BN$17&lt;&gt;"",($BM$17+1)&lt;=$BO$17),$BN$17,"")</f>
        <v/>
      </c>
      <c r="E100" s="9" t="str">
        <f>IF(AND($BN$17&lt;&gt;"",($BM$17+1)&lt;=$BO$17),TEXT(($BM$17+1),"00"),"")</f>
        <v/>
      </c>
      <c r="F100" s="9" t="str">
        <f>IF(AND($BN$17&lt;&gt;"",($BM$17+1)&lt;=$BO$17),$BN$17&amp;"-"&amp;TEXT(($BM$17+1),"00"),"")</f>
        <v/>
      </c>
      <c r="H100" s="6"/>
      <c r="I100" s="9" t="str">
        <f>IF(CB100="","",CB100&amp;"-"&amp;TEXT(COUNTIF($CA$72:$CA$95,CB100)+COUNTIF($CB$72:$CB$95,CB100)+COUNTIF($CC$72:$CC$95,CB100)+COUNTIF($CD$72:$CD$95,CB100)+COUNTIF($CA$100:$CA$123,CB100)+COUNTIF($CB$100:CB100,CB100),"000"))</f>
        <v/>
      </c>
      <c r="J100" s="9" t="str">
        <f>IF(AND($BN$18&lt;&gt;"",($BM$18+1)&lt;=$BO$18),$BN$18,"")</f>
        <v/>
      </c>
      <c r="K100" s="9" t="str">
        <f>IF(AND($BN$18&lt;&gt;"",($BM$18+1)&lt;=$BO$18),TEXT(($BM$18+1),"00"),"")</f>
        <v/>
      </c>
      <c r="L100" s="9" t="str">
        <f>IF(AND($BN$18&lt;&gt;"",($BM$18+1)&lt;=$BO$18),$BN$18&amp;"-"&amp;TEXT(($BM$18+1),"00"),"")</f>
        <v/>
      </c>
      <c r="N100" s="6"/>
      <c r="O100" s="9" t="str">
        <f>IF(CC100="","",CC100&amp;"-"&amp;TEXT(COUNTIF($CA$72:$CA$95,CC100)+COUNTIF($CB$72:$CB$95,CC100)+COUNTIF($CC$72:$CC$95,CC100)+COUNTIF($CD$72:$CD$95,CC100)+COUNTIF($CA$100:$CA$123,CC100)+COUNTIF($CB$100:$CB$123,CC100)+COUNTIF($CC$100:CC100,CC100),"000"))</f>
        <v/>
      </c>
      <c r="P100" s="9" t="str">
        <f>IF(AND($BN$19&lt;&gt;"",($BM$19+1)&lt;=$BO$19),$BN$19,"")</f>
        <v/>
      </c>
      <c r="Q100" s="9" t="str">
        <f>IF(AND($BN$19&lt;&gt;"",($BM$19+1)&lt;=$BO$19),TEXT(($BM$19+1),"00"),"")</f>
        <v/>
      </c>
      <c r="R100" s="9" t="str">
        <f>IF(AND($BN$19&lt;&gt;"",($BM$19+1)&lt;=$BO$19),$BN$19&amp;"-"&amp;TEXT(($BM$19+1),"00"),"")</f>
        <v/>
      </c>
      <c r="T100" s="6"/>
      <c r="U100" s="9" t="str">
        <f>IF(CD100="","",CD100&amp;"-"&amp;TEXT(COUNTIF($CA$72:$CA$95,CD100)+COUNTIF($CB$72:$CB$95,CD100)+COUNTIF($CC$72:$CC$95,CD100)+COUNTIF($CD$72:$CD$95,CD100)+COUNTIF($CA$100:$CA$123,CD100)+COUNTIF($CB$100:$CB$123,CD100)+COUNTIF($CC$100:$CC$123,CD100)+COUNTIF($CD$100:CD100,CD100),"000"))</f>
        <v/>
      </c>
      <c r="V100" s="9" t="str">
        <f>IF(AND($BN$20&lt;&gt;"",($BM$20+1)&lt;=$BO$20),$BN$20,"")</f>
        <v/>
      </c>
      <c r="W100" s="9" t="str">
        <f>IF(AND($BN$20&lt;&gt;"",($BM$20+1)&lt;=$BO$20),TEXT(($BM$20+1),"00"),"")</f>
        <v/>
      </c>
      <c r="X100" s="9" t="str">
        <f>IF(AND($BN$20&lt;&gt;"",($BM$20+1)&lt;=$BO$20),$BN$20&amp;"-"&amp;TEXT(($BM$20+1),"00"),"")</f>
        <v/>
      </c>
      <c r="BA100">
        <f>IF(OR(Catalogo!$C100="",Catalogo!$B100="Espacio libre",Catalogo!$B100="Espacio reservado"),0,COUNTIF($C$13:$C$42,Catalogo!$C100)+IF($E$7=Catalogo!$C100,N($K$7),0)+IF($E$8=Catalogo!$C100,N($N$8),0)+IF(Proyecto!$D$12=Catalogo!$C100,$AQ$4,0)+SUMIF($C$49:$C$58,Catalogo!$C100,$K$49:$K$58))</f>
        <v>3</v>
      </c>
      <c r="CA100" t="str" cm="1">
        <f t="array" ref="CA100">IF(NOT(AND($BN$17&lt;&gt;"",($BM$17+1)&lt;=$BO$17)),"",IF(B100&lt;&gt;"",IF(B100="-","",B100),IF(ISNUMBER(SEARCH(":",$BP$17)),IFERROR(_xlfn.LET(_xlpm.s,_xlfn.TEXTSPLIT($BP$17,","),_xlpm.k,FIND(":",_xlpm.s),INDEX(TRIM(LEFT(_xlpm.s,_xlpm.k-1)),_xlfn.XMATCH(($BM$17+1),_xlfn.SCAN(0,--MID(_xlpm.s,_xlpm.k+1,9),_xlfn.LAMBDA(_xlpm.a,_xlpm.v,_xlpm.a+_xlpm.v)),1))),""),IF(($BM$17+1)&lt;=$BQ$17,$BP$17,""))))</f>
        <v/>
      </c>
      <c r="CB100" t="str" cm="1">
        <f t="array" ref="CB100">IF(NOT(AND($BN$18&lt;&gt;"",($BM$18+1)&lt;=$BO$18)),"",IF(H100&lt;&gt;"",IF(H100="-","",H100),IF(ISNUMBER(SEARCH(":",$BP$18)),IFERROR(_xlfn.LET(_xlpm.s,_xlfn.TEXTSPLIT($BP$18,","),_xlpm.k,FIND(":",_xlpm.s),INDEX(TRIM(LEFT(_xlpm.s,_xlpm.k-1)),_xlfn.XMATCH(($BM$18+1),_xlfn.SCAN(0,--MID(_xlpm.s,_xlpm.k+1,9),_xlfn.LAMBDA(_xlpm.a,_xlpm.v,_xlpm.a+_xlpm.v)),1))),""),IF(($BM$18+1)&lt;=$BQ$18,$BP$18,""))))</f>
        <v/>
      </c>
      <c r="CC100" t="str" cm="1">
        <f t="array" ref="CC100">IF(NOT(AND($BN$19&lt;&gt;"",($BM$19+1)&lt;=$BO$19)),"",IF(N100&lt;&gt;"",IF(N100="-","",N100),IF(ISNUMBER(SEARCH(":",$BP$19)),IFERROR(_xlfn.LET(_xlpm.s,_xlfn.TEXTSPLIT($BP$19,","),_xlpm.k,FIND(":",_xlpm.s),INDEX(TRIM(LEFT(_xlpm.s,_xlpm.k-1)),_xlfn.XMATCH(($BM$19+1),_xlfn.SCAN(0,--MID(_xlpm.s,_xlpm.k+1,9),_xlfn.LAMBDA(_xlpm.a,_xlpm.v,_xlpm.a+_xlpm.v)),1))),""),IF(($BM$19+1)&lt;=$BQ$19,$BP$19,""))))</f>
        <v/>
      </c>
      <c r="CD100" t="str" cm="1">
        <f t="array" ref="CD100">IF(NOT(AND($BN$20&lt;&gt;"",($BM$20+1)&lt;=$BO$20)),"",IF(T100&lt;&gt;"",IF(T100="-","",T100),IF(ISNUMBER(SEARCH(":",$BP$20)),IFERROR(_xlfn.LET(_xlpm.s,_xlfn.TEXTSPLIT($BP$20,","),_xlpm.k,FIND(":",_xlpm.s),INDEX(TRIM(LEFT(_xlpm.s,_xlpm.k-1)),_xlfn.XMATCH(($BM$20+1),_xlfn.SCAN(0,--MID(_xlpm.s,_xlpm.k+1,9),_xlfn.LAMBDA(_xlpm.a,_xlpm.v,_xlpm.a+_xlpm.v)),1))),""),IF(($BM$20+1)&lt;=$BQ$20,$BP$20,""))))</f>
        <v/>
      </c>
    </row>
    <row r="101" spans="2:82" hidden="1" x14ac:dyDescent="0.45">
      <c r="B101" s="6"/>
      <c r="C101" s="9" t="str">
        <f>IF(CA101="","",CA101&amp;"-"&amp;TEXT(COUNTIF($CA$72:$CA$95,CA101)+COUNTIF($CB$72:$CB$95,CA101)+COUNTIF($CC$72:$CC$95,CA101)+COUNTIF($CD$72:$CD$95,CA101)+COUNTIF($CA$100:CA101,CA101),"000"))</f>
        <v/>
      </c>
      <c r="D101" s="9" t="str">
        <f>IF(AND($BN$17&lt;&gt;"",($BM$17+2)&lt;=$BO$17),$BN$17,"")</f>
        <v/>
      </c>
      <c r="E101" s="9" t="str">
        <f>IF(AND($BN$17&lt;&gt;"",($BM$17+2)&lt;=$BO$17),TEXT(($BM$17+2),"00"),"")</f>
        <v/>
      </c>
      <c r="F101" s="9" t="str">
        <f>IF(AND($BN$17&lt;&gt;"",($BM$17+2)&lt;=$BO$17),$BN$17&amp;"-"&amp;TEXT(($BM$17+2),"00"),"")</f>
        <v/>
      </c>
      <c r="H101" s="6"/>
      <c r="I101" s="9" t="str">
        <f>IF(CB101="","",CB101&amp;"-"&amp;TEXT(COUNTIF($CA$72:$CA$95,CB101)+COUNTIF($CB$72:$CB$95,CB101)+COUNTIF($CC$72:$CC$95,CB101)+COUNTIF($CD$72:$CD$95,CB101)+COUNTIF($CA$100:$CA$123,CB101)+COUNTIF($CB$100:CB101,CB101),"000"))</f>
        <v/>
      </c>
      <c r="J101" s="9" t="str">
        <f>IF(AND($BN$18&lt;&gt;"",($BM$18+2)&lt;=$BO$18),$BN$18,"")</f>
        <v/>
      </c>
      <c r="K101" s="9" t="str">
        <f>IF(AND($BN$18&lt;&gt;"",($BM$18+2)&lt;=$BO$18),TEXT(($BM$18+2),"00"),"")</f>
        <v/>
      </c>
      <c r="L101" s="9" t="str">
        <f>IF(AND($BN$18&lt;&gt;"",($BM$18+2)&lt;=$BO$18),$BN$18&amp;"-"&amp;TEXT(($BM$18+2),"00"),"")</f>
        <v/>
      </c>
      <c r="N101" s="6"/>
      <c r="O101" s="9" t="str">
        <f>IF(CC101="","",CC101&amp;"-"&amp;TEXT(COUNTIF($CA$72:$CA$95,CC101)+COUNTIF($CB$72:$CB$95,CC101)+COUNTIF($CC$72:$CC$95,CC101)+COUNTIF($CD$72:$CD$95,CC101)+COUNTIF($CA$100:$CA$123,CC101)+COUNTIF($CB$100:$CB$123,CC101)+COUNTIF($CC$100:CC101,CC101),"000"))</f>
        <v/>
      </c>
      <c r="P101" s="9" t="str">
        <f>IF(AND($BN$19&lt;&gt;"",($BM$19+2)&lt;=$BO$19),$BN$19,"")</f>
        <v/>
      </c>
      <c r="Q101" s="9" t="str">
        <f>IF(AND($BN$19&lt;&gt;"",($BM$19+2)&lt;=$BO$19),TEXT(($BM$19+2),"00"),"")</f>
        <v/>
      </c>
      <c r="R101" s="9" t="str">
        <f>IF(AND($BN$19&lt;&gt;"",($BM$19+2)&lt;=$BO$19),$BN$19&amp;"-"&amp;TEXT(($BM$19+2),"00"),"")</f>
        <v/>
      </c>
      <c r="T101" s="6"/>
      <c r="U101" s="9" t="str">
        <f>IF(CD101="","",CD101&amp;"-"&amp;TEXT(COUNTIF($CA$72:$CA$95,CD101)+COUNTIF($CB$72:$CB$95,CD101)+COUNTIF($CC$72:$CC$95,CD101)+COUNTIF($CD$72:$CD$95,CD101)+COUNTIF($CA$100:$CA$123,CD101)+COUNTIF($CB$100:$CB$123,CD101)+COUNTIF($CC$100:$CC$123,CD101)+COUNTIF($CD$100:CD101,CD101),"000"))</f>
        <v/>
      </c>
      <c r="V101" s="9" t="str">
        <f>IF(AND($BN$20&lt;&gt;"",($BM$20+2)&lt;=$BO$20),$BN$20,"")</f>
        <v/>
      </c>
      <c r="W101" s="9" t="str">
        <f>IF(AND($BN$20&lt;&gt;"",($BM$20+2)&lt;=$BO$20),TEXT(($BM$20+2),"00"),"")</f>
        <v/>
      </c>
      <c r="X101" s="9" t="str">
        <f>IF(AND($BN$20&lt;&gt;"",($BM$20+2)&lt;=$BO$20),$BN$20&amp;"-"&amp;TEXT(($BM$20+2),"00"),"")</f>
        <v/>
      </c>
      <c r="BA101">
        <f>IF(OR(Catalogo!$C101="",Catalogo!$B101="Espacio libre",Catalogo!$B101="Espacio reservado"),0,COUNTIF($C$13:$C$42,Catalogo!$C101)+IF($E$7=Catalogo!$C101,N($K$7),0)+IF($E$8=Catalogo!$C101,N($N$8),0)+IF(Proyecto!$D$12=Catalogo!$C101,$AQ$4,0)+SUMIF($C$49:$C$58,Catalogo!$C101,$K$49:$K$58))</f>
        <v>4</v>
      </c>
      <c r="CA101" t="str" cm="1">
        <f t="array" ref="CA101">IF(NOT(AND($BN$17&lt;&gt;"",($BM$17+2)&lt;=$BO$17)),"",IF(B101&lt;&gt;"",IF(B101="-","",B101),IF(ISNUMBER(SEARCH(":",$BP$17)),IFERROR(_xlfn.LET(_xlpm.s,_xlfn.TEXTSPLIT($BP$17,","),_xlpm.k,FIND(":",_xlpm.s),INDEX(TRIM(LEFT(_xlpm.s,_xlpm.k-1)),_xlfn.XMATCH(($BM$17+2),_xlfn.SCAN(0,--MID(_xlpm.s,_xlpm.k+1,9),_xlfn.LAMBDA(_xlpm.a,_xlpm.v,_xlpm.a+_xlpm.v)),1))),""),IF(($BM$17+2)&lt;=$BQ$17,$BP$17,""))))</f>
        <v/>
      </c>
      <c r="CB101" t="str" cm="1">
        <f t="array" ref="CB101">IF(NOT(AND($BN$18&lt;&gt;"",($BM$18+2)&lt;=$BO$18)),"",IF(H101&lt;&gt;"",IF(H101="-","",H101),IF(ISNUMBER(SEARCH(":",$BP$18)),IFERROR(_xlfn.LET(_xlpm.s,_xlfn.TEXTSPLIT($BP$18,","),_xlpm.k,FIND(":",_xlpm.s),INDEX(TRIM(LEFT(_xlpm.s,_xlpm.k-1)),_xlfn.XMATCH(($BM$18+2),_xlfn.SCAN(0,--MID(_xlpm.s,_xlpm.k+1,9),_xlfn.LAMBDA(_xlpm.a,_xlpm.v,_xlpm.a+_xlpm.v)),1))),""),IF(($BM$18+2)&lt;=$BQ$18,$BP$18,""))))</f>
        <v/>
      </c>
      <c r="CC101" t="str" cm="1">
        <f t="array" ref="CC101">IF(NOT(AND($BN$19&lt;&gt;"",($BM$19+2)&lt;=$BO$19)),"",IF(N101&lt;&gt;"",IF(N101="-","",N101),IF(ISNUMBER(SEARCH(":",$BP$19)),IFERROR(_xlfn.LET(_xlpm.s,_xlfn.TEXTSPLIT($BP$19,","),_xlpm.k,FIND(":",_xlpm.s),INDEX(TRIM(LEFT(_xlpm.s,_xlpm.k-1)),_xlfn.XMATCH(($BM$19+2),_xlfn.SCAN(0,--MID(_xlpm.s,_xlpm.k+1,9),_xlfn.LAMBDA(_xlpm.a,_xlpm.v,_xlpm.a+_xlpm.v)),1))),""),IF(($BM$19+2)&lt;=$BQ$19,$BP$19,""))))</f>
        <v/>
      </c>
      <c r="CD101" t="str" cm="1">
        <f t="array" ref="CD101">IF(NOT(AND($BN$20&lt;&gt;"",($BM$20+2)&lt;=$BO$20)),"",IF(T101&lt;&gt;"",IF(T101="-","",T101),IF(ISNUMBER(SEARCH(":",$BP$20)),IFERROR(_xlfn.LET(_xlpm.s,_xlfn.TEXTSPLIT($BP$20,","),_xlpm.k,FIND(":",_xlpm.s),INDEX(TRIM(LEFT(_xlpm.s,_xlpm.k-1)),_xlfn.XMATCH(($BM$20+2),_xlfn.SCAN(0,--MID(_xlpm.s,_xlpm.k+1,9),_xlfn.LAMBDA(_xlpm.a,_xlpm.v,_xlpm.a+_xlpm.v)),1))),""),IF(($BM$20+2)&lt;=$BQ$20,$BP$20,""))))</f>
        <v/>
      </c>
    </row>
    <row r="102" spans="2:82" hidden="1" x14ac:dyDescent="0.45">
      <c r="B102" s="6"/>
      <c r="C102" s="9" t="str">
        <f>IF(CA102="","",CA102&amp;"-"&amp;TEXT(COUNTIF($CA$72:$CA$95,CA102)+COUNTIF($CB$72:$CB$95,CA102)+COUNTIF($CC$72:$CC$95,CA102)+COUNTIF($CD$72:$CD$95,CA102)+COUNTIF($CA$100:CA102,CA102),"000"))</f>
        <v/>
      </c>
      <c r="D102" s="9" t="str">
        <f>IF(AND($BN$17&lt;&gt;"",($BM$17+3)&lt;=$BO$17),$BN$17,"")</f>
        <v/>
      </c>
      <c r="E102" s="9" t="str">
        <f>IF(AND($BN$17&lt;&gt;"",($BM$17+3)&lt;=$BO$17),TEXT(($BM$17+3),"00"),"")</f>
        <v/>
      </c>
      <c r="F102" s="9" t="str">
        <f>IF(AND($BN$17&lt;&gt;"",($BM$17+3)&lt;=$BO$17),$BN$17&amp;"-"&amp;TEXT(($BM$17+3),"00"),"")</f>
        <v/>
      </c>
      <c r="H102" s="6"/>
      <c r="I102" s="9" t="str">
        <f>IF(CB102="","",CB102&amp;"-"&amp;TEXT(COUNTIF($CA$72:$CA$95,CB102)+COUNTIF($CB$72:$CB$95,CB102)+COUNTIF($CC$72:$CC$95,CB102)+COUNTIF($CD$72:$CD$95,CB102)+COUNTIF($CA$100:$CA$123,CB102)+COUNTIF($CB$100:CB102,CB102),"000"))</f>
        <v/>
      </c>
      <c r="J102" s="9" t="str">
        <f>IF(AND($BN$18&lt;&gt;"",($BM$18+3)&lt;=$BO$18),$BN$18,"")</f>
        <v/>
      </c>
      <c r="K102" s="9" t="str">
        <f>IF(AND($BN$18&lt;&gt;"",($BM$18+3)&lt;=$BO$18),TEXT(($BM$18+3),"00"),"")</f>
        <v/>
      </c>
      <c r="L102" s="9" t="str">
        <f>IF(AND($BN$18&lt;&gt;"",($BM$18+3)&lt;=$BO$18),$BN$18&amp;"-"&amp;TEXT(($BM$18+3),"00"),"")</f>
        <v/>
      </c>
      <c r="N102" s="6"/>
      <c r="O102" s="9" t="str">
        <f>IF(CC102="","",CC102&amp;"-"&amp;TEXT(COUNTIF($CA$72:$CA$95,CC102)+COUNTIF($CB$72:$CB$95,CC102)+COUNTIF($CC$72:$CC$95,CC102)+COUNTIF($CD$72:$CD$95,CC102)+COUNTIF($CA$100:$CA$123,CC102)+COUNTIF($CB$100:$CB$123,CC102)+COUNTIF($CC$100:CC102,CC102),"000"))</f>
        <v/>
      </c>
      <c r="P102" s="9" t="str">
        <f>IF(AND($BN$19&lt;&gt;"",($BM$19+3)&lt;=$BO$19),$BN$19,"")</f>
        <v/>
      </c>
      <c r="Q102" s="9" t="str">
        <f>IF(AND($BN$19&lt;&gt;"",($BM$19+3)&lt;=$BO$19),TEXT(($BM$19+3),"00"),"")</f>
        <v/>
      </c>
      <c r="R102" s="9" t="str">
        <f>IF(AND($BN$19&lt;&gt;"",($BM$19+3)&lt;=$BO$19),$BN$19&amp;"-"&amp;TEXT(($BM$19+3),"00"),"")</f>
        <v/>
      </c>
      <c r="T102" s="6"/>
      <c r="U102" s="9" t="str">
        <f>IF(CD102="","",CD102&amp;"-"&amp;TEXT(COUNTIF($CA$72:$CA$95,CD102)+COUNTIF($CB$72:$CB$95,CD102)+COUNTIF($CC$72:$CC$95,CD102)+COUNTIF($CD$72:$CD$95,CD102)+COUNTIF($CA$100:$CA$123,CD102)+COUNTIF($CB$100:$CB$123,CD102)+COUNTIF($CC$100:$CC$123,CD102)+COUNTIF($CD$100:CD102,CD102),"000"))</f>
        <v/>
      </c>
      <c r="V102" s="9" t="str">
        <f>IF(AND($BN$20&lt;&gt;"",($BM$20+3)&lt;=$BO$20),$BN$20,"")</f>
        <v/>
      </c>
      <c r="W102" s="9" t="str">
        <f>IF(AND($BN$20&lt;&gt;"",($BM$20+3)&lt;=$BO$20),TEXT(($BM$20+3),"00"),"")</f>
        <v/>
      </c>
      <c r="X102" s="9" t="str">
        <f>IF(AND($BN$20&lt;&gt;"",($BM$20+3)&lt;=$BO$20),$BN$20&amp;"-"&amp;TEXT(($BM$20+3),"00"),"")</f>
        <v/>
      </c>
      <c r="BA102">
        <f>IF(OR(Catalogo!$C102="",Catalogo!$B102="Espacio libre",Catalogo!$B102="Espacio reservado"),0,COUNTIF($C$13:$C$42,Catalogo!$C102)+IF($E$7=Catalogo!$C102,N($K$7),0)+IF($E$8=Catalogo!$C102,N($N$8),0)+IF(Proyecto!$D$12=Catalogo!$C102,$AQ$4,0)+SUMIF($C$49:$C$58,Catalogo!$C102,$K$49:$K$58))</f>
        <v>0</v>
      </c>
      <c r="CA102" t="str" cm="1">
        <f t="array" ref="CA102">IF(NOT(AND($BN$17&lt;&gt;"",($BM$17+3)&lt;=$BO$17)),"",IF(B102&lt;&gt;"",IF(B102="-","",B102),IF(ISNUMBER(SEARCH(":",$BP$17)),IFERROR(_xlfn.LET(_xlpm.s,_xlfn.TEXTSPLIT($BP$17,","),_xlpm.k,FIND(":",_xlpm.s),INDEX(TRIM(LEFT(_xlpm.s,_xlpm.k-1)),_xlfn.XMATCH(($BM$17+3),_xlfn.SCAN(0,--MID(_xlpm.s,_xlpm.k+1,9),_xlfn.LAMBDA(_xlpm.a,_xlpm.v,_xlpm.a+_xlpm.v)),1))),""),IF(($BM$17+3)&lt;=$BQ$17,$BP$17,""))))</f>
        <v/>
      </c>
      <c r="CB102" t="str" cm="1">
        <f t="array" ref="CB102">IF(NOT(AND($BN$18&lt;&gt;"",($BM$18+3)&lt;=$BO$18)),"",IF(H102&lt;&gt;"",IF(H102="-","",H102),IF(ISNUMBER(SEARCH(":",$BP$18)),IFERROR(_xlfn.LET(_xlpm.s,_xlfn.TEXTSPLIT($BP$18,","),_xlpm.k,FIND(":",_xlpm.s),INDEX(TRIM(LEFT(_xlpm.s,_xlpm.k-1)),_xlfn.XMATCH(($BM$18+3),_xlfn.SCAN(0,--MID(_xlpm.s,_xlpm.k+1,9),_xlfn.LAMBDA(_xlpm.a,_xlpm.v,_xlpm.a+_xlpm.v)),1))),""),IF(($BM$18+3)&lt;=$BQ$18,$BP$18,""))))</f>
        <v/>
      </c>
      <c r="CC102" t="str" cm="1">
        <f t="array" ref="CC102">IF(NOT(AND($BN$19&lt;&gt;"",($BM$19+3)&lt;=$BO$19)),"",IF(N102&lt;&gt;"",IF(N102="-","",N102),IF(ISNUMBER(SEARCH(":",$BP$19)),IFERROR(_xlfn.LET(_xlpm.s,_xlfn.TEXTSPLIT($BP$19,","),_xlpm.k,FIND(":",_xlpm.s),INDEX(TRIM(LEFT(_xlpm.s,_xlpm.k-1)),_xlfn.XMATCH(($BM$19+3),_xlfn.SCAN(0,--MID(_xlpm.s,_xlpm.k+1,9),_xlfn.LAMBDA(_xlpm.a,_xlpm.v,_xlpm.a+_xlpm.v)),1))),""),IF(($BM$19+3)&lt;=$BQ$19,$BP$19,""))))</f>
        <v/>
      </c>
      <c r="CD102" t="str" cm="1">
        <f t="array" ref="CD102">IF(NOT(AND($BN$20&lt;&gt;"",($BM$20+3)&lt;=$BO$20)),"",IF(T102&lt;&gt;"",IF(T102="-","",T102),IF(ISNUMBER(SEARCH(":",$BP$20)),IFERROR(_xlfn.LET(_xlpm.s,_xlfn.TEXTSPLIT($BP$20,","),_xlpm.k,FIND(":",_xlpm.s),INDEX(TRIM(LEFT(_xlpm.s,_xlpm.k-1)),_xlfn.XMATCH(($BM$20+3),_xlfn.SCAN(0,--MID(_xlpm.s,_xlpm.k+1,9),_xlfn.LAMBDA(_xlpm.a,_xlpm.v,_xlpm.a+_xlpm.v)),1))),""),IF(($BM$20+3)&lt;=$BQ$20,$BP$20,""))))</f>
        <v/>
      </c>
    </row>
    <row r="103" spans="2:82" hidden="1" x14ac:dyDescent="0.45">
      <c r="B103" s="6"/>
      <c r="C103" s="9" t="str">
        <f>IF(CA103="","",CA103&amp;"-"&amp;TEXT(COUNTIF($CA$72:$CA$95,CA103)+COUNTIF($CB$72:$CB$95,CA103)+COUNTIF($CC$72:$CC$95,CA103)+COUNTIF($CD$72:$CD$95,CA103)+COUNTIF($CA$100:CA103,CA103),"000"))</f>
        <v/>
      </c>
      <c r="D103" s="9" t="str">
        <f>IF(AND($BN$17&lt;&gt;"",($BM$17+4)&lt;=$BO$17),$BN$17,"")</f>
        <v/>
      </c>
      <c r="E103" s="9" t="str">
        <f>IF(AND($BN$17&lt;&gt;"",($BM$17+4)&lt;=$BO$17),TEXT(($BM$17+4),"00"),"")</f>
        <v/>
      </c>
      <c r="F103" s="9" t="str">
        <f>IF(AND($BN$17&lt;&gt;"",($BM$17+4)&lt;=$BO$17),$BN$17&amp;"-"&amp;TEXT(($BM$17+4),"00"),"")</f>
        <v/>
      </c>
      <c r="H103" s="6"/>
      <c r="I103" s="9" t="str">
        <f>IF(CB103="","",CB103&amp;"-"&amp;TEXT(COUNTIF($CA$72:$CA$95,CB103)+COUNTIF($CB$72:$CB$95,CB103)+COUNTIF($CC$72:$CC$95,CB103)+COUNTIF($CD$72:$CD$95,CB103)+COUNTIF($CA$100:$CA$123,CB103)+COUNTIF($CB$100:CB103,CB103),"000"))</f>
        <v/>
      </c>
      <c r="J103" s="9" t="str">
        <f>IF(AND($BN$18&lt;&gt;"",($BM$18+4)&lt;=$BO$18),$BN$18,"")</f>
        <v/>
      </c>
      <c r="K103" s="9" t="str">
        <f>IF(AND($BN$18&lt;&gt;"",($BM$18+4)&lt;=$BO$18),TEXT(($BM$18+4),"00"),"")</f>
        <v/>
      </c>
      <c r="L103" s="9" t="str">
        <f>IF(AND($BN$18&lt;&gt;"",($BM$18+4)&lt;=$BO$18),$BN$18&amp;"-"&amp;TEXT(($BM$18+4),"00"),"")</f>
        <v/>
      </c>
      <c r="N103" s="6"/>
      <c r="O103" s="9" t="str">
        <f>IF(CC103="","",CC103&amp;"-"&amp;TEXT(COUNTIF($CA$72:$CA$95,CC103)+COUNTIF($CB$72:$CB$95,CC103)+COUNTIF($CC$72:$CC$95,CC103)+COUNTIF($CD$72:$CD$95,CC103)+COUNTIF($CA$100:$CA$123,CC103)+COUNTIF($CB$100:$CB$123,CC103)+COUNTIF($CC$100:CC103,CC103),"000"))</f>
        <v/>
      </c>
      <c r="P103" s="9" t="str">
        <f>IF(AND($BN$19&lt;&gt;"",($BM$19+4)&lt;=$BO$19),$BN$19,"")</f>
        <v/>
      </c>
      <c r="Q103" s="9" t="str">
        <f>IF(AND($BN$19&lt;&gt;"",($BM$19+4)&lt;=$BO$19),TEXT(($BM$19+4),"00"),"")</f>
        <v/>
      </c>
      <c r="R103" s="9" t="str">
        <f>IF(AND($BN$19&lt;&gt;"",($BM$19+4)&lt;=$BO$19),$BN$19&amp;"-"&amp;TEXT(($BM$19+4),"00"),"")</f>
        <v/>
      </c>
      <c r="T103" s="6"/>
      <c r="U103" s="9" t="str">
        <f>IF(CD103="","",CD103&amp;"-"&amp;TEXT(COUNTIF($CA$72:$CA$95,CD103)+COUNTIF($CB$72:$CB$95,CD103)+COUNTIF($CC$72:$CC$95,CD103)+COUNTIF($CD$72:$CD$95,CD103)+COUNTIF($CA$100:$CA$123,CD103)+COUNTIF($CB$100:$CB$123,CD103)+COUNTIF($CC$100:$CC$123,CD103)+COUNTIF($CD$100:CD103,CD103),"000"))</f>
        <v/>
      </c>
      <c r="V103" s="9" t="str">
        <f>IF(AND($BN$20&lt;&gt;"",($BM$20+4)&lt;=$BO$20),$BN$20,"")</f>
        <v/>
      </c>
      <c r="W103" s="9" t="str">
        <f>IF(AND($BN$20&lt;&gt;"",($BM$20+4)&lt;=$BO$20),TEXT(($BM$20+4),"00"),"")</f>
        <v/>
      </c>
      <c r="X103" s="9" t="str">
        <f>IF(AND($BN$20&lt;&gt;"",($BM$20+4)&lt;=$BO$20),$BN$20&amp;"-"&amp;TEXT(($BM$20+4),"00"),"")</f>
        <v/>
      </c>
      <c r="BA103">
        <f>IF(OR(Catalogo!$C103="",Catalogo!$B103="Espacio libre",Catalogo!$B103="Espacio reservado"),0,COUNTIF($C$13:$C$42,Catalogo!$C103)+IF($E$7=Catalogo!$C103,N($K$7),0)+IF($E$8=Catalogo!$C103,N($N$8),0)+IF(Proyecto!$D$12=Catalogo!$C103,$AQ$4,0)+SUMIF($C$49:$C$58,Catalogo!$C103,$K$49:$K$58))</f>
        <v>0</v>
      </c>
      <c r="CA103" t="str" cm="1">
        <f t="array" ref="CA103">IF(NOT(AND($BN$17&lt;&gt;"",($BM$17+4)&lt;=$BO$17)),"",IF(B103&lt;&gt;"",IF(B103="-","",B103),IF(ISNUMBER(SEARCH(":",$BP$17)),IFERROR(_xlfn.LET(_xlpm.s,_xlfn.TEXTSPLIT($BP$17,","),_xlpm.k,FIND(":",_xlpm.s),INDEX(TRIM(LEFT(_xlpm.s,_xlpm.k-1)),_xlfn.XMATCH(($BM$17+4),_xlfn.SCAN(0,--MID(_xlpm.s,_xlpm.k+1,9),_xlfn.LAMBDA(_xlpm.a,_xlpm.v,_xlpm.a+_xlpm.v)),1))),""),IF(($BM$17+4)&lt;=$BQ$17,$BP$17,""))))</f>
        <v/>
      </c>
      <c r="CB103" t="str" cm="1">
        <f t="array" ref="CB103">IF(NOT(AND($BN$18&lt;&gt;"",($BM$18+4)&lt;=$BO$18)),"",IF(H103&lt;&gt;"",IF(H103="-","",H103),IF(ISNUMBER(SEARCH(":",$BP$18)),IFERROR(_xlfn.LET(_xlpm.s,_xlfn.TEXTSPLIT($BP$18,","),_xlpm.k,FIND(":",_xlpm.s),INDEX(TRIM(LEFT(_xlpm.s,_xlpm.k-1)),_xlfn.XMATCH(($BM$18+4),_xlfn.SCAN(0,--MID(_xlpm.s,_xlpm.k+1,9),_xlfn.LAMBDA(_xlpm.a,_xlpm.v,_xlpm.a+_xlpm.v)),1))),""),IF(($BM$18+4)&lt;=$BQ$18,$BP$18,""))))</f>
        <v/>
      </c>
      <c r="CC103" t="str" cm="1">
        <f t="array" ref="CC103">IF(NOT(AND($BN$19&lt;&gt;"",($BM$19+4)&lt;=$BO$19)),"",IF(N103&lt;&gt;"",IF(N103="-","",N103),IF(ISNUMBER(SEARCH(":",$BP$19)),IFERROR(_xlfn.LET(_xlpm.s,_xlfn.TEXTSPLIT($BP$19,","),_xlpm.k,FIND(":",_xlpm.s),INDEX(TRIM(LEFT(_xlpm.s,_xlpm.k-1)),_xlfn.XMATCH(($BM$19+4),_xlfn.SCAN(0,--MID(_xlpm.s,_xlpm.k+1,9),_xlfn.LAMBDA(_xlpm.a,_xlpm.v,_xlpm.a+_xlpm.v)),1))),""),IF(($BM$19+4)&lt;=$BQ$19,$BP$19,""))))</f>
        <v/>
      </c>
      <c r="CD103" t="str" cm="1">
        <f t="array" ref="CD103">IF(NOT(AND($BN$20&lt;&gt;"",($BM$20+4)&lt;=$BO$20)),"",IF(T103&lt;&gt;"",IF(T103="-","",T103),IF(ISNUMBER(SEARCH(":",$BP$20)),IFERROR(_xlfn.LET(_xlpm.s,_xlfn.TEXTSPLIT($BP$20,","),_xlpm.k,FIND(":",_xlpm.s),INDEX(TRIM(LEFT(_xlpm.s,_xlpm.k-1)),_xlfn.XMATCH(($BM$20+4),_xlfn.SCAN(0,--MID(_xlpm.s,_xlpm.k+1,9),_xlfn.LAMBDA(_xlpm.a,_xlpm.v,_xlpm.a+_xlpm.v)),1))),""),IF(($BM$20+4)&lt;=$BQ$20,$BP$20,""))))</f>
        <v/>
      </c>
    </row>
    <row r="104" spans="2:82" hidden="1" x14ac:dyDescent="0.45">
      <c r="B104" s="6"/>
      <c r="C104" s="9" t="str">
        <f>IF(CA104="","",CA104&amp;"-"&amp;TEXT(COUNTIF($CA$72:$CA$95,CA104)+COUNTIF($CB$72:$CB$95,CA104)+COUNTIF($CC$72:$CC$95,CA104)+COUNTIF($CD$72:$CD$95,CA104)+COUNTIF($CA$100:CA104,CA104),"000"))</f>
        <v/>
      </c>
      <c r="D104" s="9" t="str">
        <f>IF(AND($BN$17&lt;&gt;"",($BM$17+5)&lt;=$BO$17),$BN$17,"")</f>
        <v/>
      </c>
      <c r="E104" s="9" t="str">
        <f>IF(AND($BN$17&lt;&gt;"",($BM$17+5)&lt;=$BO$17),TEXT(($BM$17+5),"00"),"")</f>
        <v/>
      </c>
      <c r="F104" s="9" t="str">
        <f>IF(AND($BN$17&lt;&gt;"",($BM$17+5)&lt;=$BO$17),$BN$17&amp;"-"&amp;TEXT(($BM$17+5),"00"),"")</f>
        <v/>
      </c>
      <c r="H104" s="6"/>
      <c r="I104" s="9" t="str">
        <f>IF(CB104="","",CB104&amp;"-"&amp;TEXT(COUNTIF($CA$72:$CA$95,CB104)+COUNTIF($CB$72:$CB$95,CB104)+COUNTIF($CC$72:$CC$95,CB104)+COUNTIF($CD$72:$CD$95,CB104)+COUNTIF($CA$100:$CA$123,CB104)+COUNTIF($CB$100:CB104,CB104),"000"))</f>
        <v/>
      </c>
      <c r="J104" s="9" t="str">
        <f>IF(AND($BN$18&lt;&gt;"",($BM$18+5)&lt;=$BO$18),$BN$18,"")</f>
        <v/>
      </c>
      <c r="K104" s="9" t="str">
        <f>IF(AND($BN$18&lt;&gt;"",($BM$18+5)&lt;=$BO$18),TEXT(($BM$18+5),"00"),"")</f>
        <v/>
      </c>
      <c r="L104" s="9" t="str">
        <f>IF(AND($BN$18&lt;&gt;"",($BM$18+5)&lt;=$BO$18),$BN$18&amp;"-"&amp;TEXT(($BM$18+5),"00"),"")</f>
        <v/>
      </c>
      <c r="N104" s="6"/>
      <c r="O104" s="9" t="str">
        <f>IF(CC104="","",CC104&amp;"-"&amp;TEXT(COUNTIF($CA$72:$CA$95,CC104)+COUNTIF($CB$72:$CB$95,CC104)+COUNTIF($CC$72:$CC$95,CC104)+COUNTIF($CD$72:$CD$95,CC104)+COUNTIF($CA$100:$CA$123,CC104)+COUNTIF($CB$100:$CB$123,CC104)+COUNTIF($CC$100:CC104,CC104),"000"))</f>
        <v/>
      </c>
      <c r="P104" s="9" t="str">
        <f>IF(AND($BN$19&lt;&gt;"",($BM$19+5)&lt;=$BO$19),$BN$19,"")</f>
        <v/>
      </c>
      <c r="Q104" s="9" t="str">
        <f>IF(AND($BN$19&lt;&gt;"",($BM$19+5)&lt;=$BO$19),TEXT(($BM$19+5),"00"),"")</f>
        <v/>
      </c>
      <c r="R104" s="9" t="str">
        <f>IF(AND($BN$19&lt;&gt;"",($BM$19+5)&lt;=$BO$19),$BN$19&amp;"-"&amp;TEXT(($BM$19+5),"00"),"")</f>
        <v/>
      </c>
      <c r="T104" s="6"/>
      <c r="U104" s="9" t="str">
        <f>IF(CD104="","",CD104&amp;"-"&amp;TEXT(COUNTIF($CA$72:$CA$95,CD104)+COUNTIF($CB$72:$CB$95,CD104)+COUNTIF($CC$72:$CC$95,CD104)+COUNTIF($CD$72:$CD$95,CD104)+COUNTIF($CA$100:$CA$123,CD104)+COUNTIF($CB$100:$CB$123,CD104)+COUNTIF($CC$100:$CC$123,CD104)+COUNTIF($CD$100:CD104,CD104),"000"))</f>
        <v/>
      </c>
      <c r="V104" s="9" t="str">
        <f>IF(AND($BN$20&lt;&gt;"",($BM$20+5)&lt;=$BO$20),$BN$20,"")</f>
        <v/>
      </c>
      <c r="W104" s="9" t="str">
        <f>IF(AND($BN$20&lt;&gt;"",($BM$20+5)&lt;=$BO$20),TEXT(($BM$20+5),"00"),"")</f>
        <v/>
      </c>
      <c r="X104" s="9" t="str">
        <f>IF(AND($BN$20&lt;&gt;"",($BM$20+5)&lt;=$BO$20),$BN$20&amp;"-"&amp;TEXT(($BM$20+5),"00"),"")</f>
        <v/>
      </c>
      <c r="BA104">
        <f>IF(OR(Catalogo!$C104="",Catalogo!$B104="Espacio libre",Catalogo!$B104="Espacio reservado"),0,COUNTIF($C$13:$C$42,Catalogo!$C104)+IF($E$7=Catalogo!$C104,N($K$7),0)+IF($E$8=Catalogo!$C104,N($N$8),0)+IF(Proyecto!$D$12=Catalogo!$C104,$AQ$4,0)+SUMIF($C$49:$C$58,Catalogo!$C104,$K$49:$K$58))</f>
        <v>0</v>
      </c>
      <c r="CA104" t="str" cm="1">
        <f t="array" ref="CA104">IF(NOT(AND($BN$17&lt;&gt;"",($BM$17+5)&lt;=$BO$17)),"",IF(B104&lt;&gt;"",IF(B104="-","",B104),IF(ISNUMBER(SEARCH(":",$BP$17)),IFERROR(_xlfn.LET(_xlpm.s,_xlfn.TEXTSPLIT($BP$17,","),_xlpm.k,FIND(":",_xlpm.s),INDEX(TRIM(LEFT(_xlpm.s,_xlpm.k-1)),_xlfn.XMATCH(($BM$17+5),_xlfn.SCAN(0,--MID(_xlpm.s,_xlpm.k+1,9),_xlfn.LAMBDA(_xlpm.a,_xlpm.v,_xlpm.a+_xlpm.v)),1))),""),IF(($BM$17+5)&lt;=$BQ$17,$BP$17,""))))</f>
        <v/>
      </c>
      <c r="CB104" t="str" cm="1">
        <f t="array" ref="CB104">IF(NOT(AND($BN$18&lt;&gt;"",($BM$18+5)&lt;=$BO$18)),"",IF(H104&lt;&gt;"",IF(H104="-","",H104),IF(ISNUMBER(SEARCH(":",$BP$18)),IFERROR(_xlfn.LET(_xlpm.s,_xlfn.TEXTSPLIT($BP$18,","),_xlpm.k,FIND(":",_xlpm.s),INDEX(TRIM(LEFT(_xlpm.s,_xlpm.k-1)),_xlfn.XMATCH(($BM$18+5),_xlfn.SCAN(0,--MID(_xlpm.s,_xlpm.k+1,9),_xlfn.LAMBDA(_xlpm.a,_xlpm.v,_xlpm.a+_xlpm.v)),1))),""),IF(($BM$18+5)&lt;=$BQ$18,$BP$18,""))))</f>
        <v/>
      </c>
      <c r="CC104" t="str" cm="1">
        <f t="array" ref="CC104">IF(NOT(AND($BN$19&lt;&gt;"",($BM$19+5)&lt;=$BO$19)),"",IF(N104&lt;&gt;"",IF(N104="-","",N104),IF(ISNUMBER(SEARCH(":",$BP$19)),IFERROR(_xlfn.LET(_xlpm.s,_xlfn.TEXTSPLIT($BP$19,","),_xlpm.k,FIND(":",_xlpm.s),INDEX(TRIM(LEFT(_xlpm.s,_xlpm.k-1)),_xlfn.XMATCH(($BM$19+5),_xlfn.SCAN(0,--MID(_xlpm.s,_xlpm.k+1,9),_xlfn.LAMBDA(_xlpm.a,_xlpm.v,_xlpm.a+_xlpm.v)),1))),""),IF(($BM$19+5)&lt;=$BQ$19,$BP$19,""))))</f>
        <v/>
      </c>
      <c r="CD104" t="str" cm="1">
        <f t="array" ref="CD104">IF(NOT(AND($BN$20&lt;&gt;"",($BM$20+5)&lt;=$BO$20)),"",IF(T104&lt;&gt;"",IF(T104="-","",T104),IF(ISNUMBER(SEARCH(":",$BP$20)),IFERROR(_xlfn.LET(_xlpm.s,_xlfn.TEXTSPLIT($BP$20,","),_xlpm.k,FIND(":",_xlpm.s),INDEX(TRIM(LEFT(_xlpm.s,_xlpm.k-1)),_xlfn.XMATCH(($BM$20+5),_xlfn.SCAN(0,--MID(_xlpm.s,_xlpm.k+1,9),_xlfn.LAMBDA(_xlpm.a,_xlpm.v,_xlpm.a+_xlpm.v)),1))),""),IF(($BM$20+5)&lt;=$BQ$20,$BP$20,""))))</f>
        <v/>
      </c>
    </row>
    <row r="105" spans="2:82" hidden="1" x14ac:dyDescent="0.45">
      <c r="B105" s="6"/>
      <c r="C105" s="9" t="str">
        <f>IF(CA105="","",CA105&amp;"-"&amp;TEXT(COUNTIF($CA$72:$CA$95,CA105)+COUNTIF($CB$72:$CB$95,CA105)+COUNTIF($CC$72:$CC$95,CA105)+COUNTIF($CD$72:$CD$95,CA105)+COUNTIF($CA$100:CA105,CA105),"000"))</f>
        <v/>
      </c>
      <c r="D105" s="9" t="str">
        <f>IF(AND($BN$17&lt;&gt;"",($BM$17+6)&lt;=$BO$17),$BN$17,"")</f>
        <v/>
      </c>
      <c r="E105" s="9" t="str">
        <f>IF(AND($BN$17&lt;&gt;"",($BM$17+6)&lt;=$BO$17),TEXT(($BM$17+6),"00"),"")</f>
        <v/>
      </c>
      <c r="F105" s="9" t="str">
        <f>IF(AND($BN$17&lt;&gt;"",($BM$17+6)&lt;=$BO$17),$BN$17&amp;"-"&amp;TEXT(($BM$17+6),"00"),"")</f>
        <v/>
      </c>
      <c r="H105" s="6"/>
      <c r="I105" s="9" t="str">
        <f>IF(CB105="","",CB105&amp;"-"&amp;TEXT(COUNTIF($CA$72:$CA$95,CB105)+COUNTIF($CB$72:$CB$95,CB105)+COUNTIF($CC$72:$CC$95,CB105)+COUNTIF($CD$72:$CD$95,CB105)+COUNTIF($CA$100:$CA$123,CB105)+COUNTIF($CB$100:CB105,CB105),"000"))</f>
        <v/>
      </c>
      <c r="J105" s="9" t="str">
        <f>IF(AND($BN$18&lt;&gt;"",($BM$18+6)&lt;=$BO$18),$BN$18,"")</f>
        <v/>
      </c>
      <c r="K105" s="9" t="str">
        <f>IF(AND($BN$18&lt;&gt;"",($BM$18+6)&lt;=$BO$18),TEXT(($BM$18+6),"00"),"")</f>
        <v/>
      </c>
      <c r="L105" s="9" t="str">
        <f>IF(AND($BN$18&lt;&gt;"",($BM$18+6)&lt;=$BO$18),$BN$18&amp;"-"&amp;TEXT(($BM$18+6),"00"),"")</f>
        <v/>
      </c>
      <c r="N105" s="6"/>
      <c r="O105" s="9" t="str">
        <f>IF(CC105="","",CC105&amp;"-"&amp;TEXT(COUNTIF($CA$72:$CA$95,CC105)+COUNTIF($CB$72:$CB$95,CC105)+COUNTIF($CC$72:$CC$95,CC105)+COUNTIF($CD$72:$CD$95,CC105)+COUNTIF($CA$100:$CA$123,CC105)+COUNTIF($CB$100:$CB$123,CC105)+COUNTIF($CC$100:CC105,CC105),"000"))</f>
        <v/>
      </c>
      <c r="P105" s="9" t="str">
        <f>IF(AND($BN$19&lt;&gt;"",($BM$19+6)&lt;=$BO$19),$BN$19,"")</f>
        <v/>
      </c>
      <c r="Q105" s="9" t="str">
        <f>IF(AND($BN$19&lt;&gt;"",($BM$19+6)&lt;=$BO$19),TEXT(($BM$19+6),"00"),"")</f>
        <v/>
      </c>
      <c r="R105" s="9" t="str">
        <f>IF(AND($BN$19&lt;&gt;"",($BM$19+6)&lt;=$BO$19),$BN$19&amp;"-"&amp;TEXT(($BM$19+6),"00"),"")</f>
        <v/>
      </c>
      <c r="T105" s="6"/>
      <c r="U105" s="9" t="str">
        <f>IF(CD105="","",CD105&amp;"-"&amp;TEXT(COUNTIF($CA$72:$CA$95,CD105)+COUNTIF($CB$72:$CB$95,CD105)+COUNTIF($CC$72:$CC$95,CD105)+COUNTIF($CD$72:$CD$95,CD105)+COUNTIF($CA$100:$CA$123,CD105)+COUNTIF($CB$100:$CB$123,CD105)+COUNTIF($CC$100:$CC$123,CD105)+COUNTIF($CD$100:CD105,CD105),"000"))</f>
        <v/>
      </c>
      <c r="V105" s="9" t="str">
        <f>IF(AND($BN$20&lt;&gt;"",($BM$20+6)&lt;=$BO$20),$BN$20,"")</f>
        <v/>
      </c>
      <c r="W105" s="9" t="str">
        <f>IF(AND($BN$20&lt;&gt;"",($BM$20+6)&lt;=$BO$20),TEXT(($BM$20+6),"00"),"")</f>
        <v/>
      </c>
      <c r="X105" s="9" t="str">
        <f>IF(AND($BN$20&lt;&gt;"",($BM$20+6)&lt;=$BO$20),$BN$20&amp;"-"&amp;TEXT(($BM$20+6),"00"),"")</f>
        <v/>
      </c>
      <c r="BA105">
        <f>IF(OR(Catalogo!$C105="",Catalogo!$B105="Espacio libre",Catalogo!$B105="Espacio reservado"),0,COUNTIF($C$13:$C$42,Catalogo!$C105)+IF($E$7=Catalogo!$C105,N($K$7),0)+IF($E$8=Catalogo!$C105,N($N$8),0)+IF(Proyecto!$D$12=Catalogo!$C105,$AQ$4,0)+SUMIF($C$49:$C$58,Catalogo!$C105,$K$49:$K$58))</f>
        <v>0</v>
      </c>
      <c r="CA105" t="str" cm="1">
        <f t="array" ref="CA105">IF(NOT(AND($BN$17&lt;&gt;"",($BM$17+6)&lt;=$BO$17)),"",IF(B105&lt;&gt;"",IF(B105="-","",B105),IF(ISNUMBER(SEARCH(":",$BP$17)),IFERROR(_xlfn.LET(_xlpm.s,_xlfn.TEXTSPLIT($BP$17,","),_xlpm.k,FIND(":",_xlpm.s),INDEX(TRIM(LEFT(_xlpm.s,_xlpm.k-1)),_xlfn.XMATCH(($BM$17+6),_xlfn.SCAN(0,--MID(_xlpm.s,_xlpm.k+1,9),_xlfn.LAMBDA(_xlpm.a,_xlpm.v,_xlpm.a+_xlpm.v)),1))),""),IF(($BM$17+6)&lt;=$BQ$17,$BP$17,""))))</f>
        <v/>
      </c>
      <c r="CB105" t="str" cm="1">
        <f t="array" ref="CB105">IF(NOT(AND($BN$18&lt;&gt;"",($BM$18+6)&lt;=$BO$18)),"",IF(H105&lt;&gt;"",IF(H105="-","",H105),IF(ISNUMBER(SEARCH(":",$BP$18)),IFERROR(_xlfn.LET(_xlpm.s,_xlfn.TEXTSPLIT($BP$18,","),_xlpm.k,FIND(":",_xlpm.s),INDEX(TRIM(LEFT(_xlpm.s,_xlpm.k-1)),_xlfn.XMATCH(($BM$18+6),_xlfn.SCAN(0,--MID(_xlpm.s,_xlpm.k+1,9),_xlfn.LAMBDA(_xlpm.a,_xlpm.v,_xlpm.a+_xlpm.v)),1))),""),IF(($BM$18+6)&lt;=$BQ$18,$BP$18,""))))</f>
        <v/>
      </c>
      <c r="CC105" t="str" cm="1">
        <f t="array" ref="CC105">IF(NOT(AND($BN$19&lt;&gt;"",($BM$19+6)&lt;=$BO$19)),"",IF(N105&lt;&gt;"",IF(N105="-","",N105),IF(ISNUMBER(SEARCH(":",$BP$19)),IFERROR(_xlfn.LET(_xlpm.s,_xlfn.TEXTSPLIT($BP$19,","),_xlpm.k,FIND(":",_xlpm.s),INDEX(TRIM(LEFT(_xlpm.s,_xlpm.k-1)),_xlfn.XMATCH(($BM$19+6),_xlfn.SCAN(0,--MID(_xlpm.s,_xlpm.k+1,9),_xlfn.LAMBDA(_xlpm.a,_xlpm.v,_xlpm.a+_xlpm.v)),1))),""),IF(($BM$19+6)&lt;=$BQ$19,$BP$19,""))))</f>
        <v/>
      </c>
      <c r="CD105" t="str" cm="1">
        <f t="array" ref="CD105">IF(NOT(AND($BN$20&lt;&gt;"",($BM$20+6)&lt;=$BO$20)),"",IF(T105&lt;&gt;"",IF(T105="-","",T105),IF(ISNUMBER(SEARCH(":",$BP$20)),IFERROR(_xlfn.LET(_xlpm.s,_xlfn.TEXTSPLIT($BP$20,","),_xlpm.k,FIND(":",_xlpm.s),INDEX(TRIM(LEFT(_xlpm.s,_xlpm.k-1)),_xlfn.XMATCH(($BM$20+6),_xlfn.SCAN(0,--MID(_xlpm.s,_xlpm.k+1,9),_xlfn.LAMBDA(_xlpm.a,_xlpm.v,_xlpm.a+_xlpm.v)),1))),""),IF(($BM$20+6)&lt;=$BQ$20,$BP$20,""))))</f>
        <v/>
      </c>
    </row>
    <row r="106" spans="2:82" hidden="1" x14ac:dyDescent="0.45">
      <c r="B106" s="6"/>
      <c r="C106" s="9" t="str">
        <f>IF(CA106="","",CA106&amp;"-"&amp;TEXT(COUNTIF($CA$72:$CA$95,CA106)+COUNTIF($CB$72:$CB$95,CA106)+COUNTIF($CC$72:$CC$95,CA106)+COUNTIF($CD$72:$CD$95,CA106)+COUNTIF($CA$100:CA106,CA106),"000"))</f>
        <v/>
      </c>
      <c r="D106" s="9" t="str">
        <f>IF(AND($BN$17&lt;&gt;"",($BM$17+7)&lt;=$BO$17),$BN$17,"")</f>
        <v/>
      </c>
      <c r="E106" s="9" t="str">
        <f>IF(AND($BN$17&lt;&gt;"",($BM$17+7)&lt;=$BO$17),TEXT(($BM$17+7),"00"),"")</f>
        <v/>
      </c>
      <c r="F106" s="9" t="str">
        <f>IF(AND($BN$17&lt;&gt;"",($BM$17+7)&lt;=$BO$17),$BN$17&amp;"-"&amp;TEXT(($BM$17+7),"00"),"")</f>
        <v/>
      </c>
      <c r="H106" s="6"/>
      <c r="I106" s="9" t="str">
        <f>IF(CB106="","",CB106&amp;"-"&amp;TEXT(COUNTIF($CA$72:$CA$95,CB106)+COUNTIF($CB$72:$CB$95,CB106)+COUNTIF($CC$72:$CC$95,CB106)+COUNTIF($CD$72:$CD$95,CB106)+COUNTIF($CA$100:$CA$123,CB106)+COUNTIF($CB$100:CB106,CB106),"000"))</f>
        <v/>
      </c>
      <c r="J106" s="9" t="str">
        <f>IF(AND($BN$18&lt;&gt;"",($BM$18+7)&lt;=$BO$18),$BN$18,"")</f>
        <v/>
      </c>
      <c r="K106" s="9" t="str">
        <f>IF(AND($BN$18&lt;&gt;"",($BM$18+7)&lt;=$BO$18),TEXT(($BM$18+7),"00"),"")</f>
        <v/>
      </c>
      <c r="L106" s="9" t="str">
        <f>IF(AND($BN$18&lt;&gt;"",($BM$18+7)&lt;=$BO$18),$BN$18&amp;"-"&amp;TEXT(($BM$18+7),"00"),"")</f>
        <v/>
      </c>
      <c r="N106" s="6"/>
      <c r="O106" s="9" t="str">
        <f>IF(CC106="","",CC106&amp;"-"&amp;TEXT(COUNTIF($CA$72:$CA$95,CC106)+COUNTIF($CB$72:$CB$95,CC106)+COUNTIF($CC$72:$CC$95,CC106)+COUNTIF($CD$72:$CD$95,CC106)+COUNTIF($CA$100:$CA$123,CC106)+COUNTIF($CB$100:$CB$123,CC106)+COUNTIF($CC$100:CC106,CC106),"000"))</f>
        <v/>
      </c>
      <c r="P106" s="9" t="str">
        <f>IF(AND($BN$19&lt;&gt;"",($BM$19+7)&lt;=$BO$19),$BN$19,"")</f>
        <v/>
      </c>
      <c r="Q106" s="9" t="str">
        <f>IF(AND($BN$19&lt;&gt;"",($BM$19+7)&lt;=$BO$19),TEXT(($BM$19+7),"00"),"")</f>
        <v/>
      </c>
      <c r="R106" s="9" t="str">
        <f>IF(AND($BN$19&lt;&gt;"",($BM$19+7)&lt;=$BO$19),$BN$19&amp;"-"&amp;TEXT(($BM$19+7),"00"),"")</f>
        <v/>
      </c>
      <c r="T106" s="6"/>
      <c r="U106" s="9" t="str">
        <f>IF(CD106="","",CD106&amp;"-"&amp;TEXT(COUNTIF($CA$72:$CA$95,CD106)+COUNTIF($CB$72:$CB$95,CD106)+COUNTIF($CC$72:$CC$95,CD106)+COUNTIF($CD$72:$CD$95,CD106)+COUNTIF($CA$100:$CA$123,CD106)+COUNTIF($CB$100:$CB$123,CD106)+COUNTIF($CC$100:$CC$123,CD106)+COUNTIF($CD$100:CD106,CD106),"000"))</f>
        <v/>
      </c>
      <c r="V106" s="9" t="str">
        <f>IF(AND($BN$20&lt;&gt;"",($BM$20+7)&lt;=$BO$20),$BN$20,"")</f>
        <v/>
      </c>
      <c r="W106" s="9" t="str">
        <f>IF(AND($BN$20&lt;&gt;"",($BM$20+7)&lt;=$BO$20),TEXT(($BM$20+7),"00"),"")</f>
        <v/>
      </c>
      <c r="X106" s="9" t="str">
        <f>IF(AND($BN$20&lt;&gt;"",($BM$20+7)&lt;=$BO$20),$BN$20&amp;"-"&amp;TEXT(($BM$20+7),"00"),"")</f>
        <v/>
      </c>
      <c r="BA106">
        <f>IF(OR(Catalogo!$C106="",Catalogo!$B106="Espacio libre",Catalogo!$B106="Espacio reservado"),0,COUNTIF($C$13:$C$42,Catalogo!$C106)+IF($E$7=Catalogo!$C106,N($K$7),0)+IF($E$8=Catalogo!$C106,N($N$8),0)+IF(Proyecto!$D$12=Catalogo!$C106,$AQ$4,0)+SUMIF($C$49:$C$58,Catalogo!$C106,$K$49:$K$58))</f>
        <v>1</v>
      </c>
      <c r="CA106" t="str" cm="1">
        <f t="array" ref="CA106">IF(NOT(AND($BN$17&lt;&gt;"",($BM$17+7)&lt;=$BO$17)),"",IF(B106&lt;&gt;"",IF(B106="-","",B106),IF(ISNUMBER(SEARCH(":",$BP$17)),IFERROR(_xlfn.LET(_xlpm.s,_xlfn.TEXTSPLIT($BP$17,","),_xlpm.k,FIND(":",_xlpm.s),INDEX(TRIM(LEFT(_xlpm.s,_xlpm.k-1)),_xlfn.XMATCH(($BM$17+7),_xlfn.SCAN(0,--MID(_xlpm.s,_xlpm.k+1,9),_xlfn.LAMBDA(_xlpm.a,_xlpm.v,_xlpm.a+_xlpm.v)),1))),""),IF(($BM$17+7)&lt;=$BQ$17,$BP$17,""))))</f>
        <v/>
      </c>
      <c r="CB106" t="str" cm="1">
        <f t="array" ref="CB106">IF(NOT(AND($BN$18&lt;&gt;"",($BM$18+7)&lt;=$BO$18)),"",IF(H106&lt;&gt;"",IF(H106="-","",H106),IF(ISNUMBER(SEARCH(":",$BP$18)),IFERROR(_xlfn.LET(_xlpm.s,_xlfn.TEXTSPLIT($BP$18,","),_xlpm.k,FIND(":",_xlpm.s),INDEX(TRIM(LEFT(_xlpm.s,_xlpm.k-1)),_xlfn.XMATCH(($BM$18+7),_xlfn.SCAN(0,--MID(_xlpm.s,_xlpm.k+1,9),_xlfn.LAMBDA(_xlpm.a,_xlpm.v,_xlpm.a+_xlpm.v)),1))),""),IF(($BM$18+7)&lt;=$BQ$18,$BP$18,""))))</f>
        <v/>
      </c>
      <c r="CC106" t="str" cm="1">
        <f t="array" ref="CC106">IF(NOT(AND($BN$19&lt;&gt;"",($BM$19+7)&lt;=$BO$19)),"",IF(N106&lt;&gt;"",IF(N106="-","",N106),IF(ISNUMBER(SEARCH(":",$BP$19)),IFERROR(_xlfn.LET(_xlpm.s,_xlfn.TEXTSPLIT($BP$19,","),_xlpm.k,FIND(":",_xlpm.s),INDEX(TRIM(LEFT(_xlpm.s,_xlpm.k-1)),_xlfn.XMATCH(($BM$19+7),_xlfn.SCAN(0,--MID(_xlpm.s,_xlpm.k+1,9),_xlfn.LAMBDA(_xlpm.a,_xlpm.v,_xlpm.a+_xlpm.v)),1))),""),IF(($BM$19+7)&lt;=$BQ$19,$BP$19,""))))</f>
        <v/>
      </c>
      <c r="CD106" t="str" cm="1">
        <f t="array" ref="CD106">IF(NOT(AND($BN$20&lt;&gt;"",($BM$20+7)&lt;=$BO$20)),"",IF(T106&lt;&gt;"",IF(T106="-","",T106),IF(ISNUMBER(SEARCH(":",$BP$20)),IFERROR(_xlfn.LET(_xlpm.s,_xlfn.TEXTSPLIT($BP$20,","),_xlpm.k,FIND(":",_xlpm.s),INDEX(TRIM(LEFT(_xlpm.s,_xlpm.k-1)),_xlfn.XMATCH(($BM$20+7),_xlfn.SCAN(0,--MID(_xlpm.s,_xlpm.k+1,9),_xlfn.LAMBDA(_xlpm.a,_xlpm.v,_xlpm.a+_xlpm.v)),1))),""),IF(($BM$20+7)&lt;=$BQ$20,$BP$20,""))))</f>
        <v/>
      </c>
    </row>
    <row r="107" spans="2:82" hidden="1" x14ac:dyDescent="0.45">
      <c r="B107" s="6"/>
      <c r="C107" s="9" t="str">
        <f>IF(CA107="","",CA107&amp;"-"&amp;TEXT(COUNTIF($CA$72:$CA$95,CA107)+COUNTIF($CB$72:$CB$95,CA107)+COUNTIF($CC$72:$CC$95,CA107)+COUNTIF($CD$72:$CD$95,CA107)+COUNTIF($CA$100:CA107,CA107),"000"))</f>
        <v/>
      </c>
      <c r="D107" s="9" t="str">
        <f>IF(AND($BN$17&lt;&gt;"",($BM$17+8)&lt;=$BO$17),$BN$17,"")</f>
        <v/>
      </c>
      <c r="E107" s="9" t="str">
        <f>IF(AND($BN$17&lt;&gt;"",($BM$17+8)&lt;=$BO$17),TEXT(($BM$17+8),"00"),"")</f>
        <v/>
      </c>
      <c r="F107" s="9" t="str">
        <f>IF(AND($BN$17&lt;&gt;"",($BM$17+8)&lt;=$BO$17),$BN$17&amp;"-"&amp;TEXT(($BM$17+8),"00"),"")</f>
        <v/>
      </c>
      <c r="H107" s="6"/>
      <c r="I107" s="9" t="str">
        <f>IF(CB107="","",CB107&amp;"-"&amp;TEXT(COUNTIF($CA$72:$CA$95,CB107)+COUNTIF($CB$72:$CB$95,CB107)+COUNTIF($CC$72:$CC$95,CB107)+COUNTIF($CD$72:$CD$95,CB107)+COUNTIF($CA$100:$CA$123,CB107)+COUNTIF($CB$100:CB107,CB107),"000"))</f>
        <v/>
      </c>
      <c r="J107" s="9" t="str">
        <f>IF(AND($BN$18&lt;&gt;"",($BM$18+8)&lt;=$BO$18),$BN$18,"")</f>
        <v/>
      </c>
      <c r="K107" s="9" t="str">
        <f>IF(AND($BN$18&lt;&gt;"",($BM$18+8)&lt;=$BO$18),TEXT(($BM$18+8),"00"),"")</f>
        <v/>
      </c>
      <c r="L107" s="9" t="str">
        <f>IF(AND($BN$18&lt;&gt;"",($BM$18+8)&lt;=$BO$18),$BN$18&amp;"-"&amp;TEXT(($BM$18+8),"00"),"")</f>
        <v/>
      </c>
      <c r="N107" s="6"/>
      <c r="O107" s="9" t="str">
        <f>IF(CC107="","",CC107&amp;"-"&amp;TEXT(COUNTIF($CA$72:$CA$95,CC107)+COUNTIF($CB$72:$CB$95,CC107)+COUNTIF($CC$72:$CC$95,CC107)+COUNTIF($CD$72:$CD$95,CC107)+COUNTIF($CA$100:$CA$123,CC107)+COUNTIF($CB$100:$CB$123,CC107)+COUNTIF($CC$100:CC107,CC107),"000"))</f>
        <v/>
      </c>
      <c r="P107" s="9" t="str">
        <f>IF(AND($BN$19&lt;&gt;"",($BM$19+8)&lt;=$BO$19),$BN$19,"")</f>
        <v/>
      </c>
      <c r="Q107" s="9" t="str">
        <f>IF(AND($BN$19&lt;&gt;"",($BM$19+8)&lt;=$BO$19),TEXT(($BM$19+8),"00"),"")</f>
        <v/>
      </c>
      <c r="R107" s="9" t="str">
        <f>IF(AND($BN$19&lt;&gt;"",($BM$19+8)&lt;=$BO$19),$BN$19&amp;"-"&amp;TEXT(($BM$19+8),"00"),"")</f>
        <v/>
      </c>
      <c r="T107" s="6"/>
      <c r="U107" s="9" t="str">
        <f>IF(CD107="","",CD107&amp;"-"&amp;TEXT(COUNTIF($CA$72:$CA$95,CD107)+COUNTIF($CB$72:$CB$95,CD107)+COUNTIF($CC$72:$CC$95,CD107)+COUNTIF($CD$72:$CD$95,CD107)+COUNTIF($CA$100:$CA$123,CD107)+COUNTIF($CB$100:$CB$123,CD107)+COUNTIF($CC$100:$CC$123,CD107)+COUNTIF($CD$100:CD107,CD107),"000"))</f>
        <v/>
      </c>
      <c r="V107" s="9" t="str">
        <f>IF(AND($BN$20&lt;&gt;"",($BM$20+8)&lt;=$BO$20),$BN$20,"")</f>
        <v/>
      </c>
      <c r="W107" s="9" t="str">
        <f>IF(AND($BN$20&lt;&gt;"",($BM$20+8)&lt;=$BO$20),TEXT(($BM$20+8),"00"),"")</f>
        <v/>
      </c>
      <c r="X107" s="9" t="str">
        <f>IF(AND($BN$20&lt;&gt;"",($BM$20+8)&lt;=$BO$20),$BN$20&amp;"-"&amp;TEXT(($BM$20+8),"00"),"")</f>
        <v/>
      </c>
      <c r="BA107">
        <f>IF(OR(Catalogo!$C107="",Catalogo!$B107="Espacio libre",Catalogo!$B107="Espacio reservado"),0,COUNTIF($C$13:$C$42,Catalogo!$C107)+IF($E$7=Catalogo!$C107,N($K$7),0)+IF($E$8=Catalogo!$C107,N($N$8),0)+IF(Proyecto!$D$12=Catalogo!$C107,$AQ$4,0)+SUMIF($C$49:$C$58,Catalogo!$C107,$K$49:$K$58))</f>
        <v>1</v>
      </c>
      <c r="CA107" t="str" cm="1">
        <f t="array" ref="CA107">IF(NOT(AND($BN$17&lt;&gt;"",($BM$17+8)&lt;=$BO$17)),"",IF(B107&lt;&gt;"",IF(B107="-","",B107),IF(ISNUMBER(SEARCH(":",$BP$17)),IFERROR(_xlfn.LET(_xlpm.s,_xlfn.TEXTSPLIT($BP$17,","),_xlpm.k,FIND(":",_xlpm.s),INDEX(TRIM(LEFT(_xlpm.s,_xlpm.k-1)),_xlfn.XMATCH(($BM$17+8),_xlfn.SCAN(0,--MID(_xlpm.s,_xlpm.k+1,9),_xlfn.LAMBDA(_xlpm.a,_xlpm.v,_xlpm.a+_xlpm.v)),1))),""),IF(($BM$17+8)&lt;=$BQ$17,$BP$17,""))))</f>
        <v/>
      </c>
      <c r="CB107" t="str" cm="1">
        <f t="array" ref="CB107">IF(NOT(AND($BN$18&lt;&gt;"",($BM$18+8)&lt;=$BO$18)),"",IF(H107&lt;&gt;"",IF(H107="-","",H107),IF(ISNUMBER(SEARCH(":",$BP$18)),IFERROR(_xlfn.LET(_xlpm.s,_xlfn.TEXTSPLIT($BP$18,","),_xlpm.k,FIND(":",_xlpm.s),INDEX(TRIM(LEFT(_xlpm.s,_xlpm.k-1)),_xlfn.XMATCH(($BM$18+8),_xlfn.SCAN(0,--MID(_xlpm.s,_xlpm.k+1,9),_xlfn.LAMBDA(_xlpm.a,_xlpm.v,_xlpm.a+_xlpm.v)),1))),""),IF(($BM$18+8)&lt;=$BQ$18,$BP$18,""))))</f>
        <v/>
      </c>
      <c r="CC107" t="str" cm="1">
        <f t="array" ref="CC107">IF(NOT(AND($BN$19&lt;&gt;"",($BM$19+8)&lt;=$BO$19)),"",IF(N107&lt;&gt;"",IF(N107="-","",N107),IF(ISNUMBER(SEARCH(":",$BP$19)),IFERROR(_xlfn.LET(_xlpm.s,_xlfn.TEXTSPLIT($BP$19,","),_xlpm.k,FIND(":",_xlpm.s),INDEX(TRIM(LEFT(_xlpm.s,_xlpm.k-1)),_xlfn.XMATCH(($BM$19+8),_xlfn.SCAN(0,--MID(_xlpm.s,_xlpm.k+1,9),_xlfn.LAMBDA(_xlpm.a,_xlpm.v,_xlpm.a+_xlpm.v)),1))),""),IF(($BM$19+8)&lt;=$BQ$19,$BP$19,""))))</f>
        <v/>
      </c>
      <c r="CD107" t="str" cm="1">
        <f t="array" ref="CD107">IF(NOT(AND($BN$20&lt;&gt;"",($BM$20+8)&lt;=$BO$20)),"",IF(T107&lt;&gt;"",IF(T107="-","",T107),IF(ISNUMBER(SEARCH(":",$BP$20)),IFERROR(_xlfn.LET(_xlpm.s,_xlfn.TEXTSPLIT($BP$20,","),_xlpm.k,FIND(":",_xlpm.s),INDEX(TRIM(LEFT(_xlpm.s,_xlpm.k-1)),_xlfn.XMATCH(($BM$20+8),_xlfn.SCAN(0,--MID(_xlpm.s,_xlpm.k+1,9),_xlfn.LAMBDA(_xlpm.a,_xlpm.v,_xlpm.a+_xlpm.v)),1))),""),IF(($BM$20+8)&lt;=$BQ$20,$BP$20,""))))</f>
        <v/>
      </c>
    </row>
    <row r="108" spans="2:82" hidden="1" x14ac:dyDescent="0.45">
      <c r="B108" s="6"/>
      <c r="C108" s="9" t="str">
        <f>IF(CA108="","",CA108&amp;"-"&amp;TEXT(COUNTIF($CA$72:$CA$95,CA108)+COUNTIF($CB$72:$CB$95,CA108)+COUNTIF($CC$72:$CC$95,CA108)+COUNTIF($CD$72:$CD$95,CA108)+COUNTIF($CA$100:CA108,CA108),"000"))</f>
        <v/>
      </c>
      <c r="D108" s="9" t="str">
        <f>IF(AND($BN$17&lt;&gt;"",($BM$17+9)&lt;=$BO$17),$BN$17,"")</f>
        <v/>
      </c>
      <c r="E108" s="9" t="str">
        <f>IF(AND($BN$17&lt;&gt;"",($BM$17+9)&lt;=$BO$17),TEXT(($BM$17+9),"00"),"")</f>
        <v/>
      </c>
      <c r="F108" s="9" t="str">
        <f>IF(AND($BN$17&lt;&gt;"",($BM$17+9)&lt;=$BO$17),$BN$17&amp;"-"&amp;TEXT(($BM$17+9),"00"),"")</f>
        <v/>
      </c>
      <c r="H108" s="6"/>
      <c r="I108" s="9" t="str">
        <f>IF(CB108="","",CB108&amp;"-"&amp;TEXT(COUNTIF($CA$72:$CA$95,CB108)+COUNTIF($CB$72:$CB$95,CB108)+COUNTIF($CC$72:$CC$95,CB108)+COUNTIF($CD$72:$CD$95,CB108)+COUNTIF($CA$100:$CA$123,CB108)+COUNTIF($CB$100:CB108,CB108),"000"))</f>
        <v/>
      </c>
      <c r="J108" s="9" t="str">
        <f>IF(AND($BN$18&lt;&gt;"",($BM$18+9)&lt;=$BO$18),$BN$18,"")</f>
        <v/>
      </c>
      <c r="K108" s="9" t="str">
        <f>IF(AND($BN$18&lt;&gt;"",($BM$18+9)&lt;=$BO$18),TEXT(($BM$18+9),"00"),"")</f>
        <v/>
      </c>
      <c r="L108" s="9" t="str">
        <f>IF(AND($BN$18&lt;&gt;"",($BM$18+9)&lt;=$BO$18),$BN$18&amp;"-"&amp;TEXT(($BM$18+9),"00"),"")</f>
        <v/>
      </c>
      <c r="N108" s="6"/>
      <c r="O108" s="9" t="str">
        <f>IF(CC108="","",CC108&amp;"-"&amp;TEXT(COUNTIF($CA$72:$CA$95,CC108)+COUNTIF($CB$72:$CB$95,CC108)+COUNTIF($CC$72:$CC$95,CC108)+COUNTIF($CD$72:$CD$95,CC108)+COUNTIF($CA$100:$CA$123,CC108)+COUNTIF($CB$100:$CB$123,CC108)+COUNTIF($CC$100:CC108,CC108),"000"))</f>
        <v/>
      </c>
      <c r="P108" s="9" t="str">
        <f>IF(AND($BN$19&lt;&gt;"",($BM$19+9)&lt;=$BO$19),$BN$19,"")</f>
        <v/>
      </c>
      <c r="Q108" s="9" t="str">
        <f>IF(AND($BN$19&lt;&gt;"",($BM$19+9)&lt;=$BO$19),TEXT(($BM$19+9),"00"),"")</f>
        <v/>
      </c>
      <c r="R108" s="9" t="str">
        <f>IF(AND($BN$19&lt;&gt;"",($BM$19+9)&lt;=$BO$19),$BN$19&amp;"-"&amp;TEXT(($BM$19+9),"00"),"")</f>
        <v/>
      </c>
      <c r="T108" s="6"/>
      <c r="U108" s="9" t="str">
        <f>IF(CD108="","",CD108&amp;"-"&amp;TEXT(COUNTIF($CA$72:$CA$95,CD108)+COUNTIF($CB$72:$CB$95,CD108)+COUNTIF($CC$72:$CC$95,CD108)+COUNTIF($CD$72:$CD$95,CD108)+COUNTIF($CA$100:$CA$123,CD108)+COUNTIF($CB$100:$CB$123,CD108)+COUNTIF($CC$100:$CC$123,CD108)+COUNTIF($CD$100:CD108,CD108),"000"))</f>
        <v/>
      </c>
      <c r="V108" s="9" t="str">
        <f>IF(AND($BN$20&lt;&gt;"",($BM$20+9)&lt;=$BO$20),$BN$20,"")</f>
        <v/>
      </c>
      <c r="W108" s="9" t="str">
        <f>IF(AND($BN$20&lt;&gt;"",($BM$20+9)&lt;=$BO$20),TEXT(($BM$20+9),"00"),"")</f>
        <v/>
      </c>
      <c r="X108" s="9" t="str">
        <f>IF(AND($BN$20&lt;&gt;"",($BM$20+9)&lt;=$BO$20),$BN$20&amp;"-"&amp;TEXT(($BM$20+9),"00"),"")</f>
        <v/>
      </c>
      <c r="BA108">
        <f>IF(OR(Catalogo!$C108="",Catalogo!$B108="Espacio libre",Catalogo!$B108="Espacio reservado"),0,COUNTIF($C$13:$C$42,Catalogo!$C108)+IF($E$7=Catalogo!$C108,N($K$7),0)+IF($E$8=Catalogo!$C108,N($N$8),0)+IF(Proyecto!$D$12=Catalogo!$C108,$AQ$4,0)+SUMIF($C$49:$C$58,Catalogo!$C108,$K$49:$K$58))</f>
        <v>1</v>
      </c>
      <c r="CA108" t="str" cm="1">
        <f t="array" ref="CA108">IF(NOT(AND($BN$17&lt;&gt;"",($BM$17+9)&lt;=$BO$17)),"",IF(B108&lt;&gt;"",IF(B108="-","",B108),IF(ISNUMBER(SEARCH(":",$BP$17)),IFERROR(_xlfn.LET(_xlpm.s,_xlfn.TEXTSPLIT($BP$17,","),_xlpm.k,FIND(":",_xlpm.s),INDEX(TRIM(LEFT(_xlpm.s,_xlpm.k-1)),_xlfn.XMATCH(($BM$17+9),_xlfn.SCAN(0,--MID(_xlpm.s,_xlpm.k+1,9),_xlfn.LAMBDA(_xlpm.a,_xlpm.v,_xlpm.a+_xlpm.v)),1))),""),IF(($BM$17+9)&lt;=$BQ$17,$BP$17,""))))</f>
        <v/>
      </c>
      <c r="CB108" t="str" cm="1">
        <f t="array" ref="CB108">IF(NOT(AND($BN$18&lt;&gt;"",($BM$18+9)&lt;=$BO$18)),"",IF(H108&lt;&gt;"",IF(H108="-","",H108),IF(ISNUMBER(SEARCH(":",$BP$18)),IFERROR(_xlfn.LET(_xlpm.s,_xlfn.TEXTSPLIT($BP$18,","),_xlpm.k,FIND(":",_xlpm.s),INDEX(TRIM(LEFT(_xlpm.s,_xlpm.k-1)),_xlfn.XMATCH(($BM$18+9),_xlfn.SCAN(0,--MID(_xlpm.s,_xlpm.k+1,9),_xlfn.LAMBDA(_xlpm.a,_xlpm.v,_xlpm.a+_xlpm.v)),1))),""),IF(($BM$18+9)&lt;=$BQ$18,$BP$18,""))))</f>
        <v/>
      </c>
      <c r="CC108" t="str" cm="1">
        <f t="array" ref="CC108">IF(NOT(AND($BN$19&lt;&gt;"",($BM$19+9)&lt;=$BO$19)),"",IF(N108&lt;&gt;"",IF(N108="-","",N108),IF(ISNUMBER(SEARCH(":",$BP$19)),IFERROR(_xlfn.LET(_xlpm.s,_xlfn.TEXTSPLIT($BP$19,","),_xlpm.k,FIND(":",_xlpm.s),INDEX(TRIM(LEFT(_xlpm.s,_xlpm.k-1)),_xlfn.XMATCH(($BM$19+9),_xlfn.SCAN(0,--MID(_xlpm.s,_xlpm.k+1,9),_xlfn.LAMBDA(_xlpm.a,_xlpm.v,_xlpm.a+_xlpm.v)),1))),""),IF(($BM$19+9)&lt;=$BQ$19,$BP$19,""))))</f>
        <v/>
      </c>
      <c r="CD108" t="str" cm="1">
        <f t="array" ref="CD108">IF(NOT(AND($BN$20&lt;&gt;"",($BM$20+9)&lt;=$BO$20)),"",IF(T108&lt;&gt;"",IF(T108="-","",T108),IF(ISNUMBER(SEARCH(":",$BP$20)),IFERROR(_xlfn.LET(_xlpm.s,_xlfn.TEXTSPLIT($BP$20,","),_xlpm.k,FIND(":",_xlpm.s),INDEX(TRIM(LEFT(_xlpm.s,_xlpm.k-1)),_xlfn.XMATCH(($BM$20+9),_xlfn.SCAN(0,--MID(_xlpm.s,_xlpm.k+1,9),_xlfn.LAMBDA(_xlpm.a,_xlpm.v,_xlpm.a+_xlpm.v)),1))),""),IF(($BM$20+9)&lt;=$BQ$20,$BP$20,""))))</f>
        <v/>
      </c>
    </row>
    <row r="109" spans="2:82" hidden="1" x14ac:dyDescent="0.45">
      <c r="B109" s="6"/>
      <c r="C109" s="9" t="str">
        <f>IF(CA109="","",CA109&amp;"-"&amp;TEXT(COUNTIF($CA$72:$CA$95,CA109)+COUNTIF($CB$72:$CB$95,CA109)+COUNTIF($CC$72:$CC$95,CA109)+COUNTIF($CD$72:$CD$95,CA109)+COUNTIF($CA$100:CA109,CA109),"000"))</f>
        <v/>
      </c>
      <c r="D109" s="9" t="str">
        <f>IF(AND($BN$17&lt;&gt;"",($BM$17+10)&lt;=$BO$17),$BN$17,"")</f>
        <v/>
      </c>
      <c r="E109" s="9" t="str">
        <f>IF(AND($BN$17&lt;&gt;"",($BM$17+10)&lt;=$BO$17),TEXT(($BM$17+10),"00"),"")</f>
        <v/>
      </c>
      <c r="F109" s="9" t="str">
        <f>IF(AND($BN$17&lt;&gt;"",($BM$17+10)&lt;=$BO$17),$BN$17&amp;"-"&amp;TEXT(($BM$17+10),"00"),"")</f>
        <v/>
      </c>
      <c r="H109" s="6"/>
      <c r="I109" s="9" t="str">
        <f>IF(CB109="","",CB109&amp;"-"&amp;TEXT(COUNTIF($CA$72:$CA$95,CB109)+COUNTIF($CB$72:$CB$95,CB109)+COUNTIF($CC$72:$CC$95,CB109)+COUNTIF($CD$72:$CD$95,CB109)+COUNTIF($CA$100:$CA$123,CB109)+COUNTIF($CB$100:CB109,CB109),"000"))</f>
        <v/>
      </c>
      <c r="J109" s="9" t="str">
        <f>IF(AND($BN$18&lt;&gt;"",($BM$18+10)&lt;=$BO$18),$BN$18,"")</f>
        <v/>
      </c>
      <c r="K109" s="9" t="str">
        <f>IF(AND($BN$18&lt;&gt;"",($BM$18+10)&lt;=$BO$18),TEXT(($BM$18+10),"00"),"")</f>
        <v/>
      </c>
      <c r="L109" s="9" t="str">
        <f>IF(AND($BN$18&lt;&gt;"",($BM$18+10)&lt;=$BO$18),$BN$18&amp;"-"&amp;TEXT(($BM$18+10),"00"),"")</f>
        <v/>
      </c>
      <c r="N109" s="6"/>
      <c r="O109" s="9" t="str">
        <f>IF(CC109="","",CC109&amp;"-"&amp;TEXT(COUNTIF($CA$72:$CA$95,CC109)+COUNTIF($CB$72:$CB$95,CC109)+COUNTIF($CC$72:$CC$95,CC109)+COUNTIF($CD$72:$CD$95,CC109)+COUNTIF($CA$100:$CA$123,CC109)+COUNTIF($CB$100:$CB$123,CC109)+COUNTIF($CC$100:CC109,CC109),"000"))</f>
        <v/>
      </c>
      <c r="P109" s="9" t="str">
        <f>IF(AND($BN$19&lt;&gt;"",($BM$19+10)&lt;=$BO$19),$BN$19,"")</f>
        <v/>
      </c>
      <c r="Q109" s="9" t="str">
        <f>IF(AND($BN$19&lt;&gt;"",($BM$19+10)&lt;=$BO$19),TEXT(($BM$19+10),"00"),"")</f>
        <v/>
      </c>
      <c r="R109" s="9" t="str">
        <f>IF(AND($BN$19&lt;&gt;"",($BM$19+10)&lt;=$BO$19),$BN$19&amp;"-"&amp;TEXT(($BM$19+10),"00"),"")</f>
        <v/>
      </c>
      <c r="T109" s="6"/>
      <c r="U109" s="9" t="str">
        <f>IF(CD109="","",CD109&amp;"-"&amp;TEXT(COUNTIF($CA$72:$CA$95,CD109)+COUNTIF($CB$72:$CB$95,CD109)+COUNTIF($CC$72:$CC$95,CD109)+COUNTIF($CD$72:$CD$95,CD109)+COUNTIF($CA$100:$CA$123,CD109)+COUNTIF($CB$100:$CB$123,CD109)+COUNTIF($CC$100:$CC$123,CD109)+COUNTIF($CD$100:CD109,CD109),"000"))</f>
        <v/>
      </c>
      <c r="V109" s="9" t="str">
        <f>IF(AND($BN$20&lt;&gt;"",($BM$20+10)&lt;=$BO$20),$BN$20,"")</f>
        <v/>
      </c>
      <c r="W109" s="9" t="str">
        <f>IF(AND($BN$20&lt;&gt;"",($BM$20+10)&lt;=$BO$20),TEXT(($BM$20+10),"00"),"")</f>
        <v/>
      </c>
      <c r="X109" s="9" t="str">
        <f>IF(AND($BN$20&lt;&gt;"",($BM$20+10)&lt;=$BO$20),$BN$20&amp;"-"&amp;TEXT(($BM$20+10),"00"),"")</f>
        <v/>
      </c>
      <c r="BA109">
        <f>IF(OR(Catalogo!$C109="",Catalogo!$B109="Espacio libre",Catalogo!$B109="Espacio reservado"),0,COUNTIF($C$13:$C$42,Catalogo!$C109)+IF($E$7=Catalogo!$C109,N($K$7),0)+IF($E$8=Catalogo!$C109,N($N$8),0)+IF(Proyecto!$D$12=Catalogo!$C109,$AQ$4,0)+SUMIF($C$49:$C$58,Catalogo!$C109,$K$49:$K$58))</f>
        <v>2</v>
      </c>
      <c r="CA109" t="str" cm="1">
        <f t="array" ref="CA109">IF(NOT(AND($BN$17&lt;&gt;"",($BM$17+10)&lt;=$BO$17)),"",IF(B109&lt;&gt;"",IF(B109="-","",B109),IF(ISNUMBER(SEARCH(":",$BP$17)),IFERROR(_xlfn.LET(_xlpm.s,_xlfn.TEXTSPLIT($BP$17,","),_xlpm.k,FIND(":",_xlpm.s),INDEX(TRIM(LEFT(_xlpm.s,_xlpm.k-1)),_xlfn.XMATCH(($BM$17+10),_xlfn.SCAN(0,--MID(_xlpm.s,_xlpm.k+1,9),_xlfn.LAMBDA(_xlpm.a,_xlpm.v,_xlpm.a+_xlpm.v)),1))),""),IF(($BM$17+10)&lt;=$BQ$17,$BP$17,""))))</f>
        <v/>
      </c>
      <c r="CB109" t="str" cm="1">
        <f t="array" ref="CB109">IF(NOT(AND($BN$18&lt;&gt;"",($BM$18+10)&lt;=$BO$18)),"",IF(H109&lt;&gt;"",IF(H109="-","",H109),IF(ISNUMBER(SEARCH(":",$BP$18)),IFERROR(_xlfn.LET(_xlpm.s,_xlfn.TEXTSPLIT($BP$18,","),_xlpm.k,FIND(":",_xlpm.s),INDEX(TRIM(LEFT(_xlpm.s,_xlpm.k-1)),_xlfn.XMATCH(($BM$18+10),_xlfn.SCAN(0,--MID(_xlpm.s,_xlpm.k+1,9),_xlfn.LAMBDA(_xlpm.a,_xlpm.v,_xlpm.a+_xlpm.v)),1))),""),IF(($BM$18+10)&lt;=$BQ$18,$BP$18,""))))</f>
        <v/>
      </c>
      <c r="CC109" t="str" cm="1">
        <f t="array" ref="CC109">IF(NOT(AND($BN$19&lt;&gt;"",($BM$19+10)&lt;=$BO$19)),"",IF(N109&lt;&gt;"",IF(N109="-","",N109),IF(ISNUMBER(SEARCH(":",$BP$19)),IFERROR(_xlfn.LET(_xlpm.s,_xlfn.TEXTSPLIT($BP$19,","),_xlpm.k,FIND(":",_xlpm.s),INDEX(TRIM(LEFT(_xlpm.s,_xlpm.k-1)),_xlfn.XMATCH(($BM$19+10),_xlfn.SCAN(0,--MID(_xlpm.s,_xlpm.k+1,9),_xlfn.LAMBDA(_xlpm.a,_xlpm.v,_xlpm.a+_xlpm.v)),1))),""),IF(($BM$19+10)&lt;=$BQ$19,$BP$19,""))))</f>
        <v/>
      </c>
      <c r="CD109" t="str" cm="1">
        <f t="array" ref="CD109">IF(NOT(AND($BN$20&lt;&gt;"",($BM$20+10)&lt;=$BO$20)),"",IF(T109&lt;&gt;"",IF(T109="-","",T109),IF(ISNUMBER(SEARCH(":",$BP$20)),IFERROR(_xlfn.LET(_xlpm.s,_xlfn.TEXTSPLIT($BP$20,","),_xlpm.k,FIND(":",_xlpm.s),INDEX(TRIM(LEFT(_xlpm.s,_xlpm.k-1)),_xlfn.XMATCH(($BM$20+10),_xlfn.SCAN(0,--MID(_xlpm.s,_xlpm.k+1,9),_xlfn.LAMBDA(_xlpm.a,_xlpm.v,_xlpm.a+_xlpm.v)),1))),""),IF(($BM$20+10)&lt;=$BQ$20,$BP$20,""))))</f>
        <v/>
      </c>
    </row>
    <row r="110" spans="2:82" hidden="1" x14ac:dyDescent="0.45">
      <c r="B110" s="6"/>
      <c r="C110" s="9" t="str">
        <f>IF(CA110="","",CA110&amp;"-"&amp;TEXT(COUNTIF($CA$72:$CA$95,CA110)+COUNTIF($CB$72:$CB$95,CA110)+COUNTIF($CC$72:$CC$95,CA110)+COUNTIF($CD$72:$CD$95,CA110)+COUNTIF($CA$100:CA110,CA110),"000"))</f>
        <v/>
      </c>
      <c r="D110" s="9" t="str">
        <f>IF(AND($BN$17&lt;&gt;"",($BM$17+11)&lt;=$BO$17),$BN$17,"")</f>
        <v/>
      </c>
      <c r="E110" s="9" t="str">
        <f>IF(AND($BN$17&lt;&gt;"",($BM$17+11)&lt;=$BO$17),TEXT(($BM$17+11),"00"),"")</f>
        <v/>
      </c>
      <c r="F110" s="9" t="str">
        <f>IF(AND($BN$17&lt;&gt;"",($BM$17+11)&lt;=$BO$17),$BN$17&amp;"-"&amp;TEXT(($BM$17+11),"00"),"")</f>
        <v/>
      </c>
      <c r="H110" s="6"/>
      <c r="I110" s="9" t="str">
        <f>IF(CB110="","",CB110&amp;"-"&amp;TEXT(COUNTIF($CA$72:$CA$95,CB110)+COUNTIF($CB$72:$CB$95,CB110)+COUNTIF($CC$72:$CC$95,CB110)+COUNTIF($CD$72:$CD$95,CB110)+COUNTIF($CA$100:$CA$123,CB110)+COUNTIF($CB$100:CB110,CB110),"000"))</f>
        <v/>
      </c>
      <c r="J110" s="9" t="str">
        <f>IF(AND($BN$18&lt;&gt;"",($BM$18+11)&lt;=$BO$18),$BN$18,"")</f>
        <v/>
      </c>
      <c r="K110" s="9" t="str">
        <f>IF(AND($BN$18&lt;&gt;"",($BM$18+11)&lt;=$BO$18),TEXT(($BM$18+11),"00"),"")</f>
        <v/>
      </c>
      <c r="L110" s="9" t="str">
        <f>IF(AND($BN$18&lt;&gt;"",($BM$18+11)&lt;=$BO$18),$BN$18&amp;"-"&amp;TEXT(($BM$18+11),"00"),"")</f>
        <v/>
      </c>
      <c r="N110" s="6"/>
      <c r="O110" s="9" t="str">
        <f>IF(CC110="","",CC110&amp;"-"&amp;TEXT(COUNTIF($CA$72:$CA$95,CC110)+COUNTIF($CB$72:$CB$95,CC110)+COUNTIF($CC$72:$CC$95,CC110)+COUNTIF($CD$72:$CD$95,CC110)+COUNTIF($CA$100:$CA$123,CC110)+COUNTIF($CB$100:$CB$123,CC110)+COUNTIF($CC$100:CC110,CC110),"000"))</f>
        <v/>
      </c>
      <c r="P110" s="9" t="str">
        <f>IF(AND($BN$19&lt;&gt;"",($BM$19+11)&lt;=$BO$19),$BN$19,"")</f>
        <v/>
      </c>
      <c r="Q110" s="9" t="str">
        <f>IF(AND($BN$19&lt;&gt;"",($BM$19+11)&lt;=$BO$19),TEXT(($BM$19+11),"00"),"")</f>
        <v/>
      </c>
      <c r="R110" s="9" t="str">
        <f>IF(AND($BN$19&lt;&gt;"",($BM$19+11)&lt;=$BO$19),$BN$19&amp;"-"&amp;TEXT(($BM$19+11),"00"),"")</f>
        <v/>
      </c>
      <c r="T110" s="6"/>
      <c r="U110" s="9" t="str">
        <f>IF(CD110="","",CD110&amp;"-"&amp;TEXT(COUNTIF($CA$72:$CA$95,CD110)+COUNTIF($CB$72:$CB$95,CD110)+COUNTIF($CC$72:$CC$95,CD110)+COUNTIF($CD$72:$CD$95,CD110)+COUNTIF($CA$100:$CA$123,CD110)+COUNTIF($CB$100:$CB$123,CD110)+COUNTIF($CC$100:$CC$123,CD110)+COUNTIF($CD$100:CD110,CD110),"000"))</f>
        <v/>
      </c>
      <c r="V110" s="9" t="str">
        <f>IF(AND($BN$20&lt;&gt;"",($BM$20+11)&lt;=$BO$20),$BN$20,"")</f>
        <v/>
      </c>
      <c r="W110" s="9" t="str">
        <f>IF(AND($BN$20&lt;&gt;"",($BM$20+11)&lt;=$BO$20),TEXT(($BM$20+11),"00"),"")</f>
        <v/>
      </c>
      <c r="X110" s="9" t="str">
        <f>IF(AND($BN$20&lt;&gt;"",($BM$20+11)&lt;=$BO$20),$BN$20&amp;"-"&amp;TEXT(($BM$20+11),"00"),"")</f>
        <v/>
      </c>
      <c r="BA110">
        <f>IF(OR(Catalogo!$C110="",Catalogo!$B110="Espacio libre",Catalogo!$B110="Espacio reservado"),0,COUNTIF($C$13:$C$42,Catalogo!$C110)+IF($E$7=Catalogo!$C110,N($K$7),0)+IF($E$8=Catalogo!$C110,N($N$8),0)+IF(Proyecto!$D$12=Catalogo!$C110,$AQ$4,0)+SUMIF($C$49:$C$58,Catalogo!$C110,$K$49:$K$58))</f>
        <v>2</v>
      </c>
      <c r="CA110" t="str" cm="1">
        <f t="array" ref="CA110">IF(NOT(AND($BN$17&lt;&gt;"",($BM$17+11)&lt;=$BO$17)),"",IF(B110&lt;&gt;"",IF(B110="-","",B110),IF(ISNUMBER(SEARCH(":",$BP$17)),IFERROR(_xlfn.LET(_xlpm.s,_xlfn.TEXTSPLIT($BP$17,","),_xlpm.k,FIND(":",_xlpm.s),INDEX(TRIM(LEFT(_xlpm.s,_xlpm.k-1)),_xlfn.XMATCH(($BM$17+11),_xlfn.SCAN(0,--MID(_xlpm.s,_xlpm.k+1,9),_xlfn.LAMBDA(_xlpm.a,_xlpm.v,_xlpm.a+_xlpm.v)),1))),""),IF(($BM$17+11)&lt;=$BQ$17,$BP$17,""))))</f>
        <v/>
      </c>
      <c r="CB110" t="str" cm="1">
        <f t="array" ref="CB110">IF(NOT(AND($BN$18&lt;&gt;"",($BM$18+11)&lt;=$BO$18)),"",IF(H110&lt;&gt;"",IF(H110="-","",H110),IF(ISNUMBER(SEARCH(":",$BP$18)),IFERROR(_xlfn.LET(_xlpm.s,_xlfn.TEXTSPLIT($BP$18,","),_xlpm.k,FIND(":",_xlpm.s),INDEX(TRIM(LEFT(_xlpm.s,_xlpm.k-1)),_xlfn.XMATCH(($BM$18+11),_xlfn.SCAN(0,--MID(_xlpm.s,_xlpm.k+1,9),_xlfn.LAMBDA(_xlpm.a,_xlpm.v,_xlpm.a+_xlpm.v)),1))),""),IF(($BM$18+11)&lt;=$BQ$18,$BP$18,""))))</f>
        <v/>
      </c>
      <c r="CC110" t="str" cm="1">
        <f t="array" ref="CC110">IF(NOT(AND($BN$19&lt;&gt;"",($BM$19+11)&lt;=$BO$19)),"",IF(N110&lt;&gt;"",IF(N110="-","",N110),IF(ISNUMBER(SEARCH(":",$BP$19)),IFERROR(_xlfn.LET(_xlpm.s,_xlfn.TEXTSPLIT($BP$19,","),_xlpm.k,FIND(":",_xlpm.s),INDEX(TRIM(LEFT(_xlpm.s,_xlpm.k-1)),_xlfn.XMATCH(($BM$19+11),_xlfn.SCAN(0,--MID(_xlpm.s,_xlpm.k+1,9),_xlfn.LAMBDA(_xlpm.a,_xlpm.v,_xlpm.a+_xlpm.v)),1))),""),IF(($BM$19+11)&lt;=$BQ$19,$BP$19,""))))</f>
        <v/>
      </c>
      <c r="CD110" t="str" cm="1">
        <f t="array" ref="CD110">IF(NOT(AND($BN$20&lt;&gt;"",($BM$20+11)&lt;=$BO$20)),"",IF(T110&lt;&gt;"",IF(T110="-","",T110),IF(ISNUMBER(SEARCH(":",$BP$20)),IFERROR(_xlfn.LET(_xlpm.s,_xlfn.TEXTSPLIT($BP$20,","),_xlpm.k,FIND(":",_xlpm.s),INDEX(TRIM(LEFT(_xlpm.s,_xlpm.k-1)),_xlfn.XMATCH(($BM$20+11),_xlfn.SCAN(0,--MID(_xlpm.s,_xlpm.k+1,9),_xlfn.LAMBDA(_xlpm.a,_xlpm.v,_xlpm.a+_xlpm.v)),1))),""),IF(($BM$20+11)&lt;=$BQ$20,$BP$20,""))))</f>
        <v/>
      </c>
    </row>
    <row r="111" spans="2:82" hidden="1" x14ac:dyDescent="0.45">
      <c r="B111" s="6"/>
      <c r="C111" s="9" t="str">
        <f>IF(CA111="","",CA111&amp;"-"&amp;TEXT(COUNTIF($CA$72:$CA$95,CA111)+COUNTIF($CB$72:$CB$95,CA111)+COUNTIF($CC$72:$CC$95,CA111)+COUNTIF($CD$72:$CD$95,CA111)+COUNTIF($CA$100:CA111,CA111),"000"))</f>
        <v/>
      </c>
      <c r="D111" s="9" t="str">
        <f>IF(AND($BN$17&lt;&gt;"",($BM$17+12)&lt;=$BO$17),$BN$17,"")</f>
        <v/>
      </c>
      <c r="E111" s="9" t="str">
        <f>IF(AND($BN$17&lt;&gt;"",($BM$17+12)&lt;=$BO$17),TEXT(($BM$17+12),"00"),"")</f>
        <v/>
      </c>
      <c r="F111" s="9" t="str">
        <f>IF(AND($BN$17&lt;&gt;"",($BM$17+12)&lt;=$BO$17),$BN$17&amp;"-"&amp;TEXT(($BM$17+12),"00"),"")</f>
        <v/>
      </c>
      <c r="H111" s="6"/>
      <c r="I111" s="9" t="str">
        <f>IF(CB111="","",CB111&amp;"-"&amp;TEXT(COUNTIF($CA$72:$CA$95,CB111)+COUNTIF($CB$72:$CB$95,CB111)+COUNTIF($CC$72:$CC$95,CB111)+COUNTIF($CD$72:$CD$95,CB111)+COUNTIF($CA$100:$CA$123,CB111)+COUNTIF($CB$100:CB111,CB111),"000"))</f>
        <v/>
      </c>
      <c r="J111" s="9" t="str">
        <f>IF(AND($BN$18&lt;&gt;"",($BM$18+12)&lt;=$BO$18),$BN$18,"")</f>
        <v/>
      </c>
      <c r="K111" s="9" t="str">
        <f>IF(AND($BN$18&lt;&gt;"",($BM$18+12)&lt;=$BO$18),TEXT(($BM$18+12),"00"),"")</f>
        <v/>
      </c>
      <c r="L111" s="9" t="str">
        <f>IF(AND($BN$18&lt;&gt;"",($BM$18+12)&lt;=$BO$18),$BN$18&amp;"-"&amp;TEXT(($BM$18+12),"00"),"")</f>
        <v/>
      </c>
      <c r="N111" s="6"/>
      <c r="O111" s="9" t="str">
        <f>IF(CC111="","",CC111&amp;"-"&amp;TEXT(COUNTIF($CA$72:$CA$95,CC111)+COUNTIF($CB$72:$CB$95,CC111)+COUNTIF($CC$72:$CC$95,CC111)+COUNTIF($CD$72:$CD$95,CC111)+COUNTIF($CA$100:$CA$123,CC111)+COUNTIF($CB$100:$CB$123,CC111)+COUNTIF($CC$100:CC111,CC111),"000"))</f>
        <v/>
      </c>
      <c r="P111" s="9" t="str">
        <f>IF(AND($BN$19&lt;&gt;"",($BM$19+12)&lt;=$BO$19),$BN$19,"")</f>
        <v/>
      </c>
      <c r="Q111" s="9" t="str">
        <f>IF(AND($BN$19&lt;&gt;"",($BM$19+12)&lt;=$BO$19),TEXT(($BM$19+12),"00"),"")</f>
        <v/>
      </c>
      <c r="R111" s="9" t="str">
        <f>IF(AND($BN$19&lt;&gt;"",($BM$19+12)&lt;=$BO$19),$BN$19&amp;"-"&amp;TEXT(($BM$19+12),"00"),"")</f>
        <v/>
      </c>
      <c r="T111" s="6"/>
      <c r="U111" s="9" t="str">
        <f>IF(CD111="","",CD111&amp;"-"&amp;TEXT(COUNTIF($CA$72:$CA$95,CD111)+COUNTIF($CB$72:$CB$95,CD111)+COUNTIF($CC$72:$CC$95,CD111)+COUNTIF($CD$72:$CD$95,CD111)+COUNTIF($CA$100:$CA$123,CD111)+COUNTIF($CB$100:$CB$123,CD111)+COUNTIF($CC$100:$CC$123,CD111)+COUNTIF($CD$100:CD111,CD111),"000"))</f>
        <v/>
      </c>
      <c r="V111" s="9" t="str">
        <f>IF(AND($BN$20&lt;&gt;"",($BM$20+12)&lt;=$BO$20),$BN$20,"")</f>
        <v/>
      </c>
      <c r="W111" s="9" t="str">
        <f>IF(AND($BN$20&lt;&gt;"",($BM$20+12)&lt;=$BO$20),TEXT(($BM$20+12),"00"),"")</f>
        <v/>
      </c>
      <c r="X111" s="9" t="str">
        <f>IF(AND($BN$20&lt;&gt;"",($BM$20+12)&lt;=$BO$20),$BN$20&amp;"-"&amp;TEXT(($BM$20+12),"00"),"")</f>
        <v/>
      </c>
      <c r="BA111">
        <f>IF(OR(Catalogo!$C111="",Catalogo!$B111="Espacio libre",Catalogo!$B111="Espacio reservado"),0,COUNTIF($C$13:$C$42,Catalogo!$C111)+IF($E$7=Catalogo!$C111,N($K$7),0)+IF($E$8=Catalogo!$C111,N($N$8),0)+IF(Proyecto!$D$12=Catalogo!$C111,$AQ$4,0)+SUMIF($C$49:$C$58,Catalogo!$C111,$K$49:$K$58))</f>
        <v>1</v>
      </c>
      <c r="CA111" t="str" cm="1">
        <f t="array" ref="CA111">IF(NOT(AND($BN$17&lt;&gt;"",($BM$17+12)&lt;=$BO$17)),"",IF(B111&lt;&gt;"",IF(B111="-","",B111),IF(ISNUMBER(SEARCH(":",$BP$17)),IFERROR(_xlfn.LET(_xlpm.s,_xlfn.TEXTSPLIT($BP$17,","),_xlpm.k,FIND(":",_xlpm.s),INDEX(TRIM(LEFT(_xlpm.s,_xlpm.k-1)),_xlfn.XMATCH(($BM$17+12),_xlfn.SCAN(0,--MID(_xlpm.s,_xlpm.k+1,9),_xlfn.LAMBDA(_xlpm.a,_xlpm.v,_xlpm.a+_xlpm.v)),1))),""),IF(($BM$17+12)&lt;=$BQ$17,$BP$17,""))))</f>
        <v/>
      </c>
      <c r="CB111" t="str" cm="1">
        <f t="array" ref="CB111">IF(NOT(AND($BN$18&lt;&gt;"",($BM$18+12)&lt;=$BO$18)),"",IF(H111&lt;&gt;"",IF(H111="-","",H111),IF(ISNUMBER(SEARCH(":",$BP$18)),IFERROR(_xlfn.LET(_xlpm.s,_xlfn.TEXTSPLIT($BP$18,","),_xlpm.k,FIND(":",_xlpm.s),INDEX(TRIM(LEFT(_xlpm.s,_xlpm.k-1)),_xlfn.XMATCH(($BM$18+12),_xlfn.SCAN(0,--MID(_xlpm.s,_xlpm.k+1,9),_xlfn.LAMBDA(_xlpm.a,_xlpm.v,_xlpm.a+_xlpm.v)),1))),""),IF(($BM$18+12)&lt;=$BQ$18,$BP$18,""))))</f>
        <v/>
      </c>
      <c r="CC111" t="str" cm="1">
        <f t="array" ref="CC111">IF(NOT(AND($BN$19&lt;&gt;"",($BM$19+12)&lt;=$BO$19)),"",IF(N111&lt;&gt;"",IF(N111="-","",N111),IF(ISNUMBER(SEARCH(":",$BP$19)),IFERROR(_xlfn.LET(_xlpm.s,_xlfn.TEXTSPLIT($BP$19,","),_xlpm.k,FIND(":",_xlpm.s),INDEX(TRIM(LEFT(_xlpm.s,_xlpm.k-1)),_xlfn.XMATCH(($BM$19+12),_xlfn.SCAN(0,--MID(_xlpm.s,_xlpm.k+1,9),_xlfn.LAMBDA(_xlpm.a,_xlpm.v,_xlpm.a+_xlpm.v)),1))),""),IF(($BM$19+12)&lt;=$BQ$19,$BP$19,""))))</f>
        <v/>
      </c>
      <c r="CD111" t="str" cm="1">
        <f t="array" ref="CD111">IF(NOT(AND($BN$20&lt;&gt;"",($BM$20+12)&lt;=$BO$20)),"",IF(T111&lt;&gt;"",IF(T111="-","",T111),IF(ISNUMBER(SEARCH(":",$BP$20)),IFERROR(_xlfn.LET(_xlpm.s,_xlfn.TEXTSPLIT($BP$20,","),_xlpm.k,FIND(":",_xlpm.s),INDEX(TRIM(LEFT(_xlpm.s,_xlpm.k-1)),_xlfn.XMATCH(($BM$20+12),_xlfn.SCAN(0,--MID(_xlpm.s,_xlpm.k+1,9),_xlfn.LAMBDA(_xlpm.a,_xlpm.v,_xlpm.a+_xlpm.v)),1))),""),IF(($BM$20+12)&lt;=$BQ$20,$BP$20,""))))</f>
        <v/>
      </c>
    </row>
    <row r="112" spans="2:82" hidden="1" x14ac:dyDescent="0.45">
      <c r="B112" s="6"/>
      <c r="C112" s="9" t="str">
        <f>IF(CA112="","",CA112&amp;"-"&amp;TEXT(COUNTIF($CA$72:$CA$95,CA112)+COUNTIF($CB$72:$CB$95,CA112)+COUNTIF($CC$72:$CC$95,CA112)+COUNTIF($CD$72:$CD$95,CA112)+COUNTIF($CA$100:CA112,CA112),"000"))</f>
        <v/>
      </c>
      <c r="D112" s="9" t="str">
        <f>IF(AND($BN$17&lt;&gt;"",($BM$17+13)&lt;=$BO$17),$BN$17,"")</f>
        <v/>
      </c>
      <c r="E112" s="9" t="str">
        <f>IF(AND($BN$17&lt;&gt;"",($BM$17+13)&lt;=$BO$17),TEXT(($BM$17+13),"00"),"")</f>
        <v/>
      </c>
      <c r="F112" s="9" t="str">
        <f>IF(AND($BN$17&lt;&gt;"",($BM$17+13)&lt;=$BO$17),$BN$17&amp;"-"&amp;TEXT(($BM$17+13),"00"),"")</f>
        <v/>
      </c>
      <c r="H112" s="6"/>
      <c r="I112" s="9" t="str">
        <f>IF(CB112="","",CB112&amp;"-"&amp;TEXT(COUNTIF($CA$72:$CA$95,CB112)+COUNTIF($CB$72:$CB$95,CB112)+COUNTIF($CC$72:$CC$95,CB112)+COUNTIF($CD$72:$CD$95,CB112)+COUNTIF($CA$100:$CA$123,CB112)+COUNTIF($CB$100:CB112,CB112),"000"))</f>
        <v/>
      </c>
      <c r="J112" s="9" t="str">
        <f>IF(AND($BN$18&lt;&gt;"",($BM$18+13)&lt;=$BO$18),$BN$18,"")</f>
        <v/>
      </c>
      <c r="K112" s="9" t="str">
        <f>IF(AND($BN$18&lt;&gt;"",($BM$18+13)&lt;=$BO$18),TEXT(($BM$18+13),"00"),"")</f>
        <v/>
      </c>
      <c r="L112" s="9" t="str">
        <f>IF(AND($BN$18&lt;&gt;"",($BM$18+13)&lt;=$BO$18),$BN$18&amp;"-"&amp;TEXT(($BM$18+13),"00"),"")</f>
        <v/>
      </c>
      <c r="N112" s="6"/>
      <c r="O112" s="9" t="str">
        <f>IF(CC112="","",CC112&amp;"-"&amp;TEXT(COUNTIF($CA$72:$CA$95,CC112)+COUNTIF($CB$72:$CB$95,CC112)+COUNTIF($CC$72:$CC$95,CC112)+COUNTIF($CD$72:$CD$95,CC112)+COUNTIF($CA$100:$CA$123,CC112)+COUNTIF($CB$100:$CB$123,CC112)+COUNTIF($CC$100:CC112,CC112),"000"))</f>
        <v/>
      </c>
      <c r="P112" s="9" t="str">
        <f>IF(AND($BN$19&lt;&gt;"",($BM$19+13)&lt;=$BO$19),$BN$19,"")</f>
        <v/>
      </c>
      <c r="Q112" s="9" t="str">
        <f>IF(AND($BN$19&lt;&gt;"",($BM$19+13)&lt;=$BO$19),TEXT(($BM$19+13),"00"),"")</f>
        <v/>
      </c>
      <c r="R112" s="9" t="str">
        <f>IF(AND($BN$19&lt;&gt;"",($BM$19+13)&lt;=$BO$19),$BN$19&amp;"-"&amp;TEXT(($BM$19+13),"00"),"")</f>
        <v/>
      </c>
      <c r="T112" s="6"/>
      <c r="U112" s="9" t="str">
        <f>IF(CD112="","",CD112&amp;"-"&amp;TEXT(COUNTIF($CA$72:$CA$95,CD112)+COUNTIF($CB$72:$CB$95,CD112)+COUNTIF($CC$72:$CC$95,CD112)+COUNTIF($CD$72:$CD$95,CD112)+COUNTIF($CA$100:$CA$123,CD112)+COUNTIF($CB$100:$CB$123,CD112)+COUNTIF($CC$100:$CC$123,CD112)+COUNTIF($CD$100:CD112,CD112),"000"))</f>
        <v/>
      </c>
      <c r="V112" s="9" t="str">
        <f>IF(AND($BN$20&lt;&gt;"",($BM$20+13)&lt;=$BO$20),$BN$20,"")</f>
        <v/>
      </c>
      <c r="W112" s="9" t="str">
        <f>IF(AND($BN$20&lt;&gt;"",($BM$20+13)&lt;=$BO$20),TEXT(($BM$20+13),"00"),"")</f>
        <v/>
      </c>
      <c r="X112" s="9" t="str">
        <f>IF(AND($BN$20&lt;&gt;"",($BM$20+13)&lt;=$BO$20),$BN$20&amp;"-"&amp;TEXT(($BM$20+13),"00"),"")</f>
        <v/>
      </c>
      <c r="BA112">
        <f>IF(OR(Catalogo!$C112="",Catalogo!$B112="Espacio libre",Catalogo!$B112="Espacio reservado"),0,COUNTIF($C$13:$C$42,Catalogo!$C112)+IF($E$7=Catalogo!$C112,N($K$7),0)+IF($E$8=Catalogo!$C112,N($N$8),0)+IF(Proyecto!$D$12=Catalogo!$C112,$AQ$4,0)+SUMIF($C$49:$C$58,Catalogo!$C112,$K$49:$K$58))</f>
        <v>0</v>
      </c>
      <c r="CA112" t="str" cm="1">
        <f t="array" ref="CA112">IF(NOT(AND($BN$17&lt;&gt;"",($BM$17+13)&lt;=$BO$17)),"",IF(B112&lt;&gt;"",IF(B112="-","",B112),IF(ISNUMBER(SEARCH(":",$BP$17)),IFERROR(_xlfn.LET(_xlpm.s,_xlfn.TEXTSPLIT($BP$17,","),_xlpm.k,FIND(":",_xlpm.s),INDEX(TRIM(LEFT(_xlpm.s,_xlpm.k-1)),_xlfn.XMATCH(($BM$17+13),_xlfn.SCAN(0,--MID(_xlpm.s,_xlpm.k+1,9),_xlfn.LAMBDA(_xlpm.a,_xlpm.v,_xlpm.a+_xlpm.v)),1))),""),IF(($BM$17+13)&lt;=$BQ$17,$BP$17,""))))</f>
        <v/>
      </c>
      <c r="CB112" t="str" cm="1">
        <f t="array" ref="CB112">IF(NOT(AND($BN$18&lt;&gt;"",($BM$18+13)&lt;=$BO$18)),"",IF(H112&lt;&gt;"",IF(H112="-","",H112),IF(ISNUMBER(SEARCH(":",$BP$18)),IFERROR(_xlfn.LET(_xlpm.s,_xlfn.TEXTSPLIT($BP$18,","),_xlpm.k,FIND(":",_xlpm.s),INDEX(TRIM(LEFT(_xlpm.s,_xlpm.k-1)),_xlfn.XMATCH(($BM$18+13),_xlfn.SCAN(0,--MID(_xlpm.s,_xlpm.k+1,9),_xlfn.LAMBDA(_xlpm.a,_xlpm.v,_xlpm.a+_xlpm.v)),1))),""),IF(($BM$18+13)&lt;=$BQ$18,$BP$18,""))))</f>
        <v/>
      </c>
      <c r="CC112" t="str" cm="1">
        <f t="array" ref="CC112">IF(NOT(AND($BN$19&lt;&gt;"",($BM$19+13)&lt;=$BO$19)),"",IF(N112&lt;&gt;"",IF(N112="-","",N112),IF(ISNUMBER(SEARCH(":",$BP$19)),IFERROR(_xlfn.LET(_xlpm.s,_xlfn.TEXTSPLIT($BP$19,","),_xlpm.k,FIND(":",_xlpm.s),INDEX(TRIM(LEFT(_xlpm.s,_xlpm.k-1)),_xlfn.XMATCH(($BM$19+13),_xlfn.SCAN(0,--MID(_xlpm.s,_xlpm.k+1,9),_xlfn.LAMBDA(_xlpm.a,_xlpm.v,_xlpm.a+_xlpm.v)),1))),""),IF(($BM$19+13)&lt;=$BQ$19,$BP$19,""))))</f>
        <v/>
      </c>
      <c r="CD112" t="str" cm="1">
        <f t="array" ref="CD112">IF(NOT(AND($BN$20&lt;&gt;"",($BM$20+13)&lt;=$BO$20)),"",IF(T112&lt;&gt;"",IF(T112="-","",T112),IF(ISNUMBER(SEARCH(":",$BP$20)),IFERROR(_xlfn.LET(_xlpm.s,_xlfn.TEXTSPLIT($BP$20,","),_xlpm.k,FIND(":",_xlpm.s),INDEX(TRIM(LEFT(_xlpm.s,_xlpm.k-1)),_xlfn.XMATCH(($BM$20+13),_xlfn.SCAN(0,--MID(_xlpm.s,_xlpm.k+1,9),_xlfn.LAMBDA(_xlpm.a,_xlpm.v,_xlpm.a+_xlpm.v)),1))),""),IF(($BM$20+13)&lt;=$BQ$20,$BP$20,""))))</f>
        <v/>
      </c>
    </row>
    <row r="113" spans="2:82" hidden="1" x14ac:dyDescent="0.45">
      <c r="B113" s="6"/>
      <c r="C113" s="9" t="str">
        <f>IF(CA113="","",CA113&amp;"-"&amp;TEXT(COUNTIF($CA$72:$CA$95,CA113)+COUNTIF($CB$72:$CB$95,CA113)+COUNTIF($CC$72:$CC$95,CA113)+COUNTIF($CD$72:$CD$95,CA113)+COUNTIF($CA$100:CA113,CA113),"000"))</f>
        <v/>
      </c>
      <c r="D113" s="9" t="str">
        <f>IF(AND($BN$17&lt;&gt;"",($BM$17+14)&lt;=$BO$17),$BN$17,"")</f>
        <v/>
      </c>
      <c r="E113" s="9" t="str">
        <f>IF(AND($BN$17&lt;&gt;"",($BM$17+14)&lt;=$BO$17),TEXT(($BM$17+14),"00"),"")</f>
        <v/>
      </c>
      <c r="F113" s="9" t="str">
        <f>IF(AND($BN$17&lt;&gt;"",($BM$17+14)&lt;=$BO$17),$BN$17&amp;"-"&amp;TEXT(($BM$17+14),"00"),"")</f>
        <v/>
      </c>
      <c r="H113" s="6"/>
      <c r="I113" s="9" t="str">
        <f>IF(CB113="","",CB113&amp;"-"&amp;TEXT(COUNTIF($CA$72:$CA$95,CB113)+COUNTIF($CB$72:$CB$95,CB113)+COUNTIF($CC$72:$CC$95,CB113)+COUNTIF($CD$72:$CD$95,CB113)+COUNTIF($CA$100:$CA$123,CB113)+COUNTIF($CB$100:CB113,CB113),"000"))</f>
        <v/>
      </c>
      <c r="J113" s="9" t="str">
        <f>IF(AND($BN$18&lt;&gt;"",($BM$18+14)&lt;=$BO$18),$BN$18,"")</f>
        <v/>
      </c>
      <c r="K113" s="9" t="str">
        <f>IF(AND($BN$18&lt;&gt;"",($BM$18+14)&lt;=$BO$18),TEXT(($BM$18+14),"00"),"")</f>
        <v/>
      </c>
      <c r="L113" s="9" t="str">
        <f>IF(AND($BN$18&lt;&gt;"",($BM$18+14)&lt;=$BO$18),$BN$18&amp;"-"&amp;TEXT(($BM$18+14),"00"),"")</f>
        <v/>
      </c>
      <c r="N113" s="6"/>
      <c r="O113" s="9" t="str">
        <f>IF(CC113="","",CC113&amp;"-"&amp;TEXT(COUNTIF($CA$72:$CA$95,CC113)+COUNTIF($CB$72:$CB$95,CC113)+COUNTIF($CC$72:$CC$95,CC113)+COUNTIF($CD$72:$CD$95,CC113)+COUNTIF($CA$100:$CA$123,CC113)+COUNTIF($CB$100:$CB$123,CC113)+COUNTIF($CC$100:CC113,CC113),"000"))</f>
        <v/>
      </c>
      <c r="P113" s="9" t="str">
        <f>IF(AND($BN$19&lt;&gt;"",($BM$19+14)&lt;=$BO$19),$BN$19,"")</f>
        <v/>
      </c>
      <c r="Q113" s="9" t="str">
        <f>IF(AND($BN$19&lt;&gt;"",($BM$19+14)&lt;=$BO$19),TEXT(($BM$19+14),"00"),"")</f>
        <v/>
      </c>
      <c r="R113" s="9" t="str">
        <f>IF(AND($BN$19&lt;&gt;"",($BM$19+14)&lt;=$BO$19),$BN$19&amp;"-"&amp;TEXT(($BM$19+14),"00"),"")</f>
        <v/>
      </c>
      <c r="T113" s="6"/>
      <c r="U113" s="9" t="str">
        <f>IF(CD113="","",CD113&amp;"-"&amp;TEXT(COUNTIF($CA$72:$CA$95,CD113)+COUNTIF($CB$72:$CB$95,CD113)+COUNTIF($CC$72:$CC$95,CD113)+COUNTIF($CD$72:$CD$95,CD113)+COUNTIF($CA$100:$CA$123,CD113)+COUNTIF($CB$100:$CB$123,CD113)+COUNTIF($CC$100:$CC$123,CD113)+COUNTIF($CD$100:CD113,CD113),"000"))</f>
        <v/>
      </c>
      <c r="V113" s="9" t="str">
        <f>IF(AND($BN$20&lt;&gt;"",($BM$20+14)&lt;=$BO$20),$BN$20,"")</f>
        <v/>
      </c>
      <c r="W113" s="9" t="str">
        <f>IF(AND($BN$20&lt;&gt;"",($BM$20+14)&lt;=$BO$20),TEXT(($BM$20+14),"00"),"")</f>
        <v/>
      </c>
      <c r="X113" s="9" t="str">
        <f>IF(AND($BN$20&lt;&gt;"",($BM$20+14)&lt;=$BO$20),$BN$20&amp;"-"&amp;TEXT(($BM$20+14),"00"),"")</f>
        <v/>
      </c>
      <c r="BA113">
        <f>IF(OR(Catalogo!$C113="",Catalogo!$B113="Espacio libre",Catalogo!$B113="Espacio reservado"),0,COUNTIF($C$13:$C$42,Catalogo!$C113)+IF($E$7=Catalogo!$C113,N($K$7),0)+IF($E$8=Catalogo!$C113,N($N$8),0)+IF(Proyecto!$D$12=Catalogo!$C113,$AQ$4,0)+SUMIF($C$49:$C$58,Catalogo!$C113,$K$49:$K$58))</f>
        <v>0</v>
      </c>
      <c r="CA113" t="str" cm="1">
        <f t="array" ref="CA113">IF(NOT(AND($BN$17&lt;&gt;"",($BM$17+14)&lt;=$BO$17)),"",IF(B113&lt;&gt;"",IF(B113="-","",B113),IF(ISNUMBER(SEARCH(":",$BP$17)),IFERROR(_xlfn.LET(_xlpm.s,_xlfn.TEXTSPLIT($BP$17,","),_xlpm.k,FIND(":",_xlpm.s),INDEX(TRIM(LEFT(_xlpm.s,_xlpm.k-1)),_xlfn.XMATCH(($BM$17+14),_xlfn.SCAN(0,--MID(_xlpm.s,_xlpm.k+1,9),_xlfn.LAMBDA(_xlpm.a,_xlpm.v,_xlpm.a+_xlpm.v)),1))),""),IF(($BM$17+14)&lt;=$BQ$17,$BP$17,""))))</f>
        <v/>
      </c>
      <c r="CB113" t="str" cm="1">
        <f t="array" ref="CB113">IF(NOT(AND($BN$18&lt;&gt;"",($BM$18+14)&lt;=$BO$18)),"",IF(H113&lt;&gt;"",IF(H113="-","",H113),IF(ISNUMBER(SEARCH(":",$BP$18)),IFERROR(_xlfn.LET(_xlpm.s,_xlfn.TEXTSPLIT($BP$18,","),_xlpm.k,FIND(":",_xlpm.s),INDEX(TRIM(LEFT(_xlpm.s,_xlpm.k-1)),_xlfn.XMATCH(($BM$18+14),_xlfn.SCAN(0,--MID(_xlpm.s,_xlpm.k+1,9),_xlfn.LAMBDA(_xlpm.a,_xlpm.v,_xlpm.a+_xlpm.v)),1))),""),IF(($BM$18+14)&lt;=$BQ$18,$BP$18,""))))</f>
        <v/>
      </c>
      <c r="CC113" t="str" cm="1">
        <f t="array" ref="CC113">IF(NOT(AND($BN$19&lt;&gt;"",($BM$19+14)&lt;=$BO$19)),"",IF(N113&lt;&gt;"",IF(N113="-","",N113),IF(ISNUMBER(SEARCH(":",$BP$19)),IFERROR(_xlfn.LET(_xlpm.s,_xlfn.TEXTSPLIT($BP$19,","),_xlpm.k,FIND(":",_xlpm.s),INDEX(TRIM(LEFT(_xlpm.s,_xlpm.k-1)),_xlfn.XMATCH(($BM$19+14),_xlfn.SCAN(0,--MID(_xlpm.s,_xlpm.k+1,9),_xlfn.LAMBDA(_xlpm.a,_xlpm.v,_xlpm.a+_xlpm.v)),1))),""),IF(($BM$19+14)&lt;=$BQ$19,$BP$19,""))))</f>
        <v/>
      </c>
      <c r="CD113" t="str" cm="1">
        <f t="array" ref="CD113">IF(NOT(AND($BN$20&lt;&gt;"",($BM$20+14)&lt;=$BO$20)),"",IF(T113&lt;&gt;"",IF(T113="-","",T113),IF(ISNUMBER(SEARCH(":",$BP$20)),IFERROR(_xlfn.LET(_xlpm.s,_xlfn.TEXTSPLIT($BP$20,","),_xlpm.k,FIND(":",_xlpm.s),INDEX(TRIM(LEFT(_xlpm.s,_xlpm.k-1)),_xlfn.XMATCH(($BM$20+14),_xlfn.SCAN(0,--MID(_xlpm.s,_xlpm.k+1,9),_xlfn.LAMBDA(_xlpm.a,_xlpm.v,_xlpm.a+_xlpm.v)),1))),""),IF(($BM$20+14)&lt;=$BQ$20,$BP$20,""))))</f>
        <v/>
      </c>
    </row>
    <row r="114" spans="2:82" hidden="1" x14ac:dyDescent="0.45">
      <c r="B114" s="6"/>
      <c r="C114" s="9" t="str">
        <f>IF(CA114="","",CA114&amp;"-"&amp;TEXT(COUNTIF($CA$72:$CA$95,CA114)+COUNTIF($CB$72:$CB$95,CA114)+COUNTIF($CC$72:$CC$95,CA114)+COUNTIF($CD$72:$CD$95,CA114)+COUNTIF($CA$100:CA114,CA114),"000"))</f>
        <v/>
      </c>
      <c r="D114" s="9" t="str">
        <f>IF(AND($BN$17&lt;&gt;"",($BM$17+15)&lt;=$BO$17),$BN$17,"")</f>
        <v/>
      </c>
      <c r="E114" s="9" t="str">
        <f>IF(AND($BN$17&lt;&gt;"",($BM$17+15)&lt;=$BO$17),TEXT(($BM$17+15),"00"),"")</f>
        <v/>
      </c>
      <c r="F114" s="9" t="str">
        <f>IF(AND($BN$17&lt;&gt;"",($BM$17+15)&lt;=$BO$17),$BN$17&amp;"-"&amp;TEXT(($BM$17+15),"00"),"")</f>
        <v/>
      </c>
      <c r="H114" s="6"/>
      <c r="I114" s="9" t="str">
        <f>IF(CB114="","",CB114&amp;"-"&amp;TEXT(COUNTIF($CA$72:$CA$95,CB114)+COUNTIF($CB$72:$CB$95,CB114)+COUNTIF($CC$72:$CC$95,CB114)+COUNTIF($CD$72:$CD$95,CB114)+COUNTIF($CA$100:$CA$123,CB114)+COUNTIF($CB$100:CB114,CB114),"000"))</f>
        <v/>
      </c>
      <c r="J114" s="9" t="str">
        <f>IF(AND($BN$18&lt;&gt;"",($BM$18+15)&lt;=$BO$18),$BN$18,"")</f>
        <v/>
      </c>
      <c r="K114" s="9" t="str">
        <f>IF(AND($BN$18&lt;&gt;"",($BM$18+15)&lt;=$BO$18),TEXT(($BM$18+15),"00"),"")</f>
        <v/>
      </c>
      <c r="L114" s="9" t="str">
        <f>IF(AND($BN$18&lt;&gt;"",($BM$18+15)&lt;=$BO$18),$BN$18&amp;"-"&amp;TEXT(($BM$18+15),"00"),"")</f>
        <v/>
      </c>
      <c r="N114" s="6"/>
      <c r="O114" s="9" t="str">
        <f>IF(CC114="","",CC114&amp;"-"&amp;TEXT(COUNTIF($CA$72:$CA$95,CC114)+COUNTIF($CB$72:$CB$95,CC114)+COUNTIF($CC$72:$CC$95,CC114)+COUNTIF($CD$72:$CD$95,CC114)+COUNTIF($CA$100:$CA$123,CC114)+COUNTIF($CB$100:$CB$123,CC114)+COUNTIF($CC$100:CC114,CC114),"000"))</f>
        <v/>
      </c>
      <c r="P114" s="9" t="str">
        <f>IF(AND($BN$19&lt;&gt;"",($BM$19+15)&lt;=$BO$19),$BN$19,"")</f>
        <v/>
      </c>
      <c r="Q114" s="9" t="str">
        <f>IF(AND($BN$19&lt;&gt;"",($BM$19+15)&lt;=$BO$19),TEXT(($BM$19+15),"00"),"")</f>
        <v/>
      </c>
      <c r="R114" s="9" t="str">
        <f>IF(AND($BN$19&lt;&gt;"",($BM$19+15)&lt;=$BO$19),$BN$19&amp;"-"&amp;TEXT(($BM$19+15),"00"),"")</f>
        <v/>
      </c>
      <c r="T114" s="6"/>
      <c r="U114" s="9" t="str">
        <f>IF(CD114="","",CD114&amp;"-"&amp;TEXT(COUNTIF($CA$72:$CA$95,CD114)+COUNTIF($CB$72:$CB$95,CD114)+COUNTIF($CC$72:$CC$95,CD114)+COUNTIF($CD$72:$CD$95,CD114)+COUNTIF($CA$100:$CA$123,CD114)+COUNTIF($CB$100:$CB$123,CD114)+COUNTIF($CC$100:$CC$123,CD114)+COUNTIF($CD$100:CD114,CD114),"000"))</f>
        <v/>
      </c>
      <c r="V114" s="9" t="str">
        <f>IF(AND($BN$20&lt;&gt;"",($BM$20+15)&lt;=$BO$20),$BN$20,"")</f>
        <v/>
      </c>
      <c r="W114" s="9" t="str">
        <f>IF(AND($BN$20&lt;&gt;"",($BM$20+15)&lt;=$BO$20),TEXT(($BM$20+15),"00"),"")</f>
        <v/>
      </c>
      <c r="X114" s="9" t="str">
        <f>IF(AND($BN$20&lt;&gt;"",($BM$20+15)&lt;=$BO$20),$BN$20&amp;"-"&amp;TEXT(($BM$20+15),"00"),"")</f>
        <v/>
      </c>
      <c r="BA114">
        <f>IF(OR(Catalogo!$C114="",Catalogo!$B114="Espacio libre",Catalogo!$B114="Espacio reservado"),0,COUNTIF($C$13:$C$42,Catalogo!$C114)+IF($E$7=Catalogo!$C114,N($K$7),0)+IF($E$8=Catalogo!$C114,N($N$8),0)+IF(Proyecto!$D$12=Catalogo!$C114,$AQ$4,0)+SUMIF($C$49:$C$58,Catalogo!$C114,$K$49:$K$58))</f>
        <v>0</v>
      </c>
      <c r="CA114" t="str" cm="1">
        <f t="array" ref="CA114">IF(NOT(AND($BN$17&lt;&gt;"",($BM$17+15)&lt;=$BO$17)),"",IF(B114&lt;&gt;"",IF(B114="-","",B114),IF(ISNUMBER(SEARCH(":",$BP$17)),IFERROR(_xlfn.LET(_xlpm.s,_xlfn.TEXTSPLIT($BP$17,","),_xlpm.k,FIND(":",_xlpm.s),INDEX(TRIM(LEFT(_xlpm.s,_xlpm.k-1)),_xlfn.XMATCH(($BM$17+15),_xlfn.SCAN(0,--MID(_xlpm.s,_xlpm.k+1,9),_xlfn.LAMBDA(_xlpm.a,_xlpm.v,_xlpm.a+_xlpm.v)),1))),""),IF(($BM$17+15)&lt;=$BQ$17,$BP$17,""))))</f>
        <v/>
      </c>
      <c r="CB114" t="str" cm="1">
        <f t="array" ref="CB114">IF(NOT(AND($BN$18&lt;&gt;"",($BM$18+15)&lt;=$BO$18)),"",IF(H114&lt;&gt;"",IF(H114="-","",H114),IF(ISNUMBER(SEARCH(":",$BP$18)),IFERROR(_xlfn.LET(_xlpm.s,_xlfn.TEXTSPLIT($BP$18,","),_xlpm.k,FIND(":",_xlpm.s),INDEX(TRIM(LEFT(_xlpm.s,_xlpm.k-1)),_xlfn.XMATCH(($BM$18+15),_xlfn.SCAN(0,--MID(_xlpm.s,_xlpm.k+1,9),_xlfn.LAMBDA(_xlpm.a,_xlpm.v,_xlpm.a+_xlpm.v)),1))),""),IF(($BM$18+15)&lt;=$BQ$18,$BP$18,""))))</f>
        <v/>
      </c>
      <c r="CC114" t="str" cm="1">
        <f t="array" ref="CC114">IF(NOT(AND($BN$19&lt;&gt;"",($BM$19+15)&lt;=$BO$19)),"",IF(N114&lt;&gt;"",IF(N114="-","",N114),IF(ISNUMBER(SEARCH(":",$BP$19)),IFERROR(_xlfn.LET(_xlpm.s,_xlfn.TEXTSPLIT($BP$19,","),_xlpm.k,FIND(":",_xlpm.s),INDEX(TRIM(LEFT(_xlpm.s,_xlpm.k-1)),_xlfn.XMATCH(($BM$19+15),_xlfn.SCAN(0,--MID(_xlpm.s,_xlpm.k+1,9),_xlfn.LAMBDA(_xlpm.a,_xlpm.v,_xlpm.a+_xlpm.v)),1))),""),IF(($BM$19+15)&lt;=$BQ$19,$BP$19,""))))</f>
        <v/>
      </c>
      <c r="CD114" t="str" cm="1">
        <f t="array" ref="CD114">IF(NOT(AND($BN$20&lt;&gt;"",($BM$20+15)&lt;=$BO$20)),"",IF(T114&lt;&gt;"",IF(T114="-","",T114),IF(ISNUMBER(SEARCH(":",$BP$20)),IFERROR(_xlfn.LET(_xlpm.s,_xlfn.TEXTSPLIT($BP$20,","),_xlpm.k,FIND(":",_xlpm.s),INDEX(TRIM(LEFT(_xlpm.s,_xlpm.k-1)),_xlfn.XMATCH(($BM$20+15),_xlfn.SCAN(0,--MID(_xlpm.s,_xlpm.k+1,9),_xlfn.LAMBDA(_xlpm.a,_xlpm.v,_xlpm.a+_xlpm.v)),1))),""),IF(($BM$20+15)&lt;=$BQ$20,$BP$20,""))))</f>
        <v/>
      </c>
    </row>
    <row r="115" spans="2:82" hidden="1" x14ac:dyDescent="0.45">
      <c r="B115" s="6"/>
      <c r="C115" s="9" t="str">
        <f>IF(CA115="","",CA115&amp;"-"&amp;TEXT(COUNTIF($CA$72:$CA$95,CA115)+COUNTIF($CB$72:$CB$95,CA115)+COUNTIF($CC$72:$CC$95,CA115)+COUNTIF($CD$72:$CD$95,CA115)+COUNTIF($CA$100:CA115,CA115),"000"))</f>
        <v/>
      </c>
      <c r="D115" s="9" t="str">
        <f>IF(AND($BN$17&lt;&gt;"",($BM$17+16)&lt;=$BO$17),$BN$17,"")</f>
        <v/>
      </c>
      <c r="E115" s="9" t="str">
        <f>IF(AND($BN$17&lt;&gt;"",($BM$17+16)&lt;=$BO$17),TEXT(($BM$17+16),"00"),"")</f>
        <v/>
      </c>
      <c r="F115" s="9" t="str">
        <f>IF(AND($BN$17&lt;&gt;"",($BM$17+16)&lt;=$BO$17),$BN$17&amp;"-"&amp;TEXT(($BM$17+16),"00"),"")</f>
        <v/>
      </c>
      <c r="H115" s="6"/>
      <c r="I115" s="9" t="str">
        <f>IF(CB115="","",CB115&amp;"-"&amp;TEXT(COUNTIF($CA$72:$CA$95,CB115)+COUNTIF($CB$72:$CB$95,CB115)+COUNTIF($CC$72:$CC$95,CB115)+COUNTIF($CD$72:$CD$95,CB115)+COUNTIF($CA$100:$CA$123,CB115)+COUNTIF($CB$100:CB115,CB115),"000"))</f>
        <v/>
      </c>
      <c r="J115" s="9" t="str">
        <f>IF(AND($BN$18&lt;&gt;"",($BM$18+16)&lt;=$BO$18),$BN$18,"")</f>
        <v/>
      </c>
      <c r="K115" s="9" t="str">
        <f>IF(AND($BN$18&lt;&gt;"",($BM$18+16)&lt;=$BO$18),TEXT(($BM$18+16),"00"),"")</f>
        <v/>
      </c>
      <c r="L115" s="9" t="str">
        <f>IF(AND($BN$18&lt;&gt;"",($BM$18+16)&lt;=$BO$18),$BN$18&amp;"-"&amp;TEXT(($BM$18+16),"00"),"")</f>
        <v/>
      </c>
      <c r="N115" s="6"/>
      <c r="O115" s="9" t="str">
        <f>IF(CC115="","",CC115&amp;"-"&amp;TEXT(COUNTIF($CA$72:$CA$95,CC115)+COUNTIF($CB$72:$CB$95,CC115)+COUNTIF($CC$72:$CC$95,CC115)+COUNTIF($CD$72:$CD$95,CC115)+COUNTIF($CA$100:$CA$123,CC115)+COUNTIF($CB$100:$CB$123,CC115)+COUNTIF($CC$100:CC115,CC115),"000"))</f>
        <v/>
      </c>
      <c r="P115" s="9" t="str">
        <f>IF(AND($BN$19&lt;&gt;"",($BM$19+16)&lt;=$BO$19),$BN$19,"")</f>
        <v/>
      </c>
      <c r="Q115" s="9" t="str">
        <f>IF(AND($BN$19&lt;&gt;"",($BM$19+16)&lt;=$BO$19),TEXT(($BM$19+16),"00"),"")</f>
        <v/>
      </c>
      <c r="R115" s="9" t="str">
        <f>IF(AND($BN$19&lt;&gt;"",($BM$19+16)&lt;=$BO$19),$BN$19&amp;"-"&amp;TEXT(($BM$19+16),"00"),"")</f>
        <v/>
      </c>
      <c r="T115" s="6"/>
      <c r="U115" s="9" t="str">
        <f>IF(CD115="","",CD115&amp;"-"&amp;TEXT(COUNTIF($CA$72:$CA$95,CD115)+COUNTIF($CB$72:$CB$95,CD115)+COUNTIF($CC$72:$CC$95,CD115)+COUNTIF($CD$72:$CD$95,CD115)+COUNTIF($CA$100:$CA$123,CD115)+COUNTIF($CB$100:$CB$123,CD115)+COUNTIF($CC$100:$CC$123,CD115)+COUNTIF($CD$100:CD115,CD115),"000"))</f>
        <v/>
      </c>
      <c r="V115" s="9" t="str">
        <f>IF(AND($BN$20&lt;&gt;"",($BM$20+16)&lt;=$BO$20),$BN$20,"")</f>
        <v/>
      </c>
      <c r="W115" s="9" t="str">
        <f>IF(AND($BN$20&lt;&gt;"",($BM$20+16)&lt;=$BO$20),TEXT(($BM$20+16),"00"),"")</f>
        <v/>
      </c>
      <c r="X115" s="9" t="str">
        <f>IF(AND($BN$20&lt;&gt;"",($BM$20+16)&lt;=$BO$20),$BN$20&amp;"-"&amp;TEXT(($BM$20+16),"00"),"")</f>
        <v/>
      </c>
      <c r="BA115">
        <f>IF(OR(Catalogo!$C115="",Catalogo!$B115="Espacio libre",Catalogo!$B115="Espacio reservado"),0,COUNTIF($C$13:$C$42,Catalogo!$C115)+IF($E$7=Catalogo!$C115,N($K$7),0)+IF($E$8=Catalogo!$C115,N($N$8),0)+IF(Proyecto!$D$12=Catalogo!$C115,$AQ$4,0)+SUMIF($C$49:$C$58,Catalogo!$C115,$K$49:$K$58))</f>
        <v>0</v>
      </c>
      <c r="CA115" t="str" cm="1">
        <f t="array" ref="CA115">IF(NOT(AND($BN$17&lt;&gt;"",($BM$17+16)&lt;=$BO$17)),"",IF(B115&lt;&gt;"",IF(B115="-","",B115),IF(ISNUMBER(SEARCH(":",$BP$17)),IFERROR(_xlfn.LET(_xlpm.s,_xlfn.TEXTSPLIT($BP$17,","),_xlpm.k,FIND(":",_xlpm.s),INDEX(TRIM(LEFT(_xlpm.s,_xlpm.k-1)),_xlfn.XMATCH(($BM$17+16),_xlfn.SCAN(0,--MID(_xlpm.s,_xlpm.k+1,9),_xlfn.LAMBDA(_xlpm.a,_xlpm.v,_xlpm.a+_xlpm.v)),1))),""),IF(($BM$17+16)&lt;=$BQ$17,$BP$17,""))))</f>
        <v/>
      </c>
      <c r="CB115" t="str" cm="1">
        <f t="array" ref="CB115">IF(NOT(AND($BN$18&lt;&gt;"",($BM$18+16)&lt;=$BO$18)),"",IF(H115&lt;&gt;"",IF(H115="-","",H115),IF(ISNUMBER(SEARCH(":",$BP$18)),IFERROR(_xlfn.LET(_xlpm.s,_xlfn.TEXTSPLIT($BP$18,","),_xlpm.k,FIND(":",_xlpm.s),INDEX(TRIM(LEFT(_xlpm.s,_xlpm.k-1)),_xlfn.XMATCH(($BM$18+16),_xlfn.SCAN(0,--MID(_xlpm.s,_xlpm.k+1,9),_xlfn.LAMBDA(_xlpm.a,_xlpm.v,_xlpm.a+_xlpm.v)),1))),""),IF(($BM$18+16)&lt;=$BQ$18,$BP$18,""))))</f>
        <v/>
      </c>
      <c r="CC115" t="str" cm="1">
        <f t="array" ref="CC115">IF(NOT(AND($BN$19&lt;&gt;"",($BM$19+16)&lt;=$BO$19)),"",IF(N115&lt;&gt;"",IF(N115="-","",N115),IF(ISNUMBER(SEARCH(":",$BP$19)),IFERROR(_xlfn.LET(_xlpm.s,_xlfn.TEXTSPLIT($BP$19,","),_xlpm.k,FIND(":",_xlpm.s),INDEX(TRIM(LEFT(_xlpm.s,_xlpm.k-1)),_xlfn.XMATCH(($BM$19+16),_xlfn.SCAN(0,--MID(_xlpm.s,_xlpm.k+1,9),_xlfn.LAMBDA(_xlpm.a,_xlpm.v,_xlpm.a+_xlpm.v)),1))),""),IF(($BM$19+16)&lt;=$BQ$19,$BP$19,""))))</f>
        <v/>
      </c>
      <c r="CD115" t="str" cm="1">
        <f t="array" ref="CD115">IF(NOT(AND($BN$20&lt;&gt;"",($BM$20+16)&lt;=$BO$20)),"",IF(T115&lt;&gt;"",IF(T115="-","",T115),IF(ISNUMBER(SEARCH(":",$BP$20)),IFERROR(_xlfn.LET(_xlpm.s,_xlfn.TEXTSPLIT($BP$20,","),_xlpm.k,FIND(":",_xlpm.s),INDEX(TRIM(LEFT(_xlpm.s,_xlpm.k-1)),_xlfn.XMATCH(($BM$20+16),_xlfn.SCAN(0,--MID(_xlpm.s,_xlpm.k+1,9),_xlfn.LAMBDA(_xlpm.a,_xlpm.v,_xlpm.a+_xlpm.v)),1))),""),IF(($BM$20+16)&lt;=$BQ$20,$BP$20,""))))</f>
        <v/>
      </c>
    </row>
    <row r="116" spans="2:82" hidden="1" x14ac:dyDescent="0.45">
      <c r="B116" s="6"/>
      <c r="C116" s="9" t="str">
        <f>IF(CA116="","",CA116&amp;"-"&amp;TEXT(COUNTIF($CA$72:$CA$95,CA116)+COUNTIF($CB$72:$CB$95,CA116)+COUNTIF($CC$72:$CC$95,CA116)+COUNTIF($CD$72:$CD$95,CA116)+COUNTIF($CA$100:CA116,CA116),"000"))</f>
        <v/>
      </c>
      <c r="D116" s="9" t="str">
        <f>IF(AND($BN$17&lt;&gt;"",($BM$17+17)&lt;=$BO$17),$BN$17,"")</f>
        <v/>
      </c>
      <c r="E116" s="9" t="str">
        <f>IF(AND($BN$17&lt;&gt;"",($BM$17+17)&lt;=$BO$17),TEXT(($BM$17+17),"00"),"")</f>
        <v/>
      </c>
      <c r="F116" s="9" t="str">
        <f>IF(AND($BN$17&lt;&gt;"",($BM$17+17)&lt;=$BO$17),$BN$17&amp;"-"&amp;TEXT(($BM$17+17),"00"),"")</f>
        <v/>
      </c>
      <c r="H116" s="6"/>
      <c r="I116" s="9" t="str">
        <f>IF(CB116="","",CB116&amp;"-"&amp;TEXT(COUNTIF($CA$72:$CA$95,CB116)+COUNTIF($CB$72:$CB$95,CB116)+COUNTIF($CC$72:$CC$95,CB116)+COUNTIF($CD$72:$CD$95,CB116)+COUNTIF($CA$100:$CA$123,CB116)+COUNTIF($CB$100:CB116,CB116),"000"))</f>
        <v/>
      </c>
      <c r="J116" s="9" t="str">
        <f>IF(AND($BN$18&lt;&gt;"",($BM$18+17)&lt;=$BO$18),$BN$18,"")</f>
        <v/>
      </c>
      <c r="K116" s="9" t="str">
        <f>IF(AND($BN$18&lt;&gt;"",($BM$18+17)&lt;=$BO$18),TEXT(($BM$18+17),"00"),"")</f>
        <v/>
      </c>
      <c r="L116" s="9" t="str">
        <f>IF(AND($BN$18&lt;&gt;"",($BM$18+17)&lt;=$BO$18),$BN$18&amp;"-"&amp;TEXT(($BM$18+17),"00"),"")</f>
        <v/>
      </c>
      <c r="N116" s="6"/>
      <c r="O116" s="9" t="str">
        <f>IF(CC116="","",CC116&amp;"-"&amp;TEXT(COUNTIF($CA$72:$CA$95,CC116)+COUNTIF($CB$72:$CB$95,CC116)+COUNTIF($CC$72:$CC$95,CC116)+COUNTIF($CD$72:$CD$95,CC116)+COUNTIF($CA$100:$CA$123,CC116)+COUNTIF($CB$100:$CB$123,CC116)+COUNTIF($CC$100:CC116,CC116),"000"))</f>
        <v/>
      </c>
      <c r="P116" s="9" t="str">
        <f>IF(AND($BN$19&lt;&gt;"",($BM$19+17)&lt;=$BO$19),$BN$19,"")</f>
        <v/>
      </c>
      <c r="Q116" s="9" t="str">
        <f>IF(AND($BN$19&lt;&gt;"",($BM$19+17)&lt;=$BO$19),TEXT(($BM$19+17),"00"),"")</f>
        <v/>
      </c>
      <c r="R116" s="9" t="str">
        <f>IF(AND($BN$19&lt;&gt;"",($BM$19+17)&lt;=$BO$19),$BN$19&amp;"-"&amp;TEXT(($BM$19+17),"00"),"")</f>
        <v/>
      </c>
      <c r="T116" s="6"/>
      <c r="U116" s="9" t="str">
        <f>IF(CD116="","",CD116&amp;"-"&amp;TEXT(COUNTIF($CA$72:$CA$95,CD116)+COUNTIF($CB$72:$CB$95,CD116)+COUNTIF($CC$72:$CC$95,CD116)+COUNTIF($CD$72:$CD$95,CD116)+COUNTIF($CA$100:$CA$123,CD116)+COUNTIF($CB$100:$CB$123,CD116)+COUNTIF($CC$100:$CC$123,CD116)+COUNTIF($CD$100:CD116,CD116),"000"))</f>
        <v/>
      </c>
      <c r="V116" s="9" t="str">
        <f>IF(AND($BN$20&lt;&gt;"",($BM$20+17)&lt;=$BO$20),$BN$20,"")</f>
        <v/>
      </c>
      <c r="W116" s="9" t="str">
        <f>IF(AND($BN$20&lt;&gt;"",($BM$20+17)&lt;=$BO$20),TEXT(($BM$20+17),"00"),"")</f>
        <v/>
      </c>
      <c r="X116" s="9" t="str">
        <f>IF(AND($BN$20&lt;&gt;"",($BM$20+17)&lt;=$BO$20),$BN$20&amp;"-"&amp;TEXT(($BM$20+17),"00"),"")</f>
        <v/>
      </c>
      <c r="BA116">
        <f>IF(OR(Catalogo!$C116="",Catalogo!$B116="Espacio libre",Catalogo!$B116="Espacio reservado"),0,COUNTIF($C$13:$C$42,Catalogo!$C116)+IF($E$7=Catalogo!$C116,N($K$7),0)+IF($E$8=Catalogo!$C116,N($N$8),0)+IF(Proyecto!$D$12=Catalogo!$C116,$AQ$4,0)+SUMIF($C$49:$C$58,Catalogo!$C116,$K$49:$K$58))</f>
        <v>0</v>
      </c>
      <c r="CA116" t="str" cm="1">
        <f t="array" ref="CA116">IF(NOT(AND($BN$17&lt;&gt;"",($BM$17+17)&lt;=$BO$17)),"",IF(B116&lt;&gt;"",IF(B116="-","",B116),IF(ISNUMBER(SEARCH(":",$BP$17)),IFERROR(_xlfn.LET(_xlpm.s,_xlfn.TEXTSPLIT($BP$17,","),_xlpm.k,FIND(":",_xlpm.s),INDEX(TRIM(LEFT(_xlpm.s,_xlpm.k-1)),_xlfn.XMATCH(($BM$17+17),_xlfn.SCAN(0,--MID(_xlpm.s,_xlpm.k+1,9),_xlfn.LAMBDA(_xlpm.a,_xlpm.v,_xlpm.a+_xlpm.v)),1))),""),IF(($BM$17+17)&lt;=$BQ$17,$BP$17,""))))</f>
        <v/>
      </c>
      <c r="CB116" t="str" cm="1">
        <f t="array" ref="CB116">IF(NOT(AND($BN$18&lt;&gt;"",($BM$18+17)&lt;=$BO$18)),"",IF(H116&lt;&gt;"",IF(H116="-","",H116),IF(ISNUMBER(SEARCH(":",$BP$18)),IFERROR(_xlfn.LET(_xlpm.s,_xlfn.TEXTSPLIT($BP$18,","),_xlpm.k,FIND(":",_xlpm.s),INDEX(TRIM(LEFT(_xlpm.s,_xlpm.k-1)),_xlfn.XMATCH(($BM$18+17),_xlfn.SCAN(0,--MID(_xlpm.s,_xlpm.k+1,9),_xlfn.LAMBDA(_xlpm.a,_xlpm.v,_xlpm.a+_xlpm.v)),1))),""),IF(($BM$18+17)&lt;=$BQ$18,$BP$18,""))))</f>
        <v/>
      </c>
      <c r="CC116" t="str" cm="1">
        <f t="array" ref="CC116">IF(NOT(AND($BN$19&lt;&gt;"",($BM$19+17)&lt;=$BO$19)),"",IF(N116&lt;&gt;"",IF(N116="-","",N116),IF(ISNUMBER(SEARCH(":",$BP$19)),IFERROR(_xlfn.LET(_xlpm.s,_xlfn.TEXTSPLIT($BP$19,","),_xlpm.k,FIND(":",_xlpm.s),INDEX(TRIM(LEFT(_xlpm.s,_xlpm.k-1)),_xlfn.XMATCH(($BM$19+17),_xlfn.SCAN(0,--MID(_xlpm.s,_xlpm.k+1,9),_xlfn.LAMBDA(_xlpm.a,_xlpm.v,_xlpm.a+_xlpm.v)),1))),""),IF(($BM$19+17)&lt;=$BQ$19,$BP$19,""))))</f>
        <v/>
      </c>
      <c r="CD116" t="str" cm="1">
        <f t="array" ref="CD116">IF(NOT(AND($BN$20&lt;&gt;"",($BM$20+17)&lt;=$BO$20)),"",IF(T116&lt;&gt;"",IF(T116="-","",T116),IF(ISNUMBER(SEARCH(":",$BP$20)),IFERROR(_xlfn.LET(_xlpm.s,_xlfn.TEXTSPLIT($BP$20,","),_xlpm.k,FIND(":",_xlpm.s),INDEX(TRIM(LEFT(_xlpm.s,_xlpm.k-1)),_xlfn.XMATCH(($BM$20+17),_xlfn.SCAN(0,--MID(_xlpm.s,_xlpm.k+1,9),_xlfn.LAMBDA(_xlpm.a,_xlpm.v,_xlpm.a+_xlpm.v)),1))),""),IF(($BM$20+17)&lt;=$BQ$20,$BP$20,""))))</f>
        <v/>
      </c>
    </row>
    <row r="117" spans="2:82" hidden="1" x14ac:dyDescent="0.45">
      <c r="B117" s="6"/>
      <c r="C117" s="9" t="str">
        <f>IF(CA117="","",CA117&amp;"-"&amp;TEXT(COUNTIF($CA$72:$CA$95,CA117)+COUNTIF($CB$72:$CB$95,CA117)+COUNTIF($CC$72:$CC$95,CA117)+COUNTIF($CD$72:$CD$95,CA117)+COUNTIF($CA$100:CA117,CA117),"000"))</f>
        <v/>
      </c>
      <c r="D117" s="9" t="str">
        <f>IF(AND($BN$17&lt;&gt;"",($BM$17+18)&lt;=$BO$17),$BN$17,"")</f>
        <v/>
      </c>
      <c r="E117" s="9" t="str">
        <f>IF(AND($BN$17&lt;&gt;"",($BM$17+18)&lt;=$BO$17),TEXT(($BM$17+18),"00"),"")</f>
        <v/>
      </c>
      <c r="F117" s="9" t="str">
        <f>IF(AND($BN$17&lt;&gt;"",($BM$17+18)&lt;=$BO$17),$BN$17&amp;"-"&amp;TEXT(($BM$17+18),"00"),"")</f>
        <v/>
      </c>
      <c r="H117" s="6"/>
      <c r="I117" s="9" t="str">
        <f>IF(CB117="","",CB117&amp;"-"&amp;TEXT(COUNTIF($CA$72:$CA$95,CB117)+COUNTIF($CB$72:$CB$95,CB117)+COUNTIF($CC$72:$CC$95,CB117)+COUNTIF($CD$72:$CD$95,CB117)+COUNTIF($CA$100:$CA$123,CB117)+COUNTIF($CB$100:CB117,CB117),"000"))</f>
        <v/>
      </c>
      <c r="J117" s="9" t="str">
        <f>IF(AND($BN$18&lt;&gt;"",($BM$18+18)&lt;=$BO$18),$BN$18,"")</f>
        <v/>
      </c>
      <c r="K117" s="9" t="str">
        <f>IF(AND($BN$18&lt;&gt;"",($BM$18+18)&lt;=$BO$18),TEXT(($BM$18+18),"00"),"")</f>
        <v/>
      </c>
      <c r="L117" s="9" t="str">
        <f>IF(AND($BN$18&lt;&gt;"",($BM$18+18)&lt;=$BO$18),$BN$18&amp;"-"&amp;TEXT(($BM$18+18),"00"),"")</f>
        <v/>
      </c>
      <c r="N117" s="6"/>
      <c r="O117" s="9" t="str">
        <f>IF(CC117="","",CC117&amp;"-"&amp;TEXT(COUNTIF($CA$72:$CA$95,CC117)+COUNTIF($CB$72:$CB$95,CC117)+COUNTIF($CC$72:$CC$95,CC117)+COUNTIF($CD$72:$CD$95,CC117)+COUNTIF($CA$100:$CA$123,CC117)+COUNTIF($CB$100:$CB$123,CC117)+COUNTIF($CC$100:CC117,CC117),"000"))</f>
        <v/>
      </c>
      <c r="P117" s="9" t="str">
        <f>IF(AND($BN$19&lt;&gt;"",($BM$19+18)&lt;=$BO$19),$BN$19,"")</f>
        <v/>
      </c>
      <c r="Q117" s="9" t="str">
        <f>IF(AND($BN$19&lt;&gt;"",($BM$19+18)&lt;=$BO$19),TEXT(($BM$19+18),"00"),"")</f>
        <v/>
      </c>
      <c r="R117" s="9" t="str">
        <f>IF(AND($BN$19&lt;&gt;"",($BM$19+18)&lt;=$BO$19),$BN$19&amp;"-"&amp;TEXT(($BM$19+18),"00"),"")</f>
        <v/>
      </c>
      <c r="T117" s="6"/>
      <c r="U117" s="9" t="str">
        <f>IF(CD117="","",CD117&amp;"-"&amp;TEXT(COUNTIF($CA$72:$CA$95,CD117)+COUNTIF($CB$72:$CB$95,CD117)+COUNTIF($CC$72:$CC$95,CD117)+COUNTIF($CD$72:$CD$95,CD117)+COUNTIF($CA$100:$CA$123,CD117)+COUNTIF($CB$100:$CB$123,CD117)+COUNTIF($CC$100:$CC$123,CD117)+COUNTIF($CD$100:CD117,CD117),"000"))</f>
        <v/>
      </c>
      <c r="V117" s="9" t="str">
        <f>IF(AND($BN$20&lt;&gt;"",($BM$20+18)&lt;=$BO$20),$BN$20,"")</f>
        <v/>
      </c>
      <c r="W117" s="9" t="str">
        <f>IF(AND($BN$20&lt;&gt;"",($BM$20+18)&lt;=$BO$20),TEXT(($BM$20+18),"00"),"")</f>
        <v/>
      </c>
      <c r="X117" s="9" t="str">
        <f>IF(AND($BN$20&lt;&gt;"",($BM$20+18)&lt;=$BO$20),$BN$20&amp;"-"&amp;TEXT(($BM$20+18),"00"),"")</f>
        <v/>
      </c>
      <c r="BA117">
        <f>IF(OR(Catalogo!$C117="",Catalogo!$B117="Espacio libre",Catalogo!$B117="Espacio reservado"),0,COUNTIF($C$13:$C$42,Catalogo!$C117)+IF($E$7=Catalogo!$C117,N($K$7),0)+IF($E$8=Catalogo!$C117,N($N$8),0)+IF(Proyecto!$D$12=Catalogo!$C117,$AQ$4,0)+SUMIF($C$49:$C$58,Catalogo!$C117,$K$49:$K$58))</f>
        <v>0</v>
      </c>
      <c r="CA117" t="str" cm="1">
        <f t="array" ref="CA117">IF(NOT(AND($BN$17&lt;&gt;"",($BM$17+18)&lt;=$BO$17)),"",IF(B117&lt;&gt;"",IF(B117="-","",B117),IF(ISNUMBER(SEARCH(":",$BP$17)),IFERROR(_xlfn.LET(_xlpm.s,_xlfn.TEXTSPLIT($BP$17,","),_xlpm.k,FIND(":",_xlpm.s),INDEX(TRIM(LEFT(_xlpm.s,_xlpm.k-1)),_xlfn.XMATCH(($BM$17+18),_xlfn.SCAN(0,--MID(_xlpm.s,_xlpm.k+1,9),_xlfn.LAMBDA(_xlpm.a,_xlpm.v,_xlpm.a+_xlpm.v)),1))),""),IF(($BM$17+18)&lt;=$BQ$17,$BP$17,""))))</f>
        <v/>
      </c>
      <c r="CB117" t="str" cm="1">
        <f t="array" ref="CB117">IF(NOT(AND($BN$18&lt;&gt;"",($BM$18+18)&lt;=$BO$18)),"",IF(H117&lt;&gt;"",IF(H117="-","",H117),IF(ISNUMBER(SEARCH(":",$BP$18)),IFERROR(_xlfn.LET(_xlpm.s,_xlfn.TEXTSPLIT($BP$18,","),_xlpm.k,FIND(":",_xlpm.s),INDEX(TRIM(LEFT(_xlpm.s,_xlpm.k-1)),_xlfn.XMATCH(($BM$18+18),_xlfn.SCAN(0,--MID(_xlpm.s,_xlpm.k+1,9),_xlfn.LAMBDA(_xlpm.a,_xlpm.v,_xlpm.a+_xlpm.v)),1))),""),IF(($BM$18+18)&lt;=$BQ$18,$BP$18,""))))</f>
        <v/>
      </c>
      <c r="CC117" t="str" cm="1">
        <f t="array" ref="CC117">IF(NOT(AND($BN$19&lt;&gt;"",($BM$19+18)&lt;=$BO$19)),"",IF(N117&lt;&gt;"",IF(N117="-","",N117),IF(ISNUMBER(SEARCH(":",$BP$19)),IFERROR(_xlfn.LET(_xlpm.s,_xlfn.TEXTSPLIT($BP$19,","),_xlpm.k,FIND(":",_xlpm.s),INDEX(TRIM(LEFT(_xlpm.s,_xlpm.k-1)),_xlfn.XMATCH(($BM$19+18),_xlfn.SCAN(0,--MID(_xlpm.s,_xlpm.k+1,9),_xlfn.LAMBDA(_xlpm.a,_xlpm.v,_xlpm.a+_xlpm.v)),1))),""),IF(($BM$19+18)&lt;=$BQ$19,$BP$19,""))))</f>
        <v/>
      </c>
      <c r="CD117" t="str" cm="1">
        <f t="array" ref="CD117">IF(NOT(AND($BN$20&lt;&gt;"",($BM$20+18)&lt;=$BO$20)),"",IF(T117&lt;&gt;"",IF(T117="-","",T117),IF(ISNUMBER(SEARCH(":",$BP$20)),IFERROR(_xlfn.LET(_xlpm.s,_xlfn.TEXTSPLIT($BP$20,","),_xlpm.k,FIND(":",_xlpm.s),INDEX(TRIM(LEFT(_xlpm.s,_xlpm.k-1)),_xlfn.XMATCH(($BM$20+18),_xlfn.SCAN(0,--MID(_xlpm.s,_xlpm.k+1,9),_xlfn.LAMBDA(_xlpm.a,_xlpm.v,_xlpm.a+_xlpm.v)),1))),""),IF(($BM$20+18)&lt;=$BQ$20,$BP$20,""))))</f>
        <v/>
      </c>
    </row>
    <row r="118" spans="2:82" hidden="1" x14ac:dyDescent="0.45">
      <c r="B118" s="6"/>
      <c r="C118" s="9" t="str">
        <f>IF(CA118="","",CA118&amp;"-"&amp;TEXT(COUNTIF($CA$72:$CA$95,CA118)+COUNTIF($CB$72:$CB$95,CA118)+COUNTIF($CC$72:$CC$95,CA118)+COUNTIF($CD$72:$CD$95,CA118)+COUNTIF($CA$100:CA118,CA118),"000"))</f>
        <v/>
      </c>
      <c r="D118" s="9" t="str">
        <f>IF(AND($BN$17&lt;&gt;"",($BM$17+19)&lt;=$BO$17),$BN$17,"")</f>
        <v/>
      </c>
      <c r="E118" s="9" t="str">
        <f>IF(AND($BN$17&lt;&gt;"",($BM$17+19)&lt;=$BO$17),TEXT(($BM$17+19),"00"),"")</f>
        <v/>
      </c>
      <c r="F118" s="9" t="str">
        <f>IF(AND($BN$17&lt;&gt;"",($BM$17+19)&lt;=$BO$17),$BN$17&amp;"-"&amp;TEXT(($BM$17+19),"00"),"")</f>
        <v/>
      </c>
      <c r="H118" s="6"/>
      <c r="I118" s="9" t="str">
        <f>IF(CB118="","",CB118&amp;"-"&amp;TEXT(COUNTIF($CA$72:$CA$95,CB118)+COUNTIF($CB$72:$CB$95,CB118)+COUNTIF($CC$72:$CC$95,CB118)+COUNTIF($CD$72:$CD$95,CB118)+COUNTIF($CA$100:$CA$123,CB118)+COUNTIF($CB$100:CB118,CB118),"000"))</f>
        <v/>
      </c>
      <c r="J118" s="9" t="str">
        <f>IF(AND($BN$18&lt;&gt;"",($BM$18+19)&lt;=$BO$18),$BN$18,"")</f>
        <v/>
      </c>
      <c r="K118" s="9" t="str">
        <f>IF(AND($BN$18&lt;&gt;"",($BM$18+19)&lt;=$BO$18),TEXT(($BM$18+19),"00"),"")</f>
        <v/>
      </c>
      <c r="L118" s="9" t="str">
        <f>IF(AND($BN$18&lt;&gt;"",($BM$18+19)&lt;=$BO$18),$BN$18&amp;"-"&amp;TEXT(($BM$18+19),"00"),"")</f>
        <v/>
      </c>
      <c r="N118" s="6"/>
      <c r="O118" s="9" t="str">
        <f>IF(CC118="","",CC118&amp;"-"&amp;TEXT(COUNTIF($CA$72:$CA$95,CC118)+COUNTIF($CB$72:$CB$95,CC118)+COUNTIF($CC$72:$CC$95,CC118)+COUNTIF($CD$72:$CD$95,CC118)+COUNTIF($CA$100:$CA$123,CC118)+COUNTIF($CB$100:$CB$123,CC118)+COUNTIF($CC$100:CC118,CC118),"000"))</f>
        <v/>
      </c>
      <c r="P118" s="9" t="str">
        <f>IF(AND($BN$19&lt;&gt;"",($BM$19+19)&lt;=$BO$19),$BN$19,"")</f>
        <v/>
      </c>
      <c r="Q118" s="9" t="str">
        <f>IF(AND($BN$19&lt;&gt;"",($BM$19+19)&lt;=$BO$19),TEXT(($BM$19+19),"00"),"")</f>
        <v/>
      </c>
      <c r="R118" s="9" t="str">
        <f>IF(AND($BN$19&lt;&gt;"",($BM$19+19)&lt;=$BO$19),$BN$19&amp;"-"&amp;TEXT(($BM$19+19),"00"),"")</f>
        <v/>
      </c>
      <c r="T118" s="6"/>
      <c r="U118" s="9" t="str">
        <f>IF(CD118="","",CD118&amp;"-"&amp;TEXT(COUNTIF($CA$72:$CA$95,CD118)+COUNTIF($CB$72:$CB$95,CD118)+COUNTIF($CC$72:$CC$95,CD118)+COUNTIF($CD$72:$CD$95,CD118)+COUNTIF($CA$100:$CA$123,CD118)+COUNTIF($CB$100:$CB$123,CD118)+COUNTIF($CC$100:$CC$123,CD118)+COUNTIF($CD$100:CD118,CD118),"000"))</f>
        <v/>
      </c>
      <c r="V118" s="9" t="str">
        <f>IF(AND($BN$20&lt;&gt;"",($BM$20+19)&lt;=$BO$20),$BN$20,"")</f>
        <v/>
      </c>
      <c r="W118" s="9" t="str">
        <f>IF(AND($BN$20&lt;&gt;"",($BM$20+19)&lt;=$BO$20),TEXT(($BM$20+19),"00"),"")</f>
        <v/>
      </c>
      <c r="X118" s="9" t="str">
        <f>IF(AND($BN$20&lt;&gt;"",($BM$20+19)&lt;=$BO$20),$BN$20&amp;"-"&amp;TEXT(($BM$20+19),"00"),"")</f>
        <v/>
      </c>
      <c r="BA118">
        <f>IF(OR(Catalogo!$C118="",Catalogo!$B118="Espacio libre",Catalogo!$B118="Espacio reservado"),0,COUNTIF($C$13:$C$42,Catalogo!$C118)+IF($E$7=Catalogo!$C118,N($K$7),0)+IF($E$8=Catalogo!$C118,N($N$8),0)+IF(Proyecto!$D$12=Catalogo!$C118,$AQ$4,0)+SUMIF($C$49:$C$58,Catalogo!$C118,$K$49:$K$58))</f>
        <v>0</v>
      </c>
      <c r="CA118" t="str" cm="1">
        <f t="array" ref="CA118">IF(NOT(AND($BN$17&lt;&gt;"",($BM$17+19)&lt;=$BO$17)),"",IF(B118&lt;&gt;"",IF(B118="-","",B118),IF(ISNUMBER(SEARCH(":",$BP$17)),IFERROR(_xlfn.LET(_xlpm.s,_xlfn.TEXTSPLIT($BP$17,","),_xlpm.k,FIND(":",_xlpm.s),INDEX(TRIM(LEFT(_xlpm.s,_xlpm.k-1)),_xlfn.XMATCH(($BM$17+19),_xlfn.SCAN(0,--MID(_xlpm.s,_xlpm.k+1,9),_xlfn.LAMBDA(_xlpm.a,_xlpm.v,_xlpm.a+_xlpm.v)),1))),""),IF(($BM$17+19)&lt;=$BQ$17,$BP$17,""))))</f>
        <v/>
      </c>
      <c r="CB118" t="str" cm="1">
        <f t="array" ref="CB118">IF(NOT(AND($BN$18&lt;&gt;"",($BM$18+19)&lt;=$BO$18)),"",IF(H118&lt;&gt;"",IF(H118="-","",H118),IF(ISNUMBER(SEARCH(":",$BP$18)),IFERROR(_xlfn.LET(_xlpm.s,_xlfn.TEXTSPLIT($BP$18,","),_xlpm.k,FIND(":",_xlpm.s),INDEX(TRIM(LEFT(_xlpm.s,_xlpm.k-1)),_xlfn.XMATCH(($BM$18+19),_xlfn.SCAN(0,--MID(_xlpm.s,_xlpm.k+1,9),_xlfn.LAMBDA(_xlpm.a,_xlpm.v,_xlpm.a+_xlpm.v)),1))),""),IF(($BM$18+19)&lt;=$BQ$18,$BP$18,""))))</f>
        <v/>
      </c>
      <c r="CC118" t="str" cm="1">
        <f t="array" ref="CC118">IF(NOT(AND($BN$19&lt;&gt;"",($BM$19+19)&lt;=$BO$19)),"",IF(N118&lt;&gt;"",IF(N118="-","",N118),IF(ISNUMBER(SEARCH(":",$BP$19)),IFERROR(_xlfn.LET(_xlpm.s,_xlfn.TEXTSPLIT($BP$19,","),_xlpm.k,FIND(":",_xlpm.s),INDEX(TRIM(LEFT(_xlpm.s,_xlpm.k-1)),_xlfn.XMATCH(($BM$19+19),_xlfn.SCAN(0,--MID(_xlpm.s,_xlpm.k+1,9),_xlfn.LAMBDA(_xlpm.a,_xlpm.v,_xlpm.a+_xlpm.v)),1))),""),IF(($BM$19+19)&lt;=$BQ$19,$BP$19,""))))</f>
        <v/>
      </c>
      <c r="CD118" t="str" cm="1">
        <f t="array" ref="CD118">IF(NOT(AND($BN$20&lt;&gt;"",($BM$20+19)&lt;=$BO$20)),"",IF(T118&lt;&gt;"",IF(T118="-","",T118),IF(ISNUMBER(SEARCH(":",$BP$20)),IFERROR(_xlfn.LET(_xlpm.s,_xlfn.TEXTSPLIT($BP$20,","),_xlpm.k,FIND(":",_xlpm.s),INDEX(TRIM(LEFT(_xlpm.s,_xlpm.k-1)),_xlfn.XMATCH(($BM$20+19),_xlfn.SCAN(0,--MID(_xlpm.s,_xlpm.k+1,9),_xlfn.LAMBDA(_xlpm.a,_xlpm.v,_xlpm.a+_xlpm.v)),1))),""),IF(($BM$20+19)&lt;=$BQ$20,$BP$20,""))))</f>
        <v/>
      </c>
    </row>
    <row r="119" spans="2:82" hidden="1" x14ac:dyDescent="0.45">
      <c r="B119" s="6"/>
      <c r="C119" s="9" t="str">
        <f>IF(CA119="","",CA119&amp;"-"&amp;TEXT(COUNTIF($CA$72:$CA$95,CA119)+COUNTIF($CB$72:$CB$95,CA119)+COUNTIF($CC$72:$CC$95,CA119)+COUNTIF($CD$72:$CD$95,CA119)+COUNTIF($CA$100:CA119,CA119),"000"))</f>
        <v/>
      </c>
      <c r="D119" s="9" t="str">
        <f>IF(AND($BN$17&lt;&gt;"",($BM$17+20)&lt;=$BO$17),$BN$17,"")</f>
        <v/>
      </c>
      <c r="E119" s="9" t="str">
        <f>IF(AND($BN$17&lt;&gt;"",($BM$17+20)&lt;=$BO$17),TEXT(($BM$17+20),"00"),"")</f>
        <v/>
      </c>
      <c r="F119" s="9" t="str">
        <f>IF(AND($BN$17&lt;&gt;"",($BM$17+20)&lt;=$BO$17),$BN$17&amp;"-"&amp;TEXT(($BM$17+20),"00"),"")</f>
        <v/>
      </c>
      <c r="H119" s="6"/>
      <c r="I119" s="9" t="str">
        <f>IF(CB119="","",CB119&amp;"-"&amp;TEXT(COUNTIF($CA$72:$CA$95,CB119)+COUNTIF($CB$72:$CB$95,CB119)+COUNTIF($CC$72:$CC$95,CB119)+COUNTIF($CD$72:$CD$95,CB119)+COUNTIF($CA$100:$CA$123,CB119)+COUNTIF($CB$100:CB119,CB119),"000"))</f>
        <v/>
      </c>
      <c r="J119" s="9" t="str">
        <f>IF(AND($BN$18&lt;&gt;"",($BM$18+20)&lt;=$BO$18),$BN$18,"")</f>
        <v/>
      </c>
      <c r="K119" s="9" t="str">
        <f>IF(AND($BN$18&lt;&gt;"",($BM$18+20)&lt;=$BO$18),TEXT(($BM$18+20),"00"),"")</f>
        <v/>
      </c>
      <c r="L119" s="9" t="str">
        <f>IF(AND($BN$18&lt;&gt;"",($BM$18+20)&lt;=$BO$18),$BN$18&amp;"-"&amp;TEXT(($BM$18+20),"00"),"")</f>
        <v/>
      </c>
      <c r="N119" s="6"/>
      <c r="O119" s="9" t="str">
        <f>IF(CC119="","",CC119&amp;"-"&amp;TEXT(COUNTIF($CA$72:$CA$95,CC119)+COUNTIF($CB$72:$CB$95,CC119)+COUNTIF($CC$72:$CC$95,CC119)+COUNTIF($CD$72:$CD$95,CC119)+COUNTIF($CA$100:$CA$123,CC119)+COUNTIF($CB$100:$CB$123,CC119)+COUNTIF($CC$100:CC119,CC119),"000"))</f>
        <v/>
      </c>
      <c r="P119" s="9" t="str">
        <f>IF(AND($BN$19&lt;&gt;"",($BM$19+20)&lt;=$BO$19),$BN$19,"")</f>
        <v/>
      </c>
      <c r="Q119" s="9" t="str">
        <f>IF(AND($BN$19&lt;&gt;"",($BM$19+20)&lt;=$BO$19),TEXT(($BM$19+20),"00"),"")</f>
        <v/>
      </c>
      <c r="R119" s="9" t="str">
        <f>IF(AND($BN$19&lt;&gt;"",($BM$19+20)&lt;=$BO$19),$BN$19&amp;"-"&amp;TEXT(($BM$19+20),"00"),"")</f>
        <v/>
      </c>
      <c r="T119" s="6"/>
      <c r="U119" s="9" t="str">
        <f>IF(CD119="","",CD119&amp;"-"&amp;TEXT(COUNTIF($CA$72:$CA$95,CD119)+COUNTIF($CB$72:$CB$95,CD119)+COUNTIF($CC$72:$CC$95,CD119)+COUNTIF($CD$72:$CD$95,CD119)+COUNTIF($CA$100:$CA$123,CD119)+COUNTIF($CB$100:$CB$123,CD119)+COUNTIF($CC$100:$CC$123,CD119)+COUNTIF($CD$100:CD119,CD119),"000"))</f>
        <v/>
      </c>
      <c r="V119" s="9" t="str">
        <f>IF(AND($BN$20&lt;&gt;"",($BM$20+20)&lt;=$BO$20),$BN$20,"")</f>
        <v/>
      </c>
      <c r="W119" s="9" t="str">
        <f>IF(AND($BN$20&lt;&gt;"",($BM$20+20)&lt;=$BO$20),TEXT(($BM$20+20),"00"),"")</f>
        <v/>
      </c>
      <c r="X119" s="9" t="str">
        <f>IF(AND($BN$20&lt;&gt;"",($BM$20+20)&lt;=$BO$20),$BN$20&amp;"-"&amp;TEXT(($BM$20+20),"00"),"")</f>
        <v/>
      </c>
      <c r="BA119">
        <f>IF(OR(Catalogo!$C119="",Catalogo!$B119="Espacio libre",Catalogo!$B119="Espacio reservado"),0,COUNTIF($C$13:$C$42,Catalogo!$C119)+IF($E$7=Catalogo!$C119,N($K$7),0)+IF($E$8=Catalogo!$C119,N($N$8),0)+IF(Proyecto!$D$12=Catalogo!$C119,$AQ$4,0)+SUMIF($C$49:$C$58,Catalogo!$C119,$K$49:$K$58))</f>
        <v>0</v>
      </c>
      <c r="CA119" t="str" cm="1">
        <f t="array" ref="CA119">IF(NOT(AND($BN$17&lt;&gt;"",($BM$17+20)&lt;=$BO$17)),"",IF(B119&lt;&gt;"",IF(B119="-","",B119),IF(ISNUMBER(SEARCH(":",$BP$17)),IFERROR(_xlfn.LET(_xlpm.s,_xlfn.TEXTSPLIT($BP$17,","),_xlpm.k,FIND(":",_xlpm.s),INDEX(TRIM(LEFT(_xlpm.s,_xlpm.k-1)),_xlfn.XMATCH(($BM$17+20),_xlfn.SCAN(0,--MID(_xlpm.s,_xlpm.k+1,9),_xlfn.LAMBDA(_xlpm.a,_xlpm.v,_xlpm.a+_xlpm.v)),1))),""),IF(($BM$17+20)&lt;=$BQ$17,$BP$17,""))))</f>
        <v/>
      </c>
      <c r="CB119" t="str" cm="1">
        <f t="array" ref="CB119">IF(NOT(AND($BN$18&lt;&gt;"",($BM$18+20)&lt;=$BO$18)),"",IF(H119&lt;&gt;"",IF(H119="-","",H119),IF(ISNUMBER(SEARCH(":",$BP$18)),IFERROR(_xlfn.LET(_xlpm.s,_xlfn.TEXTSPLIT($BP$18,","),_xlpm.k,FIND(":",_xlpm.s),INDEX(TRIM(LEFT(_xlpm.s,_xlpm.k-1)),_xlfn.XMATCH(($BM$18+20),_xlfn.SCAN(0,--MID(_xlpm.s,_xlpm.k+1,9),_xlfn.LAMBDA(_xlpm.a,_xlpm.v,_xlpm.a+_xlpm.v)),1))),""),IF(($BM$18+20)&lt;=$BQ$18,$BP$18,""))))</f>
        <v/>
      </c>
      <c r="CC119" t="str" cm="1">
        <f t="array" ref="CC119">IF(NOT(AND($BN$19&lt;&gt;"",($BM$19+20)&lt;=$BO$19)),"",IF(N119&lt;&gt;"",IF(N119="-","",N119),IF(ISNUMBER(SEARCH(":",$BP$19)),IFERROR(_xlfn.LET(_xlpm.s,_xlfn.TEXTSPLIT($BP$19,","),_xlpm.k,FIND(":",_xlpm.s),INDEX(TRIM(LEFT(_xlpm.s,_xlpm.k-1)),_xlfn.XMATCH(($BM$19+20),_xlfn.SCAN(0,--MID(_xlpm.s,_xlpm.k+1,9),_xlfn.LAMBDA(_xlpm.a,_xlpm.v,_xlpm.a+_xlpm.v)),1))),""),IF(($BM$19+20)&lt;=$BQ$19,$BP$19,""))))</f>
        <v/>
      </c>
      <c r="CD119" t="str" cm="1">
        <f t="array" ref="CD119">IF(NOT(AND($BN$20&lt;&gt;"",($BM$20+20)&lt;=$BO$20)),"",IF(T119&lt;&gt;"",IF(T119="-","",T119),IF(ISNUMBER(SEARCH(":",$BP$20)),IFERROR(_xlfn.LET(_xlpm.s,_xlfn.TEXTSPLIT($BP$20,","),_xlpm.k,FIND(":",_xlpm.s),INDEX(TRIM(LEFT(_xlpm.s,_xlpm.k-1)),_xlfn.XMATCH(($BM$20+20),_xlfn.SCAN(0,--MID(_xlpm.s,_xlpm.k+1,9),_xlfn.LAMBDA(_xlpm.a,_xlpm.v,_xlpm.a+_xlpm.v)),1))),""),IF(($BM$20+20)&lt;=$BQ$20,$BP$20,""))))</f>
        <v/>
      </c>
    </row>
    <row r="120" spans="2:82" hidden="1" x14ac:dyDescent="0.45">
      <c r="B120" s="6"/>
      <c r="C120" s="9" t="str">
        <f>IF(CA120="","",CA120&amp;"-"&amp;TEXT(COUNTIF($CA$72:$CA$95,CA120)+COUNTIF($CB$72:$CB$95,CA120)+COUNTIF($CC$72:$CC$95,CA120)+COUNTIF($CD$72:$CD$95,CA120)+COUNTIF($CA$100:CA120,CA120),"000"))</f>
        <v/>
      </c>
      <c r="D120" s="9" t="str">
        <f>IF(AND($BN$17&lt;&gt;"",($BM$17+21)&lt;=$BO$17),$BN$17,"")</f>
        <v/>
      </c>
      <c r="E120" s="9" t="str">
        <f>IF(AND($BN$17&lt;&gt;"",($BM$17+21)&lt;=$BO$17),TEXT(($BM$17+21),"00"),"")</f>
        <v/>
      </c>
      <c r="F120" s="9" t="str">
        <f>IF(AND($BN$17&lt;&gt;"",($BM$17+21)&lt;=$BO$17),$BN$17&amp;"-"&amp;TEXT(($BM$17+21),"00"),"")</f>
        <v/>
      </c>
      <c r="H120" s="6"/>
      <c r="I120" s="9" t="str">
        <f>IF(CB120="","",CB120&amp;"-"&amp;TEXT(COUNTIF($CA$72:$CA$95,CB120)+COUNTIF($CB$72:$CB$95,CB120)+COUNTIF($CC$72:$CC$95,CB120)+COUNTIF($CD$72:$CD$95,CB120)+COUNTIF($CA$100:$CA$123,CB120)+COUNTIF($CB$100:CB120,CB120),"000"))</f>
        <v/>
      </c>
      <c r="J120" s="9" t="str">
        <f>IF(AND($BN$18&lt;&gt;"",($BM$18+21)&lt;=$BO$18),$BN$18,"")</f>
        <v/>
      </c>
      <c r="K120" s="9" t="str">
        <f>IF(AND($BN$18&lt;&gt;"",($BM$18+21)&lt;=$BO$18),TEXT(($BM$18+21),"00"),"")</f>
        <v/>
      </c>
      <c r="L120" s="9" t="str">
        <f>IF(AND($BN$18&lt;&gt;"",($BM$18+21)&lt;=$BO$18),$BN$18&amp;"-"&amp;TEXT(($BM$18+21),"00"),"")</f>
        <v/>
      </c>
      <c r="N120" s="6"/>
      <c r="O120" s="9" t="str">
        <f>IF(CC120="","",CC120&amp;"-"&amp;TEXT(COUNTIF($CA$72:$CA$95,CC120)+COUNTIF($CB$72:$CB$95,CC120)+COUNTIF($CC$72:$CC$95,CC120)+COUNTIF($CD$72:$CD$95,CC120)+COUNTIF($CA$100:$CA$123,CC120)+COUNTIF($CB$100:$CB$123,CC120)+COUNTIF($CC$100:CC120,CC120),"000"))</f>
        <v/>
      </c>
      <c r="P120" s="9" t="str">
        <f>IF(AND($BN$19&lt;&gt;"",($BM$19+21)&lt;=$BO$19),$BN$19,"")</f>
        <v/>
      </c>
      <c r="Q120" s="9" t="str">
        <f>IF(AND($BN$19&lt;&gt;"",($BM$19+21)&lt;=$BO$19),TEXT(($BM$19+21),"00"),"")</f>
        <v/>
      </c>
      <c r="R120" s="9" t="str">
        <f>IF(AND($BN$19&lt;&gt;"",($BM$19+21)&lt;=$BO$19),$BN$19&amp;"-"&amp;TEXT(($BM$19+21),"00"),"")</f>
        <v/>
      </c>
      <c r="T120" s="6"/>
      <c r="U120" s="9" t="str">
        <f>IF(CD120="","",CD120&amp;"-"&amp;TEXT(COUNTIF($CA$72:$CA$95,CD120)+COUNTIF($CB$72:$CB$95,CD120)+COUNTIF($CC$72:$CC$95,CD120)+COUNTIF($CD$72:$CD$95,CD120)+COUNTIF($CA$100:$CA$123,CD120)+COUNTIF($CB$100:$CB$123,CD120)+COUNTIF($CC$100:$CC$123,CD120)+COUNTIF($CD$100:CD120,CD120),"000"))</f>
        <v/>
      </c>
      <c r="V120" s="9" t="str">
        <f>IF(AND($BN$20&lt;&gt;"",($BM$20+21)&lt;=$BO$20),$BN$20,"")</f>
        <v/>
      </c>
      <c r="W120" s="9" t="str">
        <f>IF(AND($BN$20&lt;&gt;"",($BM$20+21)&lt;=$BO$20),TEXT(($BM$20+21),"00"),"")</f>
        <v/>
      </c>
      <c r="X120" s="9" t="str">
        <f>IF(AND($BN$20&lt;&gt;"",($BM$20+21)&lt;=$BO$20),$BN$20&amp;"-"&amp;TEXT(($BM$20+21),"00"),"")</f>
        <v/>
      </c>
      <c r="BA120">
        <f>IF(OR(Catalogo!$C120="",Catalogo!$B120="Espacio libre",Catalogo!$B120="Espacio reservado"),0,COUNTIF($C$13:$C$42,Catalogo!$C120)+IF($E$7=Catalogo!$C120,N($K$7),0)+IF($E$8=Catalogo!$C120,N($N$8),0)+IF(Proyecto!$D$12=Catalogo!$C120,$AQ$4,0)+SUMIF($C$49:$C$58,Catalogo!$C120,$K$49:$K$58))</f>
        <v>0</v>
      </c>
      <c r="CA120" t="str" cm="1">
        <f t="array" ref="CA120">IF(NOT(AND($BN$17&lt;&gt;"",($BM$17+21)&lt;=$BO$17)),"",IF(B120&lt;&gt;"",IF(B120="-","",B120),IF(ISNUMBER(SEARCH(":",$BP$17)),IFERROR(_xlfn.LET(_xlpm.s,_xlfn.TEXTSPLIT($BP$17,","),_xlpm.k,FIND(":",_xlpm.s),INDEX(TRIM(LEFT(_xlpm.s,_xlpm.k-1)),_xlfn.XMATCH(($BM$17+21),_xlfn.SCAN(0,--MID(_xlpm.s,_xlpm.k+1,9),_xlfn.LAMBDA(_xlpm.a,_xlpm.v,_xlpm.a+_xlpm.v)),1))),""),IF(($BM$17+21)&lt;=$BQ$17,$BP$17,""))))</f>
        <v/>
      </c>
      <c r="CB120" t="str" cm="1">
        <f t="array" ref="CB120">IF(NOT(AND($BN$18&lt;&gt;"",($BM$18+21)&lt;=$BO$18)),"",IF(H120&lt;&gt;"",IF(H120="-","",H120),IF(ISNUMBER(SEARCH(":",$BP$18)),IFERROR(_xlfn.LET(_xlpm.s,_xlfn.TEXTSPLIT($BP$18,","),_xlpm.k,FIND(":",_xlpm.s),INDEX(TRIM(LEFT(_xlpm.s,_xlpm.k-1)),_xlfn.XMATCH(($BM$18+21),_xlfn.SCAN(0,--MID(_xlpm.s,_xlpm.k+1,9),_xlfn.LAMBDA(_xlpm.a,_xlpm.v,_xlpm.a+_xlpm.v)),1))),""),IF(($BM$18+21)&lt;=$BQ$18,$BP$18,""))))</f>
        <v/>
      </c>
      <c r="CC120" t="str" cm="1">
        <f t="array" ref="CC120">IF(NOT(AND($BN$19&lt;&gt;"",($BM$19+21)&lt;=$BO$19)),"",IF(N120&lt;&gt;"",IF(N120="-","",N120),IF(ISNUMBER(SEARCH(":",$BP$19)),IFERROR(_xlfn.LET(_xlpm.s,_xlfn.TEXTSPLIT($BP$19,","),_xlpm.k,FIND(":",_xlpm.s),INDEX(TRIM(LEFT(_xlpm.s,_xlpm.k-1)),_xlfn.XMATCH(($BM$19+21),_xlfn.SCAN(0,--MID(_xlpm.s,_xlpm.k+1,9),_xlfn.LAMBDA(_xlpm.a,_xlpm.v,_xlpm.a+_xlpm.v)),1))),""),IF(($BM$19+21)&lt;=$BQ$19,$BP$19,""))))</f>
        <v/>
      </c>
      <c r="CD120" t="str" cm="1">
        <f t="array" ref="CD120">IF(NOT(AND($BN$20&lt;&gt;"",($BM$20+21)&lt;=$BO$20)),"",IF(T120&lt;&gt;"",IF(T120="-","",T120),IF(ISNUMBER(SEARCH(":",$BP$20)),IFERROR(_xlfn.LET(_xlpm.s,_xlfn.TEXTSPLIT($BP$20,","),_xlpm.k,FIND(":",_xlpm.s),INDEX(TRIM(LEFT(_xlpm.s,_xlpm.k-1)),_xlfn.XMATCH(($BM$20+21),_xlfn.SCAN(0,--MID(_xlpm.s,_xlpm.k+1,9),_xlfn.LAMBDA(_xlpm.a,_xlpm.v,_xlpm.a+_xlpm.v)),1))),""),IF(($BM$20+21)&lt;=$BQ$20,$BP$20,""))))</f>
        <v/>
      </c>
    </row>
    <row r="121" spans="2:82" hidden="1" x14ac:dyDescent="0.45">
      <c r="B121" s="6"/>
      <c r="C121" s="9" t="str">
        <f>IF(CA121="","",CA121&amp;"-"&amp;TEXT(COUNTIF($CA$72:$CA$95,CA121)+COUNTIF($CB$72:$CB$95,CA121)+COUNTIF($CC$72:$CC$95,CA121)+COUNTIF($CD$72:$CD$95,CA121)+COUNTIF($CA$100:CA121,CA121),"000"))</f>
        <v/>
      </c>
      <c r="D121" s="9" t="str">
        <f>IF(AND($BN$17&lt;&gt;"",($BM$17+22)&lt;=$BO$17),$BN$17,"")</f>
        <v/>
      </c>
      <c r="E121" s="9" t="str">
        <f>IF(AND($BN$17&lt;&gt;"",($BM$17+22)&lt;=$BO$17),TEXT(($BM$17+22),"00"),"")</f>
        <v/>
      </c>
      <c r="F121" s="9" t="str">
        <f>IF(AND($BN$17&lt;&gt;"",($BM$17+22)&lt;=$BO$17),$BN$17&amp;"-"&amp;TEXT(($BM$17+22),"00"),"")</f>
        <v/>
      </c>
      <c r="H121" s="6"/>
      <c r="I121" s="9" t="str">
        <f>IF(CB121="","",CB121&amp;"-"&amp;TEXT(COUNTIF($CA$72:$CA$95,CB121)+COUNTIF($CB$72:$CB$95,CB121)+COUNTIF($CC$72:$CC$95,CB121)+COUNTIF($CD$72:$CD$95,CB121)+COUNTIF($CA$100:$CA$123,CB121)+COUNTIF($CB$100:CB121,CB121),"000"))</f>
        <v/>
      </c>
      <c r="J121" s="9" t="str">
        <f>IF(AND($BN$18&lt;&gt;"",($BM$18+22)&lt;=$BO$18),$BN$18,"")</f>
        <v/>
      </c>
      <c r="K121" s="9" t="str">
        <f>IF(AND($BN$18&lt;&gt;"",($BM$18+22)&lt;=$BO$18),TEXT(($BM$18+22),"00"),"")</f>
        <v/>
      </c>
      <c r="L121" s="9" t="str">
        <f>IF(AND($BN$18&lt;&gt;"",($BM$18+22)&lt;=$BO$18),$BN$18&amp;"-"&amp;TEXT(($BM$18+22),"00"),"")</f>
        <v/>
      </c>
      <c r="N121" s="6"/>
      <c r="O121" s="9" t="str">
        <f>IF(CC121="","",CC121&amp;"-"&amp;TEXT(COUNTIF($CA$72:$CA$95,CC121)+COUNTIF($CB$72:$CB$95,CC121)+COUNTIF($CC$72:$CC$95,CC121)+COUNTIF($CD$72:$CD$95,CC121)+COUNTIF($CA$100:$CA$123,CC121)+COUNTIF($CB$100:$CB$123,CC121)+COUNTIF($CC$100:CC121,CC121),"000"))</f>
        <v/>
      </c>
      <c r="P121" s="9" t="str">
        <f>IF(AND($BN$19&lt;&gt;"",($BM$19+22)&lt;=$BO$19),$BN$19,"")</f>
        <v/>
      </c>
      <c r="Q121" s="9" t="str">
        <f>IF(AND($BN$19&lt;&gt;"",($BM$19+22)&lt;=$BO$19),TEXT(($BM$19+22),"00"),"")</f>
        <v/>
      </c>
      <c r="R121" s="9" t="str">
        <f>IF(AND($BN$19&lt;&gt;"",($BM$19+22)&lt;=$BO$19),$BN$19&amp;"-"&amp;TEXT(($BM$19+22),"00"),"")</f>
        <v/>
      </c>
      <c r="T121" s="6"/>
      <c r="U121" s="9" t="str">
        <f>IF(CD121="","",CD121&amp;"-"&amp;TEXT(COUNTIF($CA$72:$CA$95,CD121)+COUNTIF($CB$72:$CB$95,CD121)+COUNTIF($CC$72:$CC$95,CD121)+COUNTIF($CD$72:$CD$95,CD121)+COUNTIF($CA$100:$CA$123,CD121)+COUNTIF($CB$100:$CB$123,CD121)+COUNTIF($CC$100:$CC$123,CD121)+COUNTIF($CD$100:CD121,CD121),"000"))</f>
        <v/>
      </c>
      <c r="V121" s="9" t="str">
        <f>IF(AND($BN$20&lt;&gt;"",($BM$20+22)&lt;=$BO$20),$BN$20,"")</f>
        <v/>
      </c>
      <c r="W121" s="9" t="str">
        <f>IF(AND($BN$20&lt;&gt;"",($BM$20+22)&lt;=$BO$20),TEXT(($BM$20+22),"00"),"")</f>
        <v/>
      </c>
      <c r="X121" s="9" t="str">
        <f>IF(AND($BN$20&lt;&gt;"",($BM$20+22)&lt;=$BO$20),$BN$20&amp;"-"&amp;TEXT(($BM$20+22),"00"),"")</f>
        <v/>
      </c>
      <c r="BA121">
        <f>IF(OR(Catalogo!$C121="",Catalogo!$B121="Espacio libre",Catalogo!$B121="Espacio reservado"),0,COUNTIF($C$13:$C$42,Catalogo!$C121)+IF($E$7=Catalogo!$C121,N($K$7),0)+IF($E$8=Catalogo!$C121,N($N$8),0)+IF(Proyecto!$D$12=Catalogo!$C121,$AQ$4,0)+SUMIF($C$49:$C$58,Catalogo!$C121,$K$49:$K$58))</f>
        <v>0</v>
      </c>
      <c r="CA121" t="str" cm="1">
        <f t="array" ref="CA121">IF(NOT(AND($BN$17&lt;&gt;"",($BM$17+22)&lt;=$BO$17)),"",IF(B121&lt;&gt;"",IF(B121="-","",B121),IF(ISNUMBER(SEARCH(":",$BP$17)),IFERROR(_xlfn.LET(_xlpm.s,_xlfn.TEXTSPLIT($BP$17,","),_xlpm.k,FIND(":",_xlpm.s),INDEX(TRIM(LEFT(_xlpm.s,_xlpm.k-1)),_xlfn.XMATCH(($BM$17+22),_xlfn.SCAN(0,--MID(_xlpm.s,_xlpm.k+1,9),_xlfn.LAMBDA(_xlpm.a,_xlpm.v,_xlpm.a+_xlpm.v)),1))),""),IF(($BM$17+22)&lt;=$BQ$17,$BP$17,""))))</f>
        <v/>
      </c>
      <c r="CB121" t="str" cm="1">
        <f t="array" ref="CB121">IF(NOT(AND($BN$18&lt;&gt;"",($BM$18+22)&lt;=$BO$18)),"",IF(H121&lt;&gt;"",IF(H121="-","",H121),IF(ISNUMBER(SEARCH(":",$BP$18)),IFERROR(_xlfn.LET(_xlpm.s,_xlfn.TEXTSPLIT($BP$18,","),_xlpm.k,FIND(":",_xlpm.s),INDEX(TRIM(LEFT(_xlpm.s,_xlpm.k-1)),_xlfn.XMATCH(($BM$18+22),_xlfn.SCAN(0,--MID(_xlpm.s,_xlpm.k+1,9),_xlfn.LAMBDA(_xlpm.a,_xlpm.v,_xlpm.a+_xlpm.v)),1))),""),IF(($BM$18+22)&lt;=$BQ$18,$BP$18,""))))</f>
        <v/>
      </c>
      <c r="CC121" t="str" cm="1">
        <f t="array" ref="CC121">IF(NOT(AND($BN$19&lt;&gt;"",($BM$19+22)&lt;=$BO$19)),"",IF(N121&lt;&gt;"",IF(N121="-","",N121),IF(ISNUMBER(SEARCH(":",$BP$19)),IFERROR(_xlfn.LET(_xlpm.s,_xlfn.TEXTSPLIT($BP$19,","),_xlpm.k,FIND(":",_xlpm.s),INDEX(TRIM(LEFT(_xlpm.s,_xlpm.k-1)),_xlfn.XMATCH(($BM$19+22),_xlfn.SCAN(0,--MID(_xlpm.s,_xlpm.k+1,9),_xlfn.LAMBDA(_xlpm.a,_xlpm.v,_xlpm.a+_xlpm.v)),1))),""),IF(($BM$19+22)&lt;=$BQ$19,$BP$19,""))))</f>
        <v/>
      </c>
      <c r="CD121" t="str" cm="1">
        <f t="array" ref="CD121">IF(NOT(AND($BN$20&lt;&gt;"",($BM$20+22)&lt;=$BO$20)),"",IF(T121&lt;&gt;"",IF(T121="-","",T121),IF(ISNUMBER(SEARCH(":",$BP$20)),IFERROR(_xlfn.LET(_xlpm.s,_xlfn.TEXTSPLIT($BP$20,","),_xlpm.k,FIND(":",_xlpm.s),INDEX(TRIM(LEFT(_xlpm.s,_xlpm.k-1)),_xlfn.XMATCH(($BM$20+22),_xlfn.SCAN(0,--MID(_xlpm.s,_xlpm.k+1,9),_xlfn.LAMBDA(_xlpm.a,_xlpm.v,_xlpm.a+_xlpm.v)),1))),""),IF(($BM$20+22)&lt;=$BQ$20,$BP$20,""))))</f>
        <v/>
      </c>
    </row>
    <row r="122" spans="2:82" hidden="1" x14ac:dyDescent="0.45">
      <c r="B122" s="6"/>
      <c r="C122" s="9" t="str">
        <f>IF(CA122="","",CA122&amp;"-"&amp;TEXT(COUNTIF($CA$72:$CA$95,CA122)+COUNTIF($CB$72:$CB$95,CA122)+COUNTIF($CC$72:$CC$95,CA122)+COUNTIF($CD$72:$CD$95,CA122)+COUNTIF($CA$100:CA122,CA122),"000"))</f>
        <v/>
      </c>
      <c r="D122" s="9" t="str">
        <f>IF(AND($BN$17&lt;&gt;"",($BM$17+23)&lt;=$BO$17),$BN$17,"")</f>
        <v/>
      </c>
      <c r="E122" s="9" t="str">
        <f>IF(AND($BN$17&lt;&gt;"",($BM$17+23)&lt;=$BO$17),TEXT(($BM$17+23),"00"),"")</f>
        <v/>
      </c>
      <c r="F122" s="9" t="str">
        <f>IF(AND($BN$17&lt;&gt;"",($BM$17+23)&lt;=$BO$17),$BN$17&amp;"-"&amp;TEXT(($BM$17+23),"00"),"")</f>
        <v/>
      </c>
      <c r="H122" s="6"/>
      <c r="I122" s="9" t="str">
        <f>IF(CB122="","",CB122&amp;"-"&amp;TEXT(COUNTIF($CA$72:$CA$95,CB122)+COUNTIF($CB$72:$CB$95,CB122)+COUNTIF($CC$72:$CC$95,CB122)+COUNTIF($CD$72:$CD$95,CB122)+COUNTIF($CA$100:$CA$123,CB122)+COUNTIF($CB$100:CB122,CB122),"000"))</f>
        <v/>
      </c>
      <c r="J122" s="9" t="str">
        <f>IF(AND($BN$18&lt;&gt;"",($BM$18+23)&lt;=$BO$18),$BN$18,"")</f>
        <v/>
      </c>
      <c r="K122" s="9" t="str">
        <f>IF(AND($BN$18&lt;&gt;"",($BM$18+23)&lt;=$BO$18),TEXT(($BM$18+23),"00"),"")</f>
        <v/>
      </c>
      <c r="L122" s="9" t="str">
        <f>IF(AND($BN$18&lt;&gt;"",($BM$18+23)&lt;=$BO$18),$BN$18&amp;"-"&amp;TEXT(($BM$18+23),"00"),"")</f>
        <v/>
      </c>
      <c r="N122" s="6"/>
      <c r="O122" s="9" t="str">
        <f>IF(CC122="","",CC122&amp;"-"&amp;TEXT(COUNTIF($CA$72:$CA$95,CC122)+COUNTIF($CB$72:$CB$95,CC122)+COUNTIF($CC$72:$CC$95,CC122)+COUNTIF($CD$72:$CD$95,CC122)+COUNTIF($CA$100:$CA$123,CC122)+COUNTIF($CB$100:$CB$123,CC122)+COUNTIF($CC$100:CC122,CC122),"000"))</f>
        <v/>
      </c>
      <c r="P122" s="9" t="str">
        <f>IF(AND($BN$19&lt;&gt;"",($BM$19+23)&lt;=$BO$19),$BN$19,"")</f>
        <v/>
      </c>
      <c r="Q122" s="9" t="str">
        <f>IF(AND($BN$19&lt;&gt;"",($BM$19+23)&lt;=$BO$19),TEXT(($BM$19+23),"00"),"")</f>
        <v/>
      </c>
      <c r="R122" s="9" t="str">
        <f>IF(AND($BN$19&lt;&gt;"",($BM$19+23)&lt;=$BO$19),$BN$19&amp;"-"&amp;TEXT(($BM$19+23),"00"),"")</f>
        <v/>
      </c>
      <c r="T122" s="6"/>
      <c r="U122" s="9" t="str">
        <f>IF(CD122="","",CD122&amp;"-"&amp;TEXT(COUNTIF($CA$72:$CA$95,CD122)+COUNTIF($CB$72:$CB$95,CD122)+COUNTIF($CC$72:$CC$95,CD122)+COUNTIF($CD$72:$CD$95,CD122)+COUNTIF($CA$100:$CA$123,CD122)+COUNTIF($CB$100:$CB$123,CD122)+COUNTIF($CC$100:$CC$123,CD122)+COUNTIF($CD$100:CD122,CD122),"000"))</f>
        <v/>
      </c>
      <c r="V122" s="9" t="str">
        <f>IF(AND($BN$20&lt;&gt;"",($BM$20+23)&lt;=$BO$20),$BN$20,"")</f>
        <v/>
      </c>
      <c r="W122" s="9" t="str">
        <f>IF(AND($BN$20&lt;&gt;"",($BM$20+23)&lt;=$BO$20),TEXT(($BM$20+23),"00"),"")</f>
        <v/>
      </c>
      <c r="X122" s="9" t="str">
        <f>IF(AND($BN$20&lt;&gt;"",($BM$20+23)&lt;=$BO$20),$BN$20&amp;"-"&amp;TEXT(($BM$20+23),"00"),"")</f>
        <v/>
      </c>
      <c r="BA122">
        <f>IF(OR(Catalogo!$C122="",Catalogo!$B122="Espacio libre",Catalogo!$B122="Espacio reservado"),0,COUNTIF($C$13:$C$42,Catalogo!$C122)+IF($E$7=Catalogo!$C122,N($K$7),0)+IF($E$8=Catalogo!$C122,N($N$8),0)+IF(Proyecto!$D$12=Catalogo!$C122,$AQ$4,0)+SUMIF($C$49:$C$58,Catalogo!$C122,$K$49:$K$58))</f>
        <v>0</v>
      </c>
      <c r="CA122" t="str" cm="1">
        <f t="array" ref="CA122">IF(NOT(AND($BN$17&lt;&gt;"",($BM$17+23)&lt;=$BO$17)),"",IF(B122&lt;&gt;"",IF(B122="-","",B122),IF(ISNUMBER(SEARCH(":",$BP$17)),IFERROR(_xlfn.LET(_xlpm.s,_xlfn.TEXTSPLIT($BP$17,","),_xlpm.k,FIND(":",_xlpm.s),INDEX(TRIM(LEFT(_xlpm.s,_xlpm.k-1)),_xlfn.XMATCH(($BM$17+23),_xlfn.SCAN(0,--MID(_xlpm.s,_xlpm.k+1,9),_xlfn.LAMBDA(_xlpm.a,_xlpm.v,_xlpm.a+_xlpm.v)),1))),""),IF(($BM$17+23)&lt;=$BQ$17,$BP$17,""))))</f>
        <v/>
      </c>
      <c r="CB122" t="str" cm="1">
        <f t="array" ref="CB122">IF(NOT(AND($BN$18&lt;&gt;"",($BM$18+23)&lt;=$BO$18)),"",IF(H122&lt;&gt;"",IF(H122="-","",H122),IF(ISNUMBER(SEARCH(":",$BP$18)),IFERROR(_xlfn.LET(_xlpm.s,_xlfn.TEXTSPLIT($BP$18,","),_xlpm.k,FIND(":",_xlpm.s),INDEX(TRIM(LEFT(_xlpm.s,_xlpm.k-1)),_xlfn.XMATCH(($BM$18+23),_xlfn.SCAN(0,--MID(_xlpm.s,_xlpm.k+1,9),_xlfn.LAMBDA(_xlpm.a,_xlpm.v,_xlpm.a+_xlpm.v)),1))),""),IF(($BM$18+23)&lt;=$BQ$18,$BP$18,""))))</f>
        <v/>
      </c>
      <c r="CC122" t="str" cm="1">
        <f t="array" ref="CC122">IF(NOT(AND($BN$19&lt;&gt;"",($BM$19+23)&lt;=$BO$19)),"",IF(N122&lt;&gt;"",IF(N122="-","",N122),IF(ISNUMBER(SEARCH(":",$BP$19)),IFERROR(_xlfn.LET(_xlpm.s,_xlfn.TEXTSPLIT($BP$19,","),_xlpm.k,FIND(":",_xlpm.s),INDEX(TRIM(LEFT(_xlpm.s,_xlpm.k-1)),_xlfn.XMATCH(($BM$19+23),_xlfn.SCAN(0,--MID(_xlpm.s,_xlpm.k+1,9),_xlfn.LAMBDA(_xlpm.a,_xlpm.v,_xlpm.a+_xlpm.v)),1))),""),IF(($BM$19+23)&lt;=$BQ$19,$BP$19,""))))</f>
        <v/>
      </c>
      <c r="CD122" t="str" cm="1">
        <f t="array" ref="CD122">IF(NOT(AND($BN$20&lt;&gt;"",($BM$20+23)&lt;=$BO$20)),"",IF(T122&lt;&gt;"",IF(T122="-","",T122),IF(ISNUMBER(SEARCH(":",$BP$20)),IFERROR(_xlfn.LET(_xlpm.s,_xlfn.TEXTSPLIT($BP$20,","),_xlpm.k,FIND(":",_xlpm.s),INDEX(TRIM(LEFT(_xlpm.s,_xlpm.k-1)),_xlfn.XMATCH(($BM$20+23),_xlfn.SCAN(0,--MID(_xlpm.s,_xlpm.k+1,9),_xlfn.LAMBDA(_xlpm.a,_xlpm.v,_xlpm.a+_xlpm.v)),1))),""),IF(($BM$20+23)&lt;=$BQ$20,$BP$20,""))))</f>
        <v/>
      </c>
    </row>
    <row r="123" spans="2:82" hidden="1" x14ac:dyDescent="0.45">
      <c r="B123" s="6"/>
      <c r="C123" s="9" t="str">
        <f>IF(CA123="","",CA123&amp;"-"&amp;TEXT(COUNTIF($CA$72:$CA$95,CA123)+COUNTIF($CB$72:$CB$95,CA123)+COUNTIF($CC$72:$CC$95,CA123)+COUNTIF($CD$72:$CD$95,CA123)+COUNTIF($CA$100:CA123,CA123),"000"))</f>
        <v/>
      </c>
      <c r="D123" s="9" t="str">
        <f>IF(AND($BN$17&lt;&gt;"",($BM$17+24)&lt;=$BO$17),$BN$17,"")</f>
        <v/>
      </c>
      <c r="E123" s="9" t="str">
        <f>IF(AND($BN$17&lt;&gt;"",($BM$17+24)&lt;=$BO$17),TEXT(($BM$17+24),"00"),"")</f>
        <v/>
      </c>
      <c r="F123" s="9" t="str">
        <f>IF(AND($BN$17&lt;&gt;"",($BM$17+24)&lt;=$BO$17),$BN$17&amp;"-"&amp;TEXT(($BM$17+24),"00"),"")</f>
        <v/>
      </c>
      <c r="H123" s="6"/>
      <c r="I123" s="9" t="str">
        <f>IF(CB123="","",CB123&amp;"-"&amp;TEXT(COUNTIF($CA$72:$CA$95,CB123)+COUNTIF($CB$72:$CB$95,CB123)+COUNTIF($CC$72:$CC$95,CB123)+COUNTIF($CD$72:$CD$95,CB123)+COUNTIF($CA$100:$CA$123,CB123)+COUNTIF($CB$100:CB123,CB123),"000"))</f>
        <v/>
      </c>
      <c r="J123" s="9" t="str">
        <f>IF(AND($BN$18&lt;&gt;"",($BM$18+24)&lt;=$BO$18),$BN$18,"")</f>
        <v/>
      </c>
      <c r="K123" s="9" t="str">
        <f>IF(AND($BN$18&lt;&gt;"",($BM$18+24)&lt;=$BO$18),TEXT(($BM$18+24),"00"),"")</f>
        <v/>
      </c>
      <c r="L123" s="9" t="str">
        <f>IF(AND($BN$18&lt;&gt;"",($BM$18+24)&lt;=$BO$18),$BN$18&amp;"-"&amp;TEXT(($BM$18+24),"00"),"")</f>
        <v/>
      </c>
      <c r="N123" s="6"/>
      <c r="O123" s="9" t="str">
        <f>IF(CC123="","",CC123&amp;"-"&amp;TEXT(COUNTIF($CA$72:$CA$95,CC123)+COUNTIF($CB$72:$CB$95,CC123)+COUNTIF($CC$72:$CC$95,CC123)+COUNTIF($CD$72:$CD$95,CC123)+COUNTIF($CA$100:$CA$123,CC123)+COUNTIF($CB$100:$CB$123,CC123)+COUNTIF($CC$100:CC123,CC123),"000"))</f>
        <v/>
      </c>
      <c r="P123" s="9" t="str">
        <f>IF(AND($BN$19&lt;&gt;"",($BM$19+24)&lt;=$BO$19),$BN$19,"")</f>
        <v/>
      </c>
      <c r="Q123" s="9" t="str">
        <f>IF(AND($BN$19&lt;&gt;"",($BM$19+24)&lt;=$BO$19),TEXT(($BM$19+24),"00"),"")</f>
        <v/>
      </c>
      <c r="R123" s="9" t="str">
        <f>IF(AND($BN$19&lt;&gt;"",($BM$19+24)&lt;=$BO$19),$BN$19&amp;"-"&amp;TEXT(($BM$19+24),"00"),"")</f>
        <v/>
      </c>
      <c r="T123" s="6"/>
      <c r="U123" s="9" t="str">
        <f>IF(CD123="","",CD123&amp;"-"&amp;TEXT(COUNTIF($CA$72:$CA$95,CD123)+COUNTIF($CB$72:$CB$95,CD123)+COUNTIF($CC$72:$CC$95,CD123)+COUNTIF($CD$72:$CD$95,CD123)+COUNTIF($CA$100:$CA$123,CD123)+COUNTIF($CB$100:$CB$123,CD123)+COUNTIF($CC$100:$CC$123,CD123)+COUNTIF($CD$100:CD123,CD123),"000"))</f>
        <v/>
      </c>
      <c r="V123" s="9" t="str">
        <f>IF(AND($BN$20&lt;&gt;"",($BM$20+24)&lt;=$BO$20),$BN$20,"")</f>
        <v/>
      </c>
      <c r="W123" s="9" t="str">
        <f>IF(AND($BN$20&lt;&gt;"",($BM$20+24)&lt;=$BO$20),TEXT(($BM$20+24),"00"),"")</f>
        <v/>
      </c>
      <c r="X123" s="9" t="str">
        <f>IF(AND($BN$20&lt;&gt;"",($BM$20+24)&lt;=$BO$20),$BN$20&amp;"-"&amp;TEXT(($BM$20+24),"00"),"")</f>
        <v/>
      </c>
      <c r="BA123">
        <f>IF(OR(Catalogo!$C123="",Catalogo!$B123="Espacio libre",Catalogo!$B123="Espacio reservado"),0,COUNTIF($C$13:$C$42,Catalogo!$C123)+IF($E$7=Catalogo!$C123,N($K$7),0)+IF($E$8=Catalogo!$C123,N($N$8),0)+IF(Proyecto!$D$12=Catalogo!$C123,$AQ$4,0)+SUMIF($C$49:$C$58,Catalogo!$C123,$K$49:$K$58))</f>
        <v>0</v>
      </c>
      <c r="CA123" t="str" cm="1">
        <f t="array" ref="CA123">IF(NOT(AND($BN$17&lt;&gt;"",($BM$17+24)&lt;=$BO$17)),"",IF(B123&lt;&gt;"",IF(B123="-","",B123),IF(ISNUMBER(SEARCH(":",$BP$17)),IFERROR(_xlfn.LET(_xlpm.s,_xlfn.TEXTSPLIT($BP$17,","),_xlpm.k,FIND(":",_xlpm.s),INDEX(TRIM(LEFT(_xlpm.s,_xlpm.k-1)),_xlfn.XMATCH(($BM$17+24),_xlfn.SCAN(0,--MID(_xlpm.s,_xlpm.k+1,9),_xlfn.LAMBDA(_xlpm.a,_xlpm.v,_xlpm.a+_xlpm.v)),1))),""),IF(($BM$17+24)&lt;=$BQ$17,$BP$17,""))))</f>
        <v/>
      </c>
      <c r="CB123" t="str" cm="1">
        <f t="array" ref="CB123">IF(NOT(AND($BN$18&lt;&gt;"",($BM$18+24)&lt;=$BO$18)),"",IF(H123&lt;&gt;"",IF(H123="-","",H123),IF(ISNUMBER(SEARCH(":",$BP$18)),IFERROR(_xlfn.LET(_xlpm.s,_xlfn.TEXTSPLIT($BP$18,","),_xlpm.k,FIND(":",_xlpm.s),INDEX(TRIM(LEFT(_xlpm.s,_xlpm.k-1)),_xlfn.XMATCH(($BM$18+24),_xlfn.SCAN(0,--MID(_xlpm.s,_xlpm.k+1,9),_xlfn.LAMBDA(_xlpm.a,_xlpm.v,_xlpm.a+_xlpm.v)),1))),""),IF(($BM$18+24)&lt;=$BQ$18,$BP$18,""))))</f>
        <v/>
      </c>
      <c r="CC123" t="str" cm="1">
        <f t="array" ref="CC123">IF(NOT(AND($BN$19&lt;&gt;"",($BM$19+24)&lt;=$BO$19)),"",IF(N123&lt;&gt;"",IF(N123="-","",N123),IF(ISNUMBER(SEARCH(":",$BP$19)),IFERROR(_xlfn.LET(_xlpm.s,_xlfn.TEXTSPLIT($BP$19,","),_xlpm.k,FIND(":",_xlpm.s),INDEX(TRIM(LEFT(_xlpm.s,_xlpm.k-1)),_xlfn.XMATCH(($BM$19+24),_xlfn.SCAN(0,--MID(_xlpm.s,_xlpm.k+1,9),_xlfn.LAMBDA(_xlpm.a,_xlpm.v,_xlpm.a+_xlpm.v)),1))),""),IF(($BM$19+24)&lt;=$BQ$19,$BP$19,""))))</f>
        <v/>
      </c>
      <c r="CD123" t="str" cm="1">
        <f t="array" ref="CD123">IF(NOT(AND($BN$20&lt;&gt;"",($BM$20+24)&lt;=$BO$20)),"",IF(T123&lt;&gt;"",IF(T123="-","",T123),IF(ISNUMBER(SEARCH(":",$BP$20)),IFERROR(_xlfn.LET(_xlpm.s,_xlfn.TEXTSPLIT($BP$20,","),_xlpm.k,FIND(":",_xlpm.s),INDEX(TRIM(LEFT(_xlpm.s,_xlpm.k-1)),_xlfn.XMATCH(($BM$20+24),_xlfn.SCAN(0,--MID(_xlpm.s,_xlpm.k+1,9),_xlfn.LAMBDA(_xlpm.a,_xlpm.v,_xlpm.a+_xlpm.v)),1))),""),IF(($BM$20+24)&lt;=$BQ$20,$BP$20,""))))</f>
        <v/>
      </c>
    </row>
    <row r="124" spans="2:82" hidden="1" x14ac:dyDescent="0.45">
      <c r="BA124">
        <f>IF(OR(Catalogo!$C124="",Catalogo!$B124="Espacio libre",Catalogo!$B124="Espacio reservado"),0,COUNTIF($C$13:$C$42,Catalogo!$C124)+IF($E$7=Catalogo!$C124,N($K$7),0)+IF($E$8=Catalogo!$C124,N($N$8),0)+IF(Proyecto!$D$12=Catalogo!$C124,$AQ$4,0)+SUMIF($C$49:$C$58,Catalogo!$C124,$K$49:$K$58))</f>
        <v>0</v>
      </c>
    </row>
    <row r="125" spans="2:82" hidden="1" x14ac:dyDescent="0.45">
      <c r="BA125">
        <f>IF(OR(Catalogo!$C125="",Catalogo!$B125="Espacio libre",Catalogo!$B125="Espacio reservado"),0,COUNTIF($C$13:$C$42,Catalogo!$C125)+IF($E$7=Catalogo!$C125,N($K$7),0)+IF($E$8=Catalogo!$C125,N($N$8),0)+IF(Proyecto!$D$12=Catalogo!$C125,$AQ$4,0)+SUMIF($C$49:$C$58,Catalogo!$C125,$K$49:$K$58))</f>
        <v>0</v>
      </c>
    </row>
    <row r="126" spans="2:82" hidden="1" x14ac:dyDescent="0.45">
      <c r="B126" s="51" t="str">
        <f>IF($BN$21="","Bloque 9 — sin panel","Panel "&amp;$BN$21&amp;"  (puertos "&amp;($BM$21+1)&amp;"-"&amp;MIN($BM$21+24,$BO$21)&amp;")"&amp;IF($BP$21&lt;&gt;"","  · "&amp;$BP$21,"")&amp;"  · "&amp;TEXT(IFERROR(INDEX($BS$13:$BS$28,$BL$21)/$BO$21,0),"0%"))</f>
        <v>Bloque 9 — sin panel</v>
      </c>
      <c r="C126" s="40"/>
      <c r="D126" s="40"/>
      <c r="E126" s="40"/>
      <c r="F126" s="40"/>
      <c r="H126" s="51" t="str">
        <f>IF($BN$22="","Bloque 10 — sin panel","Panel "&amp;$BN$22&amp;"  (puertos "&amp;($BM$22+1)&amp;"-"&amp;MIN($BM$22+24,$BO$22)&amp;")"&amp;IF($BP$22&lt;&gt;"","  · "&amp;$BP$22,"")&amp;"  · "&amp;TEXT(IFERROR(INDEX($BS$13:$BS$28,$BL$22)/$BO$22,0),"0%"))</f>
        <v>Bloque 10 — sin panel</v>
      </c>
      <c r="I126" s="40"/>
      <c r="J126" s="40"/>
      <c r="K126" s="40"/>
      <c r="L126" s="40"/>
      <c r="N126" s="51" t="str">
        <f>IF($BN$23="","Bloque 11 — sin panel","Panel "&amp;$BN$23&amp;"  (puertos "&amp;($BM$23+1)&amp;"-"&amp;MIN($BM$23+24,$BO$23)&amp;")"&amp;IF($BP$23&lt;&gt;"","  · "&amp;$BP$23,"")&amp;"  · "&amp;TEXT(IFERROR(INDEX($BS$13:$BS$28,$BL$23)/$BO$23,0),"0%"))</f>
        <v>Bloque 11 — sin panel</v>
      </c>
      <c r="O126" s="40"/>
      <c r="P126" s="40"/>
      <c r="Q126" s="40"/>
      <c r="R126" s="40"/>
      <c r="T126" s="51" t="str">
        <f>IF($BN$24="","Bloque 12 — sin panel","Panel "&amp;$BN$24&amp;"  (puertos "&amp;($BM$24+1)&amp;"-"&amp;MIN($BM$24+24,$BO$24)&amp;")"&amp;IF($BP$24&lt;&gt;"","  · "&amp;$BP$24,"")&amp;"  · "&amp;TEXT(IFERROR(INDEX($BS$13:$BS$28,$BL$24)/$BO$24,0),"0%"))</f>
        <v>Bloque 12 — sin panel</v>
      </c>
      <c r="U126" s="40"/>
      <c r="V126" s="40"/>
      <c r="W126" s="40"/>
      <c r="X126" s="40"/>
    </row>
    <row r="127" spans="2:82" hidden="1" x14ac:dyDescent="0.45">
      <c r="B127" s="5" t="s">
        <v>410</v>
      </c>
      <c r="C127" s="5" t="s">
        <v>411</v>
      </c>
      <c r="D127" s="5" t="s">
        <v>389</v>
      </c>
      <c r="E127" s="5" t="s">
        <v>412</v>
      </c>
      <c r="F127" s="5" t="s">
        <v>413</v>
      </c>
      <c r="H127" s="5" t="s">
        <v>410</v>
      </c>
      <c r="I127" s="5" t="s">
        <v>411</v>
      </c>
      <c r="J127" s="5" t="s">
        <v>389</v>
      </c>
      <c r="K127" s="5" t="s">
        <v>412</v>
      </c>
      <c r="L127" s="5" t="s">
        <v>413</v>
      </c>
      <c r="N127" s="5" t="s">
        <v>410</v>
      </c>
      <c r="O127" s="5" t="s">
        <v>411</v>
      </c>
      <c r="P127" s="5" t="s">
        <v>389</v>
      </c>
      <c r="Q127" s="5" t="s">
        <v>412</v>
      </c>
      <c r="R127" s="5" t="s">
        <v>413</v>
      </c>
      <c r="T127" s="5" t="s">
        <v>410</v>
      </c>
      <c r="U127" s="5" t="s">
        <v>411</v>
      </c>
      <c r="V127" s="5" t="s">
        <v>389</v>
      </c>
      <c r="W127" s="5" t="s">
        <v>412</v>
      </c>
      <c r="X127" s="5" t="s">
        <v>413</v>
      </c>
    </row>
    <row r="128" spans="2:82" hidden="1" x14ac:dyDescent="0.45">
      <c r="B128" s="6"/>
      <c r="C128" s="9" t="str">
        <f>IF(CA128="","",CA128&amp;"-"&amp;TEXT(COUNTIF($CA$72:$CA$95,CA128)+COUNTIF($CB$72:$CB$95,CA128)+COUNTIF($CC$72:$CC$95,CA128)+COUNTIF($CD$72:$CD$95,CA128)+COUNTIF($CA$100:$CA$123,CA128)+COUNTIF($CB$100:$CB$123,CA128)+COUNTIF($CC$100:$CC$123,CA128)+COUNTIF($CD$100:$CD$123,CA128)+COUNTIF($CA$128:CA128,CA128),"000"))</f>
        <v/>
      </c>
      <c r="D128" s="9" t="str">
        <f>IF(AND($BN$21&lt;&gt;"",($BM$21+1)&lt;=$BO$21),$BN$21,"")</f>
        <v/>
      </c>
      <c r="E128" s="9" t="str">
        <f>IF(AND($BN$21&lt;&gt;"",($BM$21+1)&lt;=$BO$21),TEXT(($BM$21+1),"00"),"")</f>
        <v/>
      </c>
      <c r="F128" s="9" t="str">
        <f>IF(AND($BN$21&lt;&gt;"",($BM$21+1)&lt;=$BO$21),$BN$21&amp;"-"&amp;TEXT(($BM$21+1),"00"),"")</f>
        <v/>
      </c>
      <c r="H128" s="6"/>
      <c r="I128" s="9" t="str">
        <f>IF(CB128="","",CB128&amp;"-"&amp;TEXT(COUNTIF($CA$72:$CA$95,CB128)+COUNTIF($CB$72:$CB$95,CB128)+COUNTIF($CC$72:$CC$95,CB128)+COUNTIF($CD$72:$CD$95,CB128)+COUNTIF($CA$100:$CA$123,CB128)+COUNTIF($CB$100:$CB$123,CB128)+COUNTIF($CC$100:$CC$123,CB128)+COUNTIF($CD$100:$CD$123,CB128)+COUNTIF($CA$128:$CA$151,CB128)+COUNTIF($CB$128:CB128,CB128),"000"))</f>
        <v/>
      </c>
      <c r="J128" s="9" t="str">
        <f>IF(AND($BN$22&lt;&gt;"",($BM$22+1)&lt;=$BO$22),$BN$22,"")</f>
        <v/>
      </c>
      <c r="K128" s="9" t="str">
        <f>IF(AND($BN$22&lt;&gt;"",($BM$22+1)&lt;=$BO$22),TEXT(($BM$22+1),"00"),"")</f>
        <v/>
      </c>
      <c r="L128" s="9" t="str">
        <f>IF(AND($BN$22&lt;&gt;"",($BM$22+1)&lt;=$BO$22),$BN$22&amp;"-"&amp;TEXT(($BM$22+1),"00"),"")</f>
        <v/>
      </c>
      <c r="N128" s="6"/>
      <c r="O128" s="9" t="str">
        <f>IF(CC128="","",CC128&amp;"-"&amp;TEXT(COUNTIF($CA$72:$CA$95,CC128)+COUNTIF($CB$72:$CB$95,CC128)+COUNTIF($CC$72:$CC$95,CC128)+COUNTIF($CD$72:$CD$95,CC128)+COUNTIF($CA$100:$CA$123,CC128)+COUNTIF($CB$100:$CB$123,CC128)+COUNTIF($CC$100:$CC$123,CC128)+COUNTIF($CD$100:$CD$123,CC128)+COUNTIF($CA$128:$CA$151,CC128)+COUNTIF($CB$128:$CB$151,CC128)+COUNTIF($CC$128:CC128,CC128),"000"))</f>
        <v/>
      </c>
      <c r="P128" s="9" t="str">
        <f>IF(AND($BN$23&lt;&gt;"",($BM$23+1)&lt;=$BO$23),$BN$23,"")</f>
        <v/>
      </c>
      <c r="Q128" s="9" t="str">
        <f>IF(AND($BN$23&lt;&gt;"",($BM$23+1)&lt;=$BO$23),TEXT(($BM$23+1),"00"),"")</f>
        <v/>
      </c>
      <c r="R128" s="9" t="str">
        <f>IF(AND($BN$23&lt;&gt;"",($BM$23+1)&lt;=$BO$23),$BN$23&amp;"-"&amp;TEXT(($BM$23+1),"00"),"")</f>
        <v/>
      </c>
      <c r="T128" s="6"/>
      <c r="U128" s="9" t="str">
        <f>IF(CD128="","",CD128&amp;"-"&amp;TEXT(COUNTIF($CA$72:$CA$95,CD128)+COUNTIF($CB$72:$CB$95,CD128)+COUNTIF($CC$72:$CC$95,CD128)+COUNTIF($CD$72:$CD$95,CD128)+COUNTIF($CA$100:$CA$123,CD128)+COUNTIF($CB$100:$CB$123,CD128)+COUNTIF($CC$100:$CC$123,CD128)+COUNTIF($CD$100:$CD$123,CD128)+COUNTIF($CA$128:$CA$151,CD128)+COUNTIF($CB$128:$CB$151,CD128)+COUNTIF($CC$128:$CC$151,CD128)+COUNTIF($CD$128:CD128,CD128),"000"))</f>
        <v/>
      </c>
      <c r="V128" s="9" t="str">
        <f>IF(AND($BN$24&lt;&gt;"",($BM$24+1)&lt;=$BO$24),$BN$24,"")</f>
        <v/>
      </c>
      <c r="W128" s="9" t="str">
        <f>IF(AND($BN$24&lt;&gt;"",($BM$24+1)&lt;=$BO$24),TEXT(($BM$24+1),"00"),"")</f>
        <v/>
      </c>
      <c r="X128" s="9" t="str">
        <f>IF(AND($BN$24&lt;&gt;"",($BM$24+1)&lt;=$BO$24),$BN$24&amp;"-"&amp;TEXT(($BM$24+1),"00"),"")</f>
        <v/>
      </c>
      <c r="CA128" t="str" cm="1">
        <f t="array" ref="CA128">IF(NOT(AND($BN$21&lt;&gt;"",($BM$21+1)&lt;=$BO$21)),"",IF(B128&lt;&gt;"",IF(B128="-","",B128),IF(ISNUMBER(SEARCH(":",$BP$21)),IFERROR(_xlfn.LET(_xlpm.s,_xlfn.TEXTSPLIT($BP$21,","),_xlpm.k,FIND(":",_xlpm.s),INDEX(TRIM(LEFT(_xlpm.s,_xlpm.k-1)),_xlfn.XMATCH(($BM$21+1),_xlfn.SCAN(0,--MID(_xlpm.s,_xlpm.k+1,9),_xlfn.LAMBDA(_xlpm.a,_xlpm.v,_xlpm.a+_xlpm.v)),1))),""),IF(($BM$21+1)&lt;=$BQ$21,$BP$21,""))))</f>
        <v/>
      </c>
      <c r="CB128" t="str" cm="1">
        <f t="array" ref="CB128">IF(NOT(AND($BN$22&lt;&gt;"",($BM$22+1)&lt;=$BO$22)),"",IF(H128&lt;&gt;"",IF(H128="-","",H128),IF(ISNUMBER(SEARCH(":",$BP$22)),IFERROR(_xlfn.LET(_xlpm.s,_xlfn.TEXTSPLIT($BP$22,","),_xlpm.k,FIND(":",_xlpm.s),INDEX(TRIM(LEFT(_xlpm.s,_xlpm.k-1)),_xlfn.XMATCH(($BM$22+1),_xlfn.SCAN(0,--MID(_xlpm.s,_xlpm.k+1,9),_xlfn.LAMBDA(_xlpm.a,_xlpm.v,_xlpm.a+_xlpm.v)),1))),""),IF(($BM$22+1)&lt;=$BQ$22,$BP$22,""))))</f>
        <v/>
      </c>
      <c r="CC128" t="str" cm="1">
        <f t="array" ref="CC128">IF(NOT(AND($BN$23&lt;&gt;"",($BM$23+1)&lt;=$BO$23)),"",IF(N128&lt;&gt;"",IF(N128="-","",N128),IF(ISNUMBER(SEARCH(":",$BP$23)),IFERROR(_xlfn.LET(_xlpm.s,_xlfn.TEXTSPLIT($BP$23,","),_xlpm.k,FIND(":",_xlpm.s),INDEX(TRIM(LEFT(_xlpm.s,_xlpm.k-1)),_xlfn.XMATCH(($BM$23+1),_xlfn.SCAN(0,--MID(_xlpm.s,_xlpm.k+1,9),_xlfn.LAMBDA(_xlpm.a,_xlpm.v,_xlpm.a+_xlpm.v)),1))),""),IF(($BM$23+1)&lt;=$BQ$23,$BP$23,""))))</f>
        <v/>
      </c>
      <c r="CD128" t="str" cm="1">
        <f t="array" ref="CD128">IF(NOT(AND($BN$24&lt;&gt;"",($BM$24+1)&lt;=$BO$24)),"",IF(T128&lt;&gt;"",IF(T128="-","",T128),IF(ISNUMBER(SEARCH(":",$BP$24)),IFERROR(_xlfn.LET(_xlpm.s,_xlfn.TEXTSPLIT($BP$24,","),_xlpm.k,FIND(":",_xlpm.s),INDEX(TRIM(LEFT(_xlpm.s,_xlpm.k-1)),_xlfn.XMATCH(($BM$24+1),_xlfn.SCAN(0,--MID(_xlpm.s,_xlpm.k+1,9),_xlfn.LAMBDA(_xlpm.a,_xlpm.v,_xlpm.a+_xlpm.v)),1))),""),IF(($BM$24+1)&lt;=$BQ$24,$BP$24,""))))</f>
        <v/>
      </c>
    </row>
    <row r="129" spans="2:82" hidden="1" x14ac:dyDescent="0.45">
      <c r="B129" s="6"/>
      <c r="C129" s="9" t="str">
        <f>IF(CA129="","",CA129&amp;"-"&amp;TEXT(COUNTIF($CA$72:$CA$95,CA129)+COUNTIF($CB$72:$CB$95,CA129)+COUNTIF($CC$72:$CC$95,CA129)+COUNTIF($CD$72:$CD$95,CA129)+COUNTIF($CA$100:$CA$123,CA129)+COUNTIF($CB$100:$CB$123,CA129)+COUNTIF($CC$100:$CC$123,CA129)+COUNTIF($CD$100:$CD$123,CA129)+COUNTIF($CA$128:CA129,CA129),"000"))</f>
        <v/>
      </c>
      <c r="D129" s="9" t="str">
        <f>IF(AND($BN$21&lt;&gt;"",($BM$21+2)&lt;=$BO$21),$BN$21,"")</f>
        <v/>
      </c>
      <c r="E129" s="9" t="str">
        <f>IF(AND($BN$21&lt;&gt;"",($BM$21+2)&lt;=$BO$21),TEXT(($BM$21+2),"00"),"")</f>
        <v/>
      </c>
      <c r="F129" s="9" t="str">
        <f>IF(AND($BN$21&lt;&gt;"",($BM$21+2)&lt;=$BO$21),$BN$21&amp;"-"&amp;TEXT(($BM$21+2),"00"),"")</f>
        <v/>
      </c>
      <c r="H129" s="6"/>
      <c r="I129" s="9" t="str">
        <f>IF(CB129="","",CB129&amp;"-"&amp;TEXT(COUNTIF($CA$72:$CA$95,CB129)+COUNTIF($CB$72:$CB$95,CB129)+COUNTIF($CC$72:$CC$95,CB129)+COUNTIF($CD$72:$CD$95,CB129)+COUNTIF($CA$100:$CA$123,CB129)+COUNTIF($CB$100:$CB$123,CB129)+COUNTIF($CC$100:$CC$123,CB129)+COUNTIF($CD$100:$CD$123,CB129)+COUNTIF($CA$128:$CA$151,CB129)+COUNTIF($CB$128:CB129,CB129),"000"))</f>
        <v/>
      </c>
      <c r="J129" s="9" t="str">
        <f>IF(AND($BN$22&lt;&gt;"",($BM$22+2)&lt;=$BO$22),$BN$22,"")</f>
        <v/>
      </c>
      <c r="K129" s="9" t="str">
        <f>IF(AND($BN$22&lt;&gt;"",($BM$22+2)&lt;=$BO$22),TEXT(($BM$22+2),"00"),"")</f>
        <v/>
      </c>
      <c r="L129" s="9" t="str">
        <f>IF(AND($BN$22&lt;&gt;"",($BM$22+2)&lt;=$BO$22),$BN$22&amp;"-"&amp;TEXT(($BM$22+2),"00"),"")</f>
        <v/>
      </c>
      <c r="N129" s="6"/>
      <c r="O129" s="9" t="str">
        <f>IF(CC129="","",CC129&amp;"-"&amp;TEXT(COUNTIF($CA$72:$CA$95,CC129)+COUNTIF($CB$72:$CB$95,CC129)+COUNTIF($CC$72:$CC$95,CC129)+COUNTIF($CD$72:$CD$95,CC129)+COUNTIF($CA$100:$CA$123,CC129)+COUNTIF($CB$100:$CB$123,CC129)+COUNTIF($CC$100:$CC$123,CC129)+COUNTIF($CD$100:$CD$123,CC129)+COUNTIF($CA$128:$CA$151,CC129)+COUNTIF($CB$128:$CB$151,CC129)+COUNTIF($CC$128:CC129,CC129),"000"))</f>
        <v/>
      </c>
      <c r="P129" s="9" t="str">
        <f>IF(AND($BN$23&lt;&gt;"",($BM$23+2)&lt;=$BO$23),$BN$23,"")</f>
        <v/>
      </c>
      <c r="Q129" s="9" t="str">
        <f>IF(AND($BN$23&lt;&gt;"",($BM$23+2)&lt;=$BO$23),TEXT(($BM$23+2),"00"),"")</f>
        <v/>
      </c>
      <c r="R129" s="9" t="str">
        <f>IF(AND($BN$23&lt;&gt;"",($BM$23+2)&lt;=$BO$23),$BN$23&amp;"-"&amp;TEXT(($BM$23+2),"00"),"")</f>
        <v/>
      </c>
      <c r="T129" s="6"/>
      <c r="U129" s="9" t="str">
        <f>IF(CD129="","",CD129&amp;"-"&amp;TEXT(COUNTIF($CA$72:$CA$95,CD129)+COUNTIF($CB$72:$CB$95,CD129)+COUNTIF($CC$72:$CC$95,CD129)+COUNTIF($CD$72:$CD$95,CD129)+COUNTIF($CA$100:$CA$123,CD129)+COUNTIF($CB$100:$CB$123,CD129)+COUNTIF($CC$100:$CC$123,CD129)+COUNTIF($CD$100:$CD$123,CD129)+COUNTIF($CA$128:$CA$151,CD129)+COUNTIF($CB$128:$CB$151,CD129)+COUNTIF($CC$128:$CC$151,CD129)+COUNTIF($CD$128:CD129,CD129),"000"))</f>
        <v/>
      </c>
      <c r="V129" s="9" t="str">
        <f>IF(AND($BN$24&lt;&gt;"",($BM$24+2)&lt;=$BO$24),$BN$24,"")</f>
        <v/>
      </c>
      <c r="W129" s="9" t="str">
        <f>IF(AND($BN$24&lt;&gt;"",($BM$24+2)&lt;=$BO$24),TEXT(($BM$24+2),"00"),"")</f>
        <v/>
      </c>
      <c r="X129" s="9" t="str">
        <f>IF(AND($BN$24&lt;&gt;"",($BM$24+2)&lt;=$BO$24),$BN$24&amp;"-"&amp;TEXT(($BM$24+2),"00"),"")</f>
        <v/>
      </c>
      <c r="CA129" t="str" cm="1">
        <f t="array" ref="CA129">IF(NOT(AND($BN$21&lt;&gt;"",($BM$21+2)&lt;=$BO$21)),"",IF(B129&lt;&gt;"",IF(B129="-","",B129),IF(ISNUMBER(SEARCH(":",$BP$21)),IFERROR(_xlfn.LET(_xlpm.s,_xlfn.TEXTSPLIT($BP$21,","),_xlpm.k,FIND(":",_xlpm.s),INDEX(TRIM(LEFT(_xlpm.s,_xlpm.k-1)),_xlfn.XMATCH(($BM$21+2),_xlfn.SCAN(0,--MID(_xlpm.s,_xlpm.k+1,9),_xlfn.LAMBDA(_xlpm.a,_xlpm.v,_xlpm.a+_xlpm.v)),1))),""),IF(($BM$21+2)&lt;=$BQ$21,$BP$21,""))))</f>
        <v/>
      </c>
      <c r="CB129" t="str" cm="1">
        <f t="array" ref="CB129">IF(NOT(AND($BN$22&lt;&gt;"",($BM$22+2)&lt;=$BO$22)),"",IF(H129&lt;&gt;"",IF(H129="-","",H129),IF(ISNUMBER(SEARCH(":",$BP$22)),IFERROR(_xlfn.LET(_xlpm.s,_xlfn.TEXTSPLIT($BP$22,","),_xlpm.k,FIND(":",_xlpm.s),INDEX(TRIM(LEFT(_xlpm.s,_xlpm.k-1)),_xlfn.XMATCH(($BM$22+2),_xlfn.SCAN(0,--MID(_xlpm.s,_xlpm.k+1,9),_xlfn.LAMBDA(_xlpm.a,_xlpm.v,_xlpm.a+_xlpm.v)),1))),""),IF(($BM$22+2)&lt;=$BQ$22,$BP$22,""))))</f>
        <v/>
      </c>
      <c r="CC129" t="str" cm="1">
        <f t="array" ref="CC129">IF(NOT(AND($BN$23&lt;&gt;"",($BM$23+2)&lt;=$BO$23)),"",IF(N129&lt;&gt;"",IF(N129="-","",N129),IF(ISNUMBER(SEARCH(":",$BP$23)),IFERROR(_xlfn.LET(_xlpm.s,_xlfn.TEXTSPLIT($BP$23,","),_xlpm.k,FIND(":",_xlpm.s),INDEX(TRIM(LEFT(_xlpm.s,_xlpm.k-1)),_xlfn.XMATCH(($BM$23+2),_xlfn.SCAN(0,--MID(_xlpm.s,_xlpm.k+1,9),_xlfn.LAMBDA(_xlpm.a,_xlpm.v,_xlpm.a+_xlpm.v)),1))),""),IF(($BM$23+2)&lt;=$BQ$23,$BP$23,""))))</f>
        <v/>
      </c>
      <c r="CD129" t="str" cm="1">
        <f t="array" ref="CD129">IF(NOT(AND($BN$24&lt;&gt;"",($BM$24+2)&lt;=$BO$24)),"",IF(T129&lt;&gt;"",IF(T129="-","",T129),IF(ISNUMBER(SEARCH(":",$BP$24)),IFERROR(_xlfn.LET(_xlpm.s,_xlfn.TEXTSPLIT($BP$24,","),_xlpm.k,FIND(":",_xlpm.s),INDEX(TRIM(LEFT(_xlpm.s,_xlpm.k-1)),_xlfn.XMATCH(($BM$24+2),_xlfn.SCAN(0,--MID(_xlpm.s,_xlpm.k+1,9),_xlfn.LAMBDA(_xlpm.a,_xlpm.v,_xlpm.a+_xlpm.v)),1))),""),IF(($BM$24+2)&lt;=$BQ$24,$BP$24,""))))</f>
        <v/>
      </c>
    </row>
    <row r="130" spans="2:82" hidden="1" x14ac:dyDescent="0.45">
      <c r="B130" s="6"/>
      <c r="C130" s="9" t="str">
        <f>IF(CA130="","",CA130&amp;"-"&amp;TEXT(COUNTIF($CA$72:$CA$95,CA130)+COUNTIF($CB$72:$CB$95,CA130)+COUNTIF($CC$72:$CC$95,CA130)+COUNTIF($CD$72:$CD$95,CA130)+COUNTIF($CA$100:$CA$123,CA130)+COUNTIF($CB$100:$CB$123,CA130)+COUNTIF($CC$100:$CC$123,CA130)+COUNTIF($CD$100:$CD$123,CA130)+COUNTIF($CA$128:CA130,CA130),"000"))</f>
        <v/>
      </c>
      <c r="D130" s="9" t="str">
        <f>IF(AND($BN$21&lt;&gt;"",($BM$21+3)&lt;=$BO$21),$BN$21,"")</f>
        <v/>
      </c>
      <c r="E130" s="9" t="str">
        <f>IF(AND($BN$21&lt;&gt;"",($BM$21+3)&lt;=$BO$21),TEXT(($BM$21+3),"00"),"")</f>
        <v/>
      </c>
      <c r="F130" s="9" t="str">
        <f>IF(AND($BN$21&lt;&gt;"",($BM$21+3)&lt;=$BO$21),$BN$21&amp;"-"&amp;TEXT(($BM$21+3),"00"),"")</f>
        <v/>
      </c>
      <c r="H130" s="6"/>
      <c r="I130" s="9" t="str">
        <f>IF(CB130="","",CB130&amp;"-"&amp;TEXT(COUNTIF($CA$72:$CA$95,CB130)+COUNTIF($CB$72:$CB$95,CB130)+COUNTIF($CC$72:$CC$95,CB130)+COUNTIF($CD$72:$CD$95,CB130)+COUNTIF($CA$100:$CA$123,CB130)+COUNTIF($CB$100:$CB$123,CB130)+COUNTIF($CC$100:$CC$123,CB130)+COUNTIF($CD$100:$CD$123,CB130)+COUNTIF($CA$128:$CA$151,CB130)+COUNTIF($CB$128:CB130,CB130),"000"))</f>
        <v/>
      </c>
      <c r="J130" s="9" t="str">
        <f>IF(AND($BN$22&lt;&gt;"",($BM$22+3)&lt;=$BO$22),$BN$22,"")</f>
        <v/>
      </c>
      <c r="K130" s="9" t="str">
        <f>IF(AND($BN$22&lt;&gt;"",($BM$22+3)&lt;=$BO$22),TEXT(($BM$22+3),"00"),"")</f>
        <v/>
      </c>
      <c r="L130" s="9" t="str">
        <f>IF(AND($BN$22&lt;&gt;"",($BM$22+3)&lt;=$BO$22),$BN$22&amp;"-"&amp;TEXT(($BM$22+3),"00"),"")</f>
        <v/>
      </c>
      <c r="N130" s="6"/>
      <c r="O130" s="9" t="str">
        <f>IF(CC130="","",CC130&amp;"-"&amp;TEXT(COUNTIF($CA$72:$CA$95,CC130)+COUNTIF($CB$72:$CB$95,CC130)+COUNTIF($CC$72:$CC$95,CC130)+COUNTIF($CD$72:$CD$95,CC130)+COUNTIF($CA$100:$CA$123,CC130)+COUNTIF($CB$100:$CB$123,CC130)+COUNTIF($CC$100:$CC$123,CC130)+COUNTIF($CD$100:$CD$123,CC130)+COUNTIF($CA$128:$CA$151,CC130)+COUNTIF($CB$128:$CB$151,CC130)+COUNTIF($CC$128:CC130,CC130),"000"))</f>
        <v/>
      </c>
      <c r="P130" s="9" t="str">
        <f>IF(AND($BN$23&lt;&gt;"",($BM$23+3)&lt;=$BO$23),$BN$23,"")</f>
        <v/>
      </c>
      <c r="Q130" s="9" t="str">
        <f>IF(AND($BN$23&lt;&gt;"",($BM$23+3)&lt;=$BO$23),TEXT(($BM$23+3),"00"),"")</f>
        <v/>
      </c>
      <c r="R130" s="9" t="str">
        <f>IF(AND($BN$23&lt;&gt;"",($BM$23+3)&lt;=$BO$23),$BN$23&amp;"-"&amp;TEXT(($BM$23+3),"00"),"")</f>
        <v/>
      </c>
      <c r="T130" s="6"/>
      <c r="U130" s="9" t="str">
        <f>IF(CD130="","",CD130&amp;"-"&amp;TEXT(COUNTIF($CA$72:$CA$95,CD130)+COUNTIF($CB$72:$CB$95,CD130)+COUNTIF($CC$72:$CC$95,CD130)+COUNTIF($CD$72:$CD$95,CD130)+COUNTIF($CA$100:$CA$123,CD130)+COUNTIF($CB$100:$CB$123,CD130)+COUNTIF($CC$100:$CC$123,CD130)+COUNTIF($CD$100:$CD$123,CD130)+COUNTIF($CA$128:$CA$151,CD130)+COUNTIF($CB$128:$CB$151,CD130)+COUNTIF($CC$128:$CC$151,CD130)+COUNTIF($CD$128:CD130,CD130),"000"))</f>
        <v/>
      </c>
      <c r="V130" s="9" t="str">
        <f>IF(AND($BN$24&lt;&gt;"",($BM$24+3)&lt;=$BO$24),$BN$24,"")</f>
        <v/>
      </c>
      <c r="W130" s="9" t="str">
        <f>IF(AND($BN$24&lt;&gt;"",($BM$24+3)&lt;=$BO$24),TEXT(($BM$24+3),"00"),"")</f>
        <v/>
      </c>
      <c r="X130" s="9" t="str">
        <f>IF(AND($BN$24&lt;&gt;"",($BM$24+3)&lt;=$BO$24),$BN$24&amp;"-"&amp;TEXT(($BM$24+3),"00"),"")</f>
        <v/>
      </c>
      <c r="CA130" t="str" cm="1">
        <f t="array" ref="CA130">IF(NOT(AND($BN$21&lt;&gt;"",($BM$21+3)&lt;=$BO$21)),"",IF(B130&lt;&gt;"",IF(B130="-","",B130),IF(ISNUMBER(SEARCH(":",$BP$21)),IFERROR(_xlfn.LET(_xlpm.s,_xlfn.TEXTSPLIT($BP$21,","),_xlpm.k,FIND(":",_xlpm.s),INDEX(TRIM(LEFT(_xlpm.s,_xlpm.k-1)),_xlfn.XMATCH(($BM$21+3),_xlfn.SCAN(0,--MID(_xlpm.s,_xlpm.k+1,9),_xlfn.LAMBDA(_xlpm.a,_xlpm.v,_xlpm.a+_xlpm.v)),1))),""),IF(($BM$21+3)&lt;=$BQ$21,$BP$21,""))))</f>
        <v/>
      </c>
      <c r="CB130" t="str" cm="1">
        <f t="array" ref="CB130">IF(NOT(AND($BN$22&lt;&gt;"",($BM$22+3)&lt;=$BO$22)),"",IF(H130&lt;&gt;"",IF(H130="-","",H130),IF(ISNUMBER(SEARCH(":",$BP$22)),IFERROR(_xlfn.LET(_xlpm.s,_xlfn.TEXTSPLIT($BP$22,","),_xlpm.k,FIND(":",_xlpm.s),INDEX(TRIM(LEFT(_xlpm.s,_xlpm.k-1)),_xlfn.XMATCH(($BM$22+3),_xlfn.SCAN(0,--MID(_xlpm.s,_xlpm.k+1,9),_xlfn.LAMBDA(_xlpm.a,_xlpm.v,_xlpm.a+_xlpm.v)),1))),""),IF(($BM$22+3)&lt;=$BQ$22,$BP$22,""))))</f>
        <v/>
      </c>
      <c r="CC130" t="str" cm="1">
        <f t="array" ref="CC130">IF(NOT(AND($BN$23&lt;&gt;"",($BM$23+3)&lt;=$BO$23)),"",IF(N130&lt;&gt;"",IF(N130="-","",N130),IF(ISNUMBER(SEARCH(":",$BP$23)),IFERROR(_xlfn.LET(_xlpm.s,_xlfn.TEXTSPLIT($BP$23,","),_xlpm.k,FIND(":",_xlpm.s),INDEX(TRIM(LEFT(_xlpm.s,_xlpm.k-1)),_xlfn.XMATCH(($BM$23+3),_xlfn.SCAN(0,--MID(_xlpm.s,_xlpm.k+1,9),_xlfn.LAMBDA(_xlpm.a,_xlpm.v,_xlpm.a+_xlpm.v)),1))),""),IF(($BM$23+3)&lt;=$BQ$23,$BP$23,""))))</f>
        <v/>
      </c>
      <c r="CD130" t="str" cm="1">
        <f t="array" ref="CD130">IF(NOT(AND($BN$24&lt;&gt;"",($BM$24+3)&lt;=$BO$24)),"",IF(T130&lt;&gt;"",IF(T130="-","",T130),IF(ISNUMBER(SEARCH(":",$BP$24)),IFERROR(_xlfn.LET(_xlpm.s,_xlfn.TEXTSPLIT($BP$24,","),_xlpm.k,FIND(":",_xlpm.s),INDEX(TRIM(LEFT(_xlpm.s,_xlpm.k-1)),_xlfn.XMATCH(($BM$24+3),_xlfn.SCAN(0,--MID(_xlpm.s,_xlpm.k+1,9),_xlfn.LAMBDA(_xlpm.a,_xlpm.v,_xlpm.a+_xlpm.v)),1))),""),IF(($BM$24+3)&lt;=$BQ$24,$BP$24,""))))</f>
        <v/>
      </c>
    </row>
    <row r="131" spans="2:82" hidden="1" x14ac:dyDescent="0.45">
      <c r="B131" s="6"/>
      <c r="C131" s="9" t="str">
        <f>IF(CA131="","",CA131&amp;"-"&amp;TEXT(COUNTIF($CA$72:$CA$95,CA131)+COUNTIF($CB$72:$CB$95,CA131)+COUNTIF($CC$72:$CC$95,CA131)+COUNTIF($CD$72:$CD$95,CA131)+COUNTIF($CA$100:$CA$123,CA131)+COUNTIF($CB$100:$CB$123,CA131)+COUNTIF($CC$100:$CC$123,CA131)+COUNTIF($CD$100:$CD$123,CA131)+COUNTIF($CA$128:CA131,CA131),"000"))</f>
        <v/>
      </c>
      <c r="D131" s="9" t="str">
        <f>IF(AND($BN$21&lt;&gt;"",($BM$21+4)&lt;=$BO$21),$BN$21,"")</f>
        <v/>
      </c>
      <c r="E131" s="9" t="str">
        <f>IF(AND($BN$21&lt;&gt;"",($BM$21+4)&lt;=$BO$21),TEXT(($BM$21+4),"00"),"")</f>
        <v/>
      </c>
      <c r="F131" s="9" t="str">
        <f>IF(AND($BN$21&lt;&gt;"",($BM$21+4)&lt;=$BO$21),$BN$21&amp;"-"&amp;TEXT(($BM$21+4),"00"),"")</f>
        <v/>
      </c>
      <c r="H131" s="6"/>
      <c r="I131" s="9" t="str">
        <f>IF(CB131="","",CB131&amp;"-"&amp;TEXT(COUNTIF($CA$72:$CA$95,CB131)+COUNTIF($CB$72:$CB$95,CB131)+COUNTIF($CC$72:$CC$95,CB131)+COUNTIF($CD$72:$CD$95,CB131)+COUNTIF($CA$100:$CA$123,CB131)+COUNTIF($CB$100:$CB$123,CB131)+COUNTIF($CC$100:$CC$123,CB131)+COUNTIF($CD$100:$CD$123,CB131)+COUNTIF($CA$128:$CA$151,CB131)+COUNTIF($CB$128:CB131,CB131),"000"))</f>
        <v/>
      </c>
      <c r="J131" s="9" t="str">
        <f>IF(AND($BN$22&lt;&gt;"",($BM$22+4)&lt;=$BO$22),$BN$22,"")</f>
        <v/>
      </c>
      <c r="K131" s="9" t="str">
        <f>IF(AND($BN$22&lt;&gt;"",($BM$22+4)&lt;=$BO$22),TEXT(($BM$22+4),"00"),"")</f>
        <v/>
      </c>
      <c r="L131" s="9" t="str">
        <f>IF(AND($BN$22&lt;&gt;"",($BM$22+4)&lt;=$BO$22),$BN$22&amp;"-"&amp;TEXT(($BM$22+4),"00"),"")</f>
        <v/>
      </c>
      <c r="N131" s="6"/>
      <c r="O131" s="9" t="str">
        <f>IF(CC131="","",CC131&amp;"-"&amp;TEXT(COUNTIF($CA$72:$CA$95,CC131)+COUNTIF($CB$72:$CB$95,CC131)+COUNTIF($CC$72:$CC$95,CC131)+COUNTIF($CD$72:$CD$95,CC131)+COUNTIF($CA$100:$CA$123,CC131)+COUNTIF($CB$100:$CB$123,CC131)+COUNTIF($CC$100:$CC$123,CC131)+COUNTIF($CD$100:$CD$123,CC131)+COUNTIF($CA$128:$CA$151,CC131)+COUNTIF($CB$128:$CB$151,CC131)+COUNTIF($CC$128:CC131,CC131),"000"))</f>
        <v/>
      </c>
      <c r="P131" s="9" t="str">
        <f>IF(AND($BN$23&lt;&gt;"",($BM$23+4)&lt;=$BO$23),$BN$23,"")</f>
        <v/>
      </c>
      <c r="Q131" s="9" t="str">
        <f>IF(AND($BN$23&lt;&gt;"",($BM$23+4)&lt;=$BO$23),TEXT(($BM$23+4),"00"),"")</f>
        <v/>
      </c>
      <c r="R131" s="9" t="str">
        <f>IF(AND($BN$23&lt;&gt;"",($BM$23+4)&lt;=$BO$23),$BN$23&amp;"-"&amp;TEXT(($BM$23+4),"00"),"")</f>
        <v/>
      </c>
      <c r="T131" s="6"/>
      <c r="U131" s="9" t="str">
        <f>IF(CD131="","",CD131&amp;"-"&amp;TEXT(COUNTIF($CA$72:$CA$95,CD131)+COUNTIF($CB$72:$CB$95,CD131)+COUNTIF($CC$72:$CC$95,CD131)+COUNTIF($CD$72:$CD$95,CD131)+COUNTIF($CA$100:$CA$123,CD131)+COUNTIF($CB$100:$CB$123,CD131)+COUNTIF($CC$100:$CC$123,CD131)+COUNTIF($CD$100:$CD$123,CD131)+COUNTIF($CA$128:$CA$151,CD131)+COUNTIF($CB$128:$CB$151,CD131)+COUNTIF($CC$128:$CC$151,CD131)+COUNTIF($CD$128:CD131,CD131),"000"))</f>
        <v/>
      </c>
      <c r="V131" s="9" t="str">
        <f>IF(AND($BN$24&lt;&gt;"",($BM$24+4)&lt;=$BO$24),$BN$24,"")</f>
        <v/>
      </c>
      <c r="W131" s="9" t="str">
        <f>IF(AND($BN$24&lt;&gt;"",($BM$24+4)&lt;=$BO$24),TEXT(($BM$24+4),"00"),"")</f>
        <v/>
      </c>
      <c r="X131" s="9" t="str">
        <f>IF(AND($BN$24&lt;&gt;"",($BM$24+4)&lt;=$BO$24),$BN$24&amp;"-"&amp;TEXT(($BM$24+4),"00"),"")</f>
        <v/>
      </c>
      <c r="CA131" t="str" cm="1">
        <f t="array" ref="CA131">IF(NOT(AND($BN$21&lt;&gt;"",($BM$21+4)&lt;=$BO$21)),"",IF(B131&lt;&gt;"",IF(B131="-","",B131),IF(ISNUMBER(SEARCH(":",$BP$21)),IFERROR(_xlfn.LET(_xlpm.s,_xlfn.TEXTSPLIT($BP$21,","),_xlpm.k,FIND(":",_xlpm.s),INDEX(TRIM(LEFT(_xlpm.s,_xlpm.k-1)),_xlfn.XMATCH(($BM$21+4),_xlfn.SCAN(0,--MID(_xlpm.s,_xlpm.k+1,9),_xlfn.LAMBDA(_xlpm.a,_xlpm.v,_xlpm.a+_xlpm.v)),1))),""),IF(($BM$21+4)&lt;=$BQ$21,$BP$21,""))))</f>
        <v/>
      </c>
      <c r="CB131" t="str" cm="1">
        <f t="array" ref="CB131">IF(NOT(AND($BN$22&lt;&gt;"",($BM$22+4)&lt;=$BO$22)),"",IF(H131&lt;&gt;"",IF(H131="-","",H131),IF(ISNUMBER(SEARCH(":",$BP$22)),IFERROR(_xlfn.LET(_xlpm.s,_xlfn.TEXTSPLIT($BP$22,","),_xlpm.k,FIND(":",_xlpm.s),INDEX(TRIM(LEFT(_xlpm.s,_xlpm.k-1)),_xlfn.XMATCH(($BM$22+4),_xlfn.SCAN(0,--MID(_xlpm.s,_xlpm.k+1,9),_xlfn.LAMBDA(_xlpm.a,_xlpm.v,_xlpm.a+_xlpm.v)),1))),""),IF(($BM$22+4)&lt;=$BQ$22,$BP$22,""))))</f>
        <v/>
      </c>
      <c r="CC131" t="str" cm="1">
        <f t="array" ref="CC131">IF(NOT(AND($BN$23&lt;&gt;"",($BM$23+4)&lt;=$BO$23)),"",IF(N131&lt;&gt;"",IF(N131="-","",N131),IF(ISNUMBER(SEARCH(":",$BP$23)),IFERROR(_xlfn.LET(_xlpm.s,_xlfn.TEXTSPLIT($BP$23,","),_xlpm.k,FIND(":",_xlpm.s),INDEX(TRIM(LEFT(_xlpm.s,_xlpm.k-1)),_xlfn.XMATCH(($BM$23+4),_xlfn.SCAN(0,--MID(_xlpm.s,_xlpm.k+1,9),_xlfn.LAMBDA(_xlpm.a,_xlpm.v,_xlpm.a+_xlpm.v)),1))),""),IF(($BM$23+4)&lt;=$BQ$23,$BP$23,""))))</f>
        <v/>
      </c>
      <c r="CD131" t="str" cm="1">
        <f t="array" ref="CD131">IF(NOT(AND($BN$24&lt;&gt;"",($BM$24+4)&lt;=$BO$24)),"",IF(T131&lt;&gt;"",IF(T131="-","",T131),IF(ISNUMBER(SEARCH(":",$BP$24)),IFERROR(_xlfn.LET(_xlpm.s,_xlfn.TEXTSPLIT($BP$24,","),_xlpm.k,FIND(":",_xlpm.s),INDEX(TRIM(LEFT(_xlpm.s,_xlpm.k-1)),_xlfn.XMATCH(($BM$24+4),_xlfn.SCAN(0,--MID(_xlpm.s,_xlpm.k+1,9),_xlfn.LAMBDA(_xlpm.a,_xlpm.v,_xlpm.a+_xlpm.v)),1))),""),IF(($BM$24+4)&lt;=$BQ$24,$BP$24,""))))</f>
        <v/>
      </c>
    </row>
    <row r="132" spans="2:82" hidden="1" x14ac:dyDescent="0.45">
      <c r="B132" s="6"/>
      <c r="C132" s="9" t="str">
        <f>IF(CA132="","",CA132&amp;"-"&amp;TEXT(COUNTIF($CA$72:$CA$95,CA132)+COUNTIF($CB$72:$CB$95,CA132)+COUNTIF($CC$72:$CC$95,CA132)+COUNTIF($CD$72:$CD$95,CA132)+COUNTIF($CA$100:$CA$123,CA132)+COUNTIF($CB$100:$CB$123,CA132)+COUNTIF($CC$100:$CC$123,CA132)+COUNTIF($CD$100:$CD$123,CA132)+COUNTIF($CA$128:CA132,CA132),"000"))</f>
        <v/>
      </c>
      <c r="D132" s="9" t="str">
        <f>IF(AND($BN$21&lt;&gt;"",($BM$21+5)&lt;=$BO$21),$BN$21,"")</f>
        <v/>
      </c>
      <c r="E132" s="9" t="str">
        <f>IF(AND($BN$21&lt;&gt;"",($BM$21+5)&lt;=$BO$21),TEXT(($BM$21+5),"00"),"")</f>
        <v/>
      </c>
      <c r="F132" s="9" t="str">
        <f>IF(AND($BN$21&lt;&gt;"",($BM$21+5)&lt;=$BO$21),$BN$21&amp;"-"&amp;TEXT(($BM$21+5),"00"),"")</f>
        <v/>
      </c>
      <c r="H132" s="6"/>
      <c r="I132" s="9" t="str">
        <f>IF(CB132="","",CB132&amp;"-"&amp;TEXT(COUNTIF($CA$72:$CA$95,CB132)+COUNTIF($CB$72:$CB$95,CB132)+COUNTIF($CC$72:$CC$95,CB132)+COUNTIF($CD$72:$CD$95,CB132)+COUNTIF($CA$100:$CA$123,CB132)+COUNTIF($CB$100:$CB$123,CB132)+COUNTIF($CC$100:$CC$123,CB132)+COUNTIF($CD$100:$CD$123,CB132)+COUNTIF($CA$128:$CA$151,CB132)+COUNTIF($CB$128:CB132,CB132),"000"))</f>
        <v/>
      </c>
      <c r="J132" s="9" t="str">
        <f>IF(AND($BN$22&lt;&gt;"",($BM$22+5)&lt;=$BO$22),$BN$22,"")</f>
        <v/>
      </c>
      <c r="K132" s="9" t="str">
        <f>IF(AND($BN$22&lt;&gt;"",($BM$22+5)&lt;=$BO$22),TEXT(($BM$22+5),"00"),"")</f>
        <v/>
      </c>
      <c r="L132" s="9" t="str">
        <f>IF(AND($BN$22&lt;&gt;"",($BM$22+5)&lt;=$BO$22),$BN$22&amp;"-"&amp;TEXT(($BM$22+5),"00"),"")</f>
        <v/>
      </c>
      <c r="N132" s="6"/>
      <c r="O132" s="9" t="str">
        <f>IF(CC132="","",CC132&amp;"-"&amp;TEXT(COUNTIF($CA$72:$CA$95,CC132)+COUNTIF($CB$72:$CB$95,CC132)+COUNTIF($CC$72:$CC$95,CC132)+COUNTIF($CD$72:$CD$95,CC132)+COUNTIF($CA$100:$CA$123,CC132)+COUNTIF($CB$100:$CB$123,CC132)+COUNTIF($CC$100:$CC$123,CC132)+COUNTIF($CD$100:$CD$123,CC132)+COUNTIF($CA$128:$CA$151,CC132)+COUNTIF($CB$128:$CB$151,CC132)+COUNTIF($CC$128:CC132,CC132),"000"))</f>
        <v/>
      </c>
      <c r="P132" s="9" t="str">
        <f>IF(AND($BN$23&lt;&gt;"",($BM$23+5)&lt;=$BO$23),$BN$23,"")</f>
        <v/>
      </c>
      <c r="Q132" s="9" t="str">
        <f>IF(AND($BN$23&lt;&gt;"",($BM$23+5)&lt;=$BO$23),TEXT(($BM$23+5),"00"),"")</f>
        <v/>
      </c>
      <c r="R132" s="9" t="str">
        <f>IF(AND($BN$23&lt;&gt;"",($BM$23+5)&lt;=$BO$23),$BN$23&amp;"-"&amp;TEXT(($BM$23+5),"00"),"")</f>
        <v/>
      </c>
      <c r="T132" s="6"/>
      <c r="U132" s="9" t="str">
        <f>IF(CD132="","",CD132&amp;"-"&amp;TEXT(COUNTIF($CA$72:$CA$95,CD132)+COUNTIF($CB$72:$CB$95,CD132)+COUNTIF($CC$72:$CC$95,CD132)+COUNTIF($CD$72:$CD$95,CD132)+COUNTIF($CA$100:$CA$123,CD132)+COUNTIF($CB$100:$CB$123,CD132)+COUNTIF($CC$100:$CC$123,CD132)+COUNTIF($CD$100:$CD$123,CD132)+COUNTIF($CA$128:$CA$151,CD132)+COUNTIF($CB$128:$CB$151,CD132)+COUNTIF($CC$128:$CC$151,CD132)+COUNTIF($CD$128:CD132,CD132),"000"))</f>
        <v/>
      </c>
      <c r="V132" s="9" t="str">
        <f>IF(AND($BN$24&lt;&gt;"",($BM$24+5)&lt;=$BO$24),$BN$24,"")</f>
        <v/>
      </c>
      <c r="W132" s="9" t="str">
        <f>IF(AND($BN$24&lt;&gt;"",($BM$24+5)&lt;=$BO$24),TEXT(($BM$24+5),"00"),"")</f>
        <v/>
      </c>
      <c r="X132" s="9" t="str">
        <f>IF(AND($BN$24&lt;&gt;"",($BM$24+5)&lt;=$BO$24),$BN$24&amp;"-"&amp;TEXT(($BM$24+5),"00"),"")</f>
        <v/>
      </c>
      <c r="CA132" t="str" cm="1">
        <f t="array" ref="CA132">IF(NOT(AND($BN$21&lt;&gt;"",($BM$21+5)&lt;=$BO$21)),"",IF(B132&lt;&gt;"",IF(B132="-","",B132),IF(ISNUMBER(SEARCH(":",$BP$21)),IFERROR(_xlfn.LET(_xlpm.s,_xlfn.TEXTSPLIT($BP$21,","),_xlpm.k,FIND(":",_xlpm.s),INDEX(TRIM(LEFT(_xlpm.s,_xlpm.k-1)),_xlfn.XMATCH(($BM$21+5),_xlfn.SCAN(0,--MID(_xlpm.s,_xlpm.k+1,9),_xlfn.LAMBDA(_xlpm.a,_xlpm.v,_xlpm.a+_xlpm.v)),1))),""),IF(($BM$21+5)&lt;=$BQ$21,$BP$21,""))))</f>
        <v/>
      </c>
      <c r="CB132" t="str" cm="1">
        <f t="array" ref="CB132">IF(NOT(AND($BN$22&lt;&gt;"",($BM$22+5)&lt;=$BO$22)),"",IF(H132&lt;&gt;"",IF(H132="-","",H132),IF(ISNUMBER(SEARCH(":",$BP$22)),IFERROR(_xlfn.LET(_xlpm.s,_xlfn.TEXTSPLIT($BP$22,","),_xlpm.k,FIND(":",_xlpm.s),INDEX(TRIM(LEFT(_xlpm.s,_xlpm.k-1)),_xlfn.XMATCH(($BM$22+5),_xlfn.SCAN(0,--MID(_xlpm.s,_xlpm.k+1,9),_xlfn.LAMBDA(_xlpm.a,_xlpm.v,_xlpm.a+_xlpm.v)),1))),""),IF(($BM$22+5)&lt;=$BQ$22,$BP$22,""))))</f>
        <v/>
      </c>
      <c r="CC132" t="str" cm="1">
        <f t="array" ref="CC132">IF(NOT(AND($BN$23&lt;&gt;"",($BM$23+5)&lt;=$BO$23)),"",IF(N132&lt;&gt;"",IF(N132="-","",N132),IF(ISNUMBER(SEARCH(":",$BP$23)),IFERROR(_xlfn.LET(_xlpm.s,_xlfn.TEXTSPLIT($BP$23,","),_xlpm.k,FIND(":",_xlpm.s),INDEX(TRIM(LEFT(_xlpm.s,_xlpm.k-1)),_xlfn.XMATCH(($BM$23+5),_xlfn.SCAN(0,--MID(_xlpm.s,_xlpm.k+1,9),_xlfn.LAMBDA(_xlpm.a,_xlpm.v,_xlpm.a+_xlpm.v)),1))),""),IF(($BM$23+5)&lt;=$BQ$23,$BP$23,""))))</f>
        <v/>
      </c>
      <c r="CD132" t="str" cm="1">
        <f t="array" ref="CD132">IF(NOT(AND($BN$24&lt;&gt;"",($BM$24+5)&lt;=$BO$24)),"",IF(T132&lt;&gt;"",IF(T132="-","",T132),IF(ISNUMBER(SEARCH(":",$BP$24)),IFERROR(_xlfn.LET(_xlpm.s,_xlfn.TEXTSPLIT($BP$24,","),_xlpm.k,FIND(":",_xlpm.s),INDEX(TRIM(LEFT(_xlpm.s,_xlpm.k-1)),_xlfn.XMATCH(($BM$24+5),_xlfn.SCAN(0,--MID(_xlpm.s,_xlpm.k+1,9),_xlfn.LAMBDA(_xlpm.a,_xlpm.v,_xlpm.a+_xlpm.v)),1))),""),IF(($BM$24+5)&lt;=$BQ$24,$BP$24,""))))</f>
        <v/>
      </c>
    </row>
    <row r="133" spans="2:82" hidden="1" x14ac:dyDescent="0.45">
      <c r="B133" s="6"/>
      <c r="C133" s="9" t="str">
        <f>IF(CA133="","",CA133&amp;"-"&amp;TEXT(COUNTIF($CA$72:$CA$95,CA133)+COUNTIF($CB$72:$CB$95,CA133)+COUNTIF($CC$72:$CC$95,CA133)+COUNTIF($CD$72:$CD$95,CA133)+COUNTIF($CA$100:$CA$123,CA133)+COUNTIF($CB$100:$CB$123,CA133)+COUNTIF($CC$100:$CC$123,CA133)+COUNTIF($CD$100:$CD$123,CA133)+COUNTIF($CA$128:CA133,CA133),"000"))</f>
        <v/>
      </c>
      <c r="D133" s="9" t="str">
        <f>IF(AND($BN$21&lt;&gt;"",($BM$21+6)&lt;=$BO$21),$BN$21,"")</f>
        <v/>
      </c>
      <c r="E133" s="9" t="str">
        <f>IF(AND($BN$21&lt;&gt;"",($BM$21+6)&lt;=$BO$21),TEXT(($BM$21+6),"00"),"")</f>
        <v/>
      </c>
      <c r="F133" s="9" t="str">
        <f>IF(AND($BN$21&lt;&gt;"",($BM$21+6)&lt;=$BO$21),$BN$21&amp;"-"&amp;TEXT(($BM$21+6),"00"),"")</f>
        <v/>
      </c>
      <c r="H133" s="6"/>
      <c r="I133" s="9" t="str">
        <f>IF(CB133="","",CB133&amp;"-"&amp;TEXT(COUNTIF($CA$72:$CA$95,CB133)+COUNTIF($CB$72:$CB$95,CB133)+COUNTIF($CC$72:$CC$95,CB133)+COUNTIF($CD$72:$CD$95,CB133)+COUNTIF($CA$100:$CA$123,CB133)+COUNTIF($CB$100:$CB$123,CB133)+COUNTIF($CC$100:$CC$123,CB133)+COUNTIF($CD$100:$CD$123,CB133)+COUNTIF($CA$128:$CA$151,CB133)+COUNTIF($CB$128:CB133,CB133),"000"))</f>
        <v/>
      </c>
      <c r="J133" s="9" t="str">
        <f>IF(AND($BN$22&lt;&gt;"",($BM$22+6)&lt;=$BO$22),$BN$22,"")</f>
        <v/>
      </c>
      <c r="K133" s="9" t="str">
        <f>IF(AND($BN$22&lt;&gt;"",($BM$22+6)&lt;=$BO$22),TEXT(($BM$22+6),"00"),"")</f>
        <v/>
      </c>
      <c r="L133" s="9" t="str">
        <f>IF(AND($BN$22&lt;&gt;"",($BM$22+6)&lt;=$BO$22),$BN$22&amp;"-"&amp;TEXT(($BM$22+6),"00"),"")</f>
        <v/>
      </c>
      <c r="N133" s="6"/>
      <c r="O133" s="9" t="str">
        <f>IF(CC133="","",CC133&amp;"-"&amp;TEXT(COUNTIF($CA$72:$CA$95,CC133)+COUNTIF($CB$72:$CB$95,CC133)+COUNTIF($CC$72:$CC$95,CC133)+COUNTIF($CD$72:$CD$95,CC133)+COUNTIF($CA$100:$CA$123,CC133)+COUNTIF($CB$100:$CB$123,CC133)+COUNTIF($CC$100:$CC$123,CC133)+COUNTIF($CD$100:$CD$123,CC133)+COUNTIF($CA$128:$CA$151,CC133)+COUNTIF($CB$128:$CB$151,CC133)+COUNTIF($CC$128:CC133,CC133),"000"))</f>
        <v/>
      </c>
      <c r="P133" s="9" t="str">
        <f>IF(AND($BN$23&lt;&gt;"",($BM$23+6)&lt;=$BO$23),$BN$23,"")</f>
        <v/>
      </c>
      <c r="Q133" s="9" t="str">
        <f>IF(AND($BN$23&lt;&gt;"",($BM$23+6)&lt;=$BO$23),TEXT(($BM$23+6),"00"),"")</f>
        <v/>
      </c>
      <c r="R133" s="9" t="str">
        <f>IF(AND($BN$23&lt;&gt;"",($BM$23+6)&lt;=$BO$23),$BN$23&amp;"-"&amp;TEXT(($BM$23+6),"00"),"")</f>
        <v/>
      </c>
      <c r="T133" s="6"/>
      <c r="U133" s="9" t="str">
        <f>IF(CD133="","",CD133&amp;"-"&amp;TEXT(COUNTIF($CA$72:$CA$95,CD133)+COUNTIF($CB$72:$CB$95,CD133)+COUNTIF($CC$72:$CC$95,CD133)+COUNTIF($CD$72:$CD$95,CD133)+COUNTIF($CA$100:$CA$123,CD133)+COUNTIF($CB$100:$CB$123,CD133)+COUNTIF($CC$100:$CC$123,CD133)+COUNTIF($CD$100:$CD$123,CD133)+COUNTIF($CA$128:$CA$151,CD133)+COUNTIF($CB$128:$CB$151,CD133)+COUNTIF($CC$128:$CC$151,CD133)+COUNTIF($CD$128:CD133,CD133),"000"))</f>
        <v/>
      </c>
      <c r="V133" s="9" t="str">
        <f>IF(AND($BN$24&lt;&gt;"",($BM$24+6)&lt;=$BO$24),$BN$24,"")</f>
        <v/>
      </c>
      <c r="W133" s="9" t="str">
        <f>IF(AND($BN$24&lt;&gt;"",($BM$24+6)&lt;=$BO$24),TEXT(($BM$24+6),"00"),"")</f>
        <v/>
      </c>
      <c r="X133" s="9" t="str">
        <f>IF(AND($BN$24&lt;&gt;"",($BM$24+6)&lt;=$BO$24),$BN$24&amp;"-"&amp;TEXT(($BM$24+6),"00"),"")</f>
        <v/>
      </c>
      <c r="CA133" t="str" cm="1">
        <f t="array" ref="CA133">IF(NOT(AND($BN$21&lt;&gt;"",($BM$21+6)&lt;=$BO$21)),"",IF(B133&lt;&gt;"",IF(B133="-","",B133),IF(ISNUMBER(SEARCH(":",$BP$21)),IFERROR(_xlfn.LET(_xlpm.s,_xlfn.TEXTSPLIT($BP$21,","),_xlpm.k,FIND(":",_xlpm.s),INDEX(TRIM(LEFT(_xlpm.s,_xlpm.k-1)),_xlfn.XMATCH(($BM$21+6),_xlfn.SCAN(0,--MID(_xlpm.s,_xlpm.k+1,9),_xlfn.LAMBDA(_xlpm.a,_xlpm.v,_xlpm.a+_xlpm.v)),1))),""),IF(($BM$21+6)&lt;=$BQ$21,$BP$21,""))))</f>
        <v/>
      </c>
      <c r="CB133" t="str" cm="1">
        <f t="array" ref="CB133">IF(NOT(AND($BN$22&lt;&gt;"",($BM$22+6)&lt;=$BO$22)),"",IF(H133&lt;&gt;"",IF(H133="-","",H133),IF(ISNUMBER(SEARCH(":",$BP$22)),IFERROR(_xlfn.LET(_xlpm.s,_xlfn.TEXTSPLIT($BP$22,","),_xlpm.k,FIND(":",_xlpm.s),INDEX(TRIM(LEFT(_xlpm.s,_xlpm.k-1)),_xlfn.XMATCH(($BM$22+6),_xlfn.SCAN(0,--MID(_xlpm.s,_xlpm.k+1,9),_xlfn.LAMBDA(_xlpm.a,_xlpm.v,_xlpm.a+_xlpm.v)),1))),""),IF(($BM$22+6)&lt;=$BQ$22,$BP$22,""))))</f>
        <v/>
      </c>
      <c r="CC133" t="str" cm="1">
        <f t="array" ref="CC133">IF(NOT(AND($BN$23&lt;&gt;"",($BM$23+6)&lt;=$BO$23)),"",IF(N133&lt;&gt;"",IF(N133="-","",N133),IF(ISNUMBER(SEARCH(":",$BP$23)),IFERROR(_xlfn.LET(_xlpm.s,_xlfn.TEXTSPLIT($BP$23,","),_xlpm.k,FIND(":",_xlpm.s),INDEX(TRIM(LEFT(_xlpm.s,_xlpm.k-1)),_xlfn.XMATCH(($BM$23+6),_xlfn.SCAN(0,--MID(_xlpm.s,_xlpm.k+1,9),_xlfn.LAMBDA(_xlpm.a,_xlpm.v,_xlpm.a+_xlpm.v)),1))),""),IF(($BM$23+6)&lt;=$BQ$23,$BP$23,""))))</f>
        <v/>
      </c>
      <c r="CD133" t="str" cm="1">
        <f t="array" ref="CD133">IF(NOT(AND($BN$24&lt;&gt;"",($BM$24+6)&lt;=$BO$24)),"",IF(T133&lt;&gt;"",IF(T133="-","",T133),IF(ISNUMBER(SEARCH(":",$BP$24)),IFERROR(_xlfn.LET(_xlpm.s,_xlfn.TEXTSPLIT($BP$24,","),_xlpm.k,FIND(":",_xlpm.s),INDEX(TRIM(LEFT(_xlpm.s,_xlpm.k-1)),_xlfn.XMATCH(($BM$24+6),_xlfn.SCAN(0,--MID(_xlpm.s,_xlpm.k+1,9),_xlfn.LAMBDA(_xlpm.a,_xlpm.v,_xlpm.a+_xlpm.v)),1))),""),IF(($BM$24+6)&lt;=$BQ$24,$BP$24,""))))</f>
        <v/>
      </c>
    </row>
    <row r="134" spans="2:82" hidden="1" x14ac:dyDescent="0.45">
      <c r="B134" s="6"/>
      <c r="C134" s="9" t="str">
        <f>IF(CA134="","",CA134&amp;"-"&amp;TEXT(COUNTIF($CA$72:$CA$95,CA134)+COUNTIF($CB$72:$CB$95,CA134)+COUNTIF($CC$72:$CC$95,CA134)+COUNTIF($CD$72:$CD$95,CA134)+COUNTIF($CA$100:$CA$123,CA134)+COUNTIF($CB$100:$CB$123,CA134)+COUNTIF($CC$100:$CC$123,CA134)+COUNTIF($CD$100:$CD$123,CA134)+COUNTIF($CA$128:CA134,CA134),"000"))</f>
        <v/>
      </c>
      <c r="D134" s="9" t="str">
        <f>IF(AND($BN$21&lt;&gt;"",($BM$21+7)&lt;=$BO$21),$BN$21,"")</f>
        <v/>
      </c>
      <c r="E134" s="9" t="str">
        <f>IF(AND($BN$21&lt;&gt;"",($BM$21+7)&lt;=$BO$21),TEXT(($BM$21+7),"00"),"")</f>
        <v/>
      </c>
      <c r="F134" s="9" t="str">
        <f>IF(AND($BN$21&lt;&gt;"",($BM$21+7)&lt;=$BO$21),$BN$21&amp;"-"&amp;TEXT(($BM$21+7),"00"),"")</f>
        <v/>
      </c>
      <c r="H134" s="6"/>
      <c r="I134" s="9" t="str">
        <f>IF(CB134="","",CB134&amp;"-"&amp;TEXT(COUNTIF($CA$72:$CA$95,CB134)+COUNTIF($CB$72:$CB$95,CB134)+COUNTIF($CC$72:$CC$95,CB134)+COUNTIF($CD$72:$CD$95,CB134)+COUNTIF($CA$100:$CA$123,CB134)+COUNTIF($CB$100:$CB$123,CB134)+COUNTIF($CC$100:$CC$123,CB134)+COUNTIF($CD$100:$CD$123,CB134)+COUNTIF($CA$128:$CA$151,CB134)+COUNTIF($CB$128:CB134,CB134),"000"))</f>
        <v/>
      </c>
      <c r="J134" s="9" t="str">
        <f>IF(AND($BN$22&lt;&gt;"",($BM$22+7)&lt;=$BO$22),$BN$22,"")</f>
        <v/>
      </c>
      <c r="K134" s="9" t="str">
        <f>IF(AND($BN$22&lt;&gt;"",($BM$22+7)&lt;=$BO$22),TEXT(($BM$22+7),"00"),"")</f>
        <v/>
      </c>
      <c r="L134" s="9" t="str">
        <f>IF(AND($BN$22&lt;&gt;"",($BM$22+7)&lt;=$BO$22),$BN$22&amp;"-"&amp;TEXT(($BM$22+7),"00"),"")</f>
        <v/>
      </c>
      <c r="N134" s="6"/>
      <c r="O134" s="9" t="str">
        <f>IF(CC134="","",CC134&amp;"-"&amp;TEXT(COUNTIF($CA$72:$CA$95,CC134)+COUNTIF($CB$72:$CB$95,CC134)+COUNTIF($CC$72:$CC$95,CC134)+COUNTIF($CD$72:$CD$95,CC134)+COUNTIF($CA$100:$CA$123,CC134)+COUNTIF($CB$100:$CB$123,CC134)+COUNTIF($CC$100:$CC$123,CC134)+COUNTIF($CD$100:$CD$123,CC134)+COUNTIF($CA$128:$CA$151,CC134)+COUNTIF($CB$128:$CB$151,CC134)+COUNTIF($CC$128:CC134,CC134),"000"))</f>
        <v/>
      </c>
      <c r="P134" s="9" t="str">
        <f>IF(AND($BN$23&lt;&gt;"",($BM$23+7)&lt;=$BO$23),$BN$23,"")</f>
        <v/>
      </c>
      <c r="Q134" s="9" t="str">
        <f>IF(AND($BN$23&lt;&gt;"",($BM$23+7)&lt;=$BO$23),TEXT(($BM$23+7),"00"),"")</f>
        <v/>
      </c>
      <c r="R134" s="9" t="str">
        <f>IF(AND($BN$23&lt;&gt;"",($BM$23+7)&lt;=$BO$23),$BN$23&amp;"-"&amp;TEXT(($BM$23+7),"00"),"")</f>
        <v/>
      </c>
      <c r="T134" s="6"/>
      <c r="U134" s="9" t="str">
        <f>IF(CD134="","",CD134&amp;"-"&amp;TEXT(COUNTIF($CA$72:$CA$95,CD134)+COUNTIF($CB$72:$CB$95,CD134)+COUNTIF($CC$72:$CC$95,CD134)+COUNTIF($CD$72:$CD$95,CD134)+COUNTIF($CA$100:$CA$123,CD134)+COUNTIF($CB$100:$CB$123,CD134)+COUNTIF($CC$100:$CC$123,CD134)+COUNTIF($CD$100:$CD$123,CD134)+COUNTIF($CA$128:$CA$151,CD134)+COUNTIF($CB$128:$CB$151,CD134)+COUNTIF($CC$128:$CC$151,CD134)+COUNTIF($CD$128:CD134,CD134),"000"))</f>
        <v/>
      </c>
      <c r="V134" s="9" t="str">
        <f>IF(AND($BN$24&lt;&gt;"",($BM$24+7)&lt;=$BO$24),$BN$24,"")</f>
        <v/>
      </c>
      <c r="W134" s="9" t="str">
        <f>IF(AND($BN$24&lt;&gt;"",($BM$24+7)&lt;=$BO$24),TEXT(($BM$24+7),"00"),"")</f>
        <v/>
      </c>
      <c r="X134" s="9" t="str">
        <f>IF(AND($BN$24&lt;&gt;"",($BM$24+7)&lt;=$BO$24),$BN$24&amp;"-"&amp;TEXT(($BM$24+7),"00"),"")</f>
        <v/>
      </c>
      <c r="CA134" t="str" cm="1">
        <f t="array" ref="CA134">IF(NOT(AND($BN$21&lt;&gt;"",($BM$21+7)&lt;=$BO$21)),"",IF(B134&lt;&gt;"",IF(B134="-","",B134),IF(ISNUMBER(SEARCH(":",$BP$21)),IFERROR(_xlfn.LET(_xlpm.s,_xlfn.TEXTSPLIT($BP$21,","),_xlpm.k,FIND(":",_xlpm.s),INDEX(TRIM(LEFT(_xlpm.s,_xlpm.k-1)),_xlfn.XMATCH(($BM$21+7),_xlfn.SCAN(0,--MID(_xlpm.s,_xlpm.k+1,9),_xlfn.LAMBDA(_xlpm.a,_xlpm.v,_xlpm.a+_xlpm.v)),1))),""),IF(($BM$21+7)&lt;=$BQ$21,$BP$21,""))))</f>
        <v/>
      </c>
      <c r="CB134" t="str" cm="1">
        <f t="array" ref="CB134">IF(NOT(AND($BN$22&lt;&gt;"",($BM$22+7)&lt;=$BO$22)),"",IF(H134&lt;&gt;"",IF(H134="-","",H134),IF(ISNUMBER(SEARCH(":",$BP$22)),IFERROR(_xlfn.LET(_xlpm.s,_xlfn.TEXTSPLIT($BP$22,","),_xlpm.k,FIND(":",_xlpm.s),INDEX(TRIM(LEFT(_xlpm.s,_xlpm.k-1)),_xlfn.XMATCH(($BM$22+7),_xlfn.SCAN(0,--MID(_xlpm.s,_xlpm.k+1,9),_xlfn.LAMBDA(_xlpm.a,_xlpm.v,_xlpm.a+_xlpm.v)),1))),""),IF(($BM$22+7)&lt;=$BQ$22,$BP$22,""))))</f>
        <v/>
      </c>
      <c r="CC134" t="str" cm="1">
        <f t="array" ref="CC134">IF(NOT(AND($BN$23&lt;&gt;"",($BM$23+7)&lt;=$BO$23)),"",IF(N134&lt;&gt;"",IF(N134="-","",N134),IF(ISNUMBER(SEARCH(":",$BP$23)),IFERROR(_xlfn.LET(_xlpm.s,_xlfn.TEXTSPLIT($BP$23,","),_xlpm.k,FIND(":",_xlpm.s),INDEX(TRIM(LEFT(_xlpm.s,_xlpm.k-1)),_xlfn.XMATCH(($BM$23+7),_xlfn.SCAN(0,--MID(_xlpm.s,_xlpm.k+1,9),_xlfn.LAMBDA(_xlpm.a,_xlpm.v,_xlpm.a+_xlpm.v)),1))),""),IF(($BM$23+7)&lt;=$BQ$23,$BP$23,""))))</f>
        <v/>
      </c>
      <c r="CD134" t="str" cm="1">
        <f t="array" ref="CD134">IF(NOT(AND($BN$24&lt;&gt;"",($BM$24+7)&lt;=$BO$24)),"",IF(T134&lt;&gt;"",IF(T134="-","",T134),IF(ISNUMBER(SEARCH(":",$BP$24)),IFERROR(_xlfn.LET(_xlpm.s,_xlfn.TEXTSPLIT($BP$24,","),_xlpm.k,FIND(":",_xlpm.s),INDEX(TRIM(LEFT(_xlpm.s,_xlpm.k-1)),_xlfn.XMATCH(($BM$24+7),_xlfn.SCAN(0,--MID(_xlpm.s,_xlpm.k+1,9),_xlfn.LAMBDA(_xlpm.a,_xlpm.v,_xlpm.a+_xlpm.v)),1))),""),IF(($BM$24+7)&lt;=$BQ$24,$BP$24,""))))</f>
        <v/>
      </c>
    </row>
    <row r="135" spans="2:82" hidden="1" x14ac:dyDescent="0.45">
      <c r="B135" s="6"/>
      <c r="C135" s="9" t="str">
        <f>IF(CA135="","",CA135&amp;"-"&amp;TEXT(COUNTIF($CA$72:$CA$95,CA135)+COUNTIF($CB$72:$CB$95,CA135)+COUNTIF($CC$72:$CC$95,CA135)+COUNTIF($CD$72:$CD$95,CA135)+COUNTIF($CA$100:$CA$123,CA135)+COUNTIF($CB$100:$CB$123,CA135)+COUNTIF($CC$100:$CC$123,CA135)+COUNTIF($CD$100:$CD$123,CA135)+COUNTIF($CA$128:CA135,CA135),"000"))</f>
        <v/>
      </c>
      <c r="D135" s="9" t="str">
        <f>IF(AND($BN$21&lt;&gt;"",($BM$21+8)&lt;=$BO$21),$BN$21,"")</f>
        <v/>
      </c>
      <c r="E135" s="9" t="str">
        <f>IF(AND($BN$21&lt;&gt;"",($BM$21+8)&lt;=$BO$21),TEXT(($BM$21+8),"00"),"")</f>
        <v/>
      </c>
      <c r="F135" s="9" t="str">
        <f>IF(AND($BN$21&lt;&gt;"",($BM$21+8)&lt;=$BO$21),$BN$21&amp;"-"&amp;TEXT(($BM$21+8),"00"),"")</f>
        <v/>
      </c>
      <c r="H135" s="6"/>
      <c r="I135" s="9" t="str">
        <f>IF(CB135="","",CB135&amp;"-"&amp;TEXT(COUNTIF($CA$72:$CA$95,CB135)+COUNTIF($CB$72:$CB$95,CB135)+COUNTIF($CC$72:$CC$95,CB135)+COUNTIF($CD$72:$CD$95,CB135)+COUNTIF($CA$100:$CA$123,CB135)+COUNTIF($CB$100:$CB$123,CB135)+COUNTIF($CC$100:$CC$123,CB135)+COUNTIF($CD$100:$CD$123,CB135)+COUNTIF($CA$128:$CA$151,CB135)+COUNTIF($CB$128:CB135,CB135),"000"))</f>
        <v/>
      </c>
      <c r="J135" s="9" t="str">
        <f>IF(AND($BN$22&lt;&gt;"",($BM$22+8)&lt;=$BO$22),$BN$22,"")</f>
        <v/>
      </c>
      <c r="K135" s="9" t="str">
        <f>IF(AND($BN$22&lt;&gt;"",($BM$22+8)&lt;=$BO$22),TEXT(($BM$22+8),"00"),"")</f>
        <v/>
      </c>
      <c r="L135" s="9" t="str">
        <f>IF(AND($BN$22&lt;&gt;"",($BM$22+8)&lt;=$BO$22),$BN$22&amp;"-"&amp;TEXT(($BM$22+8),"00"),"")</f>
        <v/>
      </c>
      <c r="N135" s="6"/>
      <c r="O135" s="9" t="str">
        <f>IF(CC135="","",CC135&amp;"-"&amp;TEXT(COUNTIF($CA$72:$CA$95,CC135)+COUNTIF($CB$72:$CB$95,CC135)+COUNTIF($CC$72:$CC$95,CC135)+COUNTIF($CD$72:$CD$95,CC135)+COUNTIF($CA$100:$CA$123,CC135)+COUNTIF($CB$100:$CB$123,CC135)+COUNTIF($CC$100:$CC$123,CC135)+COUNTIF($CD$100:$CD$123,CC135)+COUNTIF($CA$128:$CA$151,CC135)+COUNTIF($CB$128:$CB$151,CC135)+COUNTIF($CC$128:CC135,CC135),"000"))</f>
        <v/>
      </c>
      <c r="P135" s="9" t="str">
        <f>IF(AND($BN$23&lt;&gt;"",($BM$23+8)&lt;=$BO$23),$BN$23,"")</f>
        <v/>
      </c>
      <c r="Q135" s="9" t="str">
        <f>IF(AND($BN$23&lt;&gt;"",($BM$23+8)&lt;=$BO$23),TEXT(($BM$23+8),"00"),"")</f>
        <v/>
      </c>
      <c r="R135" s="9" t="str">
        <f>IF(AND($BN$23&lt;&gt;"",($BM$23+8)&lt;=$BO$23),$BN$23&amp;"-"&amp;TEXT(($BM$23+8),"00"),"")</f>
        <v/>
      </c>
      <c r="T135" s="6"/>
      <c r="U135" s="9" t="str">
        <f>IF(CD135="","",CD135&amp;"-"&amp;TEXT(COUNTIF($CA$72:$CA$95,CD135)+COUNTIF($CB$72:$CB$95,CD135)+COUNTIF($CC$72:$CC$95,CD135)+COUNTIF($CD$72:$CD$95,CD135)+COUNTIF($CA$100:$CA$123,CD135)+COUNTIF($CB$100:$CB$123,CD135)+COUNTIF($CC$100:$CC$123,CD135)+COUNTIF($CD$100:$CD$123,CD135)+COUNTIF($CA$128:$CA$151,CD135)+COUNTIF($CB$128:$CB$151,CD135)+COUNTIF($CC$128:$CC$151,CD135)+COUNTIF($CD$128:CD135,CD135),"000"))</f>
        <v/>
      </c>
      <c r="V135" s="9" t="str">
        <f>IF(AND($BN$24&lt;&gt;"",($BM$24+8)&lt;=$BO$24),$BN$24,"")</f>
        <v/>
      </c>
      <c r="W135" s="9" t="str">
        <f>IF(AND($BN$24&lt;&gt;"",($BM$24+8)&lt;=$BO$24),TEXT(($BM$24+8),"00"),"")</f>
        <v/>
      </c>
      <c r="X135" s="9" t="str">
        <f>IF(AND($BN$24&lt;&gt;"",($BM$24+8)&lt;=$BO$24),$BN$24&amp;"-"&amp;TEXT(($BM$24+8),"00"),"")</f>
        <v/>
      </c>
      <c r="CA135" t="str" cm="1">
        <f t="array" ref="CA135">IF(NOT(AND($BN$21&lt;&gt;"",($BM$21+8)&lt;=$BO$21)),"",IF(B135&lt;&gt;"",IF(B135="-","",B135),IF(ISNUMBER(SEARCH(":",$BP$21)),IFERROR(_xlfn.LET(_xlpm.s,_xlfn.TEXTSPLIT($BP$21,","),_xlpm.k,FIND(":",_xlpm.s),INDEX(TRIM(LEFT(_xlpm.s,_xlpm.k-1)),_xlfn.XMATCH(($BM$21+8),_xlfn.SCAN(0,--MID(_xlpm.s,_xlpm.k+1,9),_xlfn.LAMBDA(_xlpm.a,_xlpm.v,_xlpm.a+_xlpm.v)),1))),""),IF(($BM$21+8)&lt;=$BQ$21,$BP$21,""))))</f>
        <v/>
      </c>
      <c r="CB135" t="str" cm="1">
        <f t="array" ref="CB135">IF(NOT(AND($BN$22&lt;&gt;"",($BM$22+8)&lt;=$BO$22)),"",IF(H135&lt;&gt;"",IF(H135="-","",H135),IF(ISNUMBER(SEARCH(":",$BP$22)),IFERROR(_xlfn.LET(_xlpm.s,_xlfn.TEXTSPLIT($BP$22,","),_xlpm.k,FIND(":",_xlpm.s),INDEX(TRIM(LEFT(_xlpm.s,_xlpm.k-1)),_xlfn.XMATCH(($BM$22+8),_xlfn.SCAN(0,--MID(_xlpm.s,_xlpm.k+1,9),_xlfn.LAMBDA(_xlpm.a,_xlpm.v,_xlpm.a+_xlpm.v)),1))),""),IF(($BM$22+8)&lt;=$BQ$22,$BP$22,""))))</f>
        <v/>
      </c>
      <c r="CC135" t="str" cm="1">
        <f t="array" ref="CC135">IF(NOT(AND($BN$23&lt;&gt;"",($BM$23+8)&lt;=$BO$23)),"",IF(N135&lt;&gt;"",IF(N135="-","",N135),IF(ISNUMBER(SEARCH(":",$BP$23)),IFERROR(_xlfn.LET(_xlpm.s,_xlfn.TEXTSPLIT($BP$23,","),_xlpm.k,FIND(":",_xlpm.s),INDEX(TRIM(LEFT(_xlpm.s,_xlpm.k-1)),_xlfn.XMATCH(($BM$23+8),_xlfn.SCAN(0,--MID(_xlpm.s,_xlpm.k+1,9),_xlfn.LAMBDA(_xlpm.a,_xlpm.v,_xlpm.a+_xlpm.v)),1))),""),IF(($BM$23+8)&lt;=$BQ$23,$BP$23,""))))</f>
        <v/>
      </c>
      <c r="CD135" t="str" cm="1">
        <f t="array" ref="CD135">IF(NOT(AND($BN$24&lt;&gt;"",($BM$24+8)&lt;=$BO$24)),"",IF(T135&lt;&gt;"",IF(T135="-","",T135),IF(ISNUMBER(SEARCH(":",$BP$24)),IFERROR(_xlfn.LET(_xlpm.s,_xlfn.TEXTSPLIT($BP$24,","),_xlpm.k,FIND(":",_xlpm.s),INDEX(TRIM(LEFT(_xlpm.s,_xlpm.k-1)),_xlfn.XMATCH(($BM$24+8),_xlfn.SCAN(0,--MID(_xlpm.s,_xlpm.k+1,9),_xlfn.LAMBDA(_xlpm.a,_xlpm.v,_xlpm.a+_xlpm.v)),1))),""),IF(($BM$24+8)&lt;=$BQ$24,$BP$24,""))))</f>
        <v/>
      </c>
    </row>
    <row r="136" spans="2:82" hidden="1" x14ac:dyDescent="0.45">
      <c r="B136" s="6"/>
      <c r="C136" s="9" t="str">
        <f>IF(CA136="","",CA136&amp;"-"&amp;TEXT(COUNTIF($CA$72:$CA$95,CA136)+COUNTIF($CB$72:$CB$95,CA136)+COUNTIF($CC$72:$CC$95,CA136)+COUNTIF($CD$72:$CD$95,CA136)+COUNTIF($CA$100:$CA$123,CA136)+COUNTIF($CB$100:$CB$123,CA136)+COUNTIF($CC$100:$CC$123,CA136)+COUNTIF($CD$100:$CD$123,CA136)+COUNTIF($CA$128:CA136,CA136),"000"))</f>
        <v/>
      </c>
      <c r="D136" s="9" t="str">
        <f>IF(AND($BN$21&lt;&gt;"",($BM$21+9)&lt;=$BO$21),$BN$21,"")</f>
        <v/>
      </c>
      <c r="E136" s="9" t="str">
        <f>IF(AND($BN$21&lt;&gt;"",($BM$21+9)&lt;=$BO$21),TEXT(($BM$21+9),"00"),"")</f>
        <v/>
      </c>
      <c r="F136" s="9" t="str">
        <f>IF(AND($BN$21&lt;&gt;"",($BM$21+9)&lt;=$BO$21),$BN$21&amp;"-"&amp;TEXT(($BM$21+9),"00"),"")</f>
        <v/>
      </c>
      <c r="H136" s="6"/>
      <c r="I136" s="9" t="str">
        <f>IF(CB136="","",CB136&amp;"-"&amp;TEXT(COUNTIF($CA$72:$CA$95,CB136)+COUNTIF($CB$72:$CB$95,CB136)+COUNTIF($CC$72:$CC$95,CB136)+COUNTIF($CD$72:$CD$95,CB136)+COUNTIF($CA$100:$CA$123,CB136)+COUNTIF($CB$100:$CB$123,CB136)+COUNTIF($CC$100:$CC$123,CB136)+COUNTIF($CD$100:$CD$123,CB136)+COUNTIF($CA$128:$CA$151,CB136)+COUNTIF($CB$128:CB136,CB136),"000"))</f>
        <v/>
      </c>
      <c r="J136" s="9" t="str">
        <f>IF(AND($BN$22&lt;&gt;"",($BM$22+9)&lt;=$BO$22),$BN$22,"")</f>
        <v/>
      </c>
      <c r="K136" s="9" t="str">
        <f>IF(AND($BN$22&lt;&gt;"",($BM$22+9)&lt;=$BO$22),TEXT(($BM$22+9),"00"),"")</f>
        <v/>
      </c>
      <c r="L136" s="9" t="str">
        <f>IF(AND($BN$22&lt;&gt;"",($BM$22+9)&lt;=$BO$22),$BN$22&amp;"-"&amp;TEXT(($BM$22+9),"00"),"")</f>
        <v/>
      </c>
      <c r="N136" s="6"/>
      <c r="O136" s="9" t="str">
        <f>IF(CC136="","",CC136&amp;"-"&amp;TEXT(COUNTIF($CA$72:$CA$95,CC136)+COUNTIF($CB$72:$CB$95,CC136)+COUNTIF($CC$72:$CC$95,CC136)+COUNTIF($CD$72:$CD$95,CC136)+COUNTIF($CA$100:$CA$123,CC136)+COUNTIF($CB$100:$CB$123,CC136)+COUNTIF($CC$100:$CC$123,CC136)+COUNTIF($CD$100:$CD$123,CC136)+COUNTIF($CA$128:$CA$151,CC136)+COUNTIF($CB$128:$CB$151,CC136)+COUNTIF($CC$128:CC136,CC136),"000"))</f>
        <v/>
      </c>
      <c r="P136" s="9" t="str">
        <f>IF(AND($BN$23&lt;&gt;"",($BM$23+9)&lt;=$BO$23),$BN$23,"")</f>
        <v/>
      </c>
      <c r="Q136" s="9" t="str">
        <f>IF(AND($BN$23&lt;&gt;"",($BM$23+9)&lt;=$BO$23),TEXT(($BM$23+9),"00"),"")</f>
        <v/>
      </c>
      <c r="R136" s="9" t="str">
        <f>IF(AND($BN$23&lt;&gt;"",($BM$23+9)&lt;=$BO$23),$BN$23&amp;"-"&amp;TEXT(($BM$23+9),"00"),"")</f>
        <v/>
      </c>
      <c r="T136" s="6"/>
      <c r="U136" s="9" t="str">
        <f>IF(CD136="","",CD136&amp;"-"&amp;TEXT(COUNTIF($CA$72:$CA$95,CD136)+COUNTIF($CB$72:$CB$95,CD136)+COUNTIF($CC$72:$CC$95,CD136)+COUNTIF($CD$72:$CD$95,CD136)+COUNTIF($CA$100:$CA$123,CD136)+COUNTIF($CB$100:$CB$123,CD136)+COUNTIF($CC$100:$CC$123,CD136)+COUNTIF($CD$100:$CD$123,CD136)+COUNTIF($CA$128:$CA$151,CD136)+COUNTIF($CB$128:$CB$151,CD136)+COUNTIF($CC$128:$CC$151,CD136)+COUNTIF($CD$128:CD136,CD136),"000"))</f>
        <v/>
      </c>
      <c r="V136" s="9" t="str">
        <f>IF(AND($BN$24&lt;&gt;"",($BM$24+9)&lt;=$BO$24),$BN$24,"")</f>
        <v/>
      </c>
      <c r="W136" s="9" t="str">
        <f>IF(AND($BN$24&lt;&gt;"",($BM$24+9)&lt;=$BO$24),TEXT(($BM$24+9),"00"),"")</f>
        <v/>
      </c>
      <c r="X136" s="9" t="str">
        <f>IF(AND($BN$24&lt;&gt;"",($BM$24+9)&lt;=$BO$24),$BN$24&amp;"-"&amp;TEXT(($BM$24+9),"00"),"")</f>
        <v/>
      </c>
      <c r="CA136" t="str" cm="1">
        <f t="array" ref="CA136">IF(NOT(AND($BN$21&lt;&gt;"",($BM$21+9)&lt;=$BO$21)),"",IF(B136&lt;&gt;"",IF(B136="-","",B136),IF(ISNUMBER(SEARCH(":",$BP$21)),IFERROR(_xlfn.LET(_xlpm.s,_xlfn.TEXTSPLIT($BP$21,","),_xlpm.k,FIND(":",_xlpm.s),INDEX(TRIM(LEFT(_xlpm.s,_xlpm.k-1)),_xlfn.XMATCH(($BM$21+9),_xlfn.SCAN(0,--MID(_xlpm.s,_xlpm.k+1,9),_xlfn.LAMBDA(_xlpm.a,_xlpm.v,_xlpm.a+_xlpm.v)),1))),""),IF(($BM$21+9)&lt;=$BQ$21,$BP$21,""))))</f>
        <v/>
      </c>
      <c r="CB136" t="str" cm="1">
        <f t="array" ref="CB136">IF(NOT(AND($BN$22&lt;&gt;"",($BM$22+9)&lt;=$BO$22)),"",IF(H136&lt;&gt;"",IF(H136="-","",H136),IF(ISNUMBER(SEARCH(":",$BP$22)),IFERROR(_xlfn.LET(_xlpm.s,_xlfn.TEXTSPLIT($BP$22,","),_xlpm.k,FIND(":",_xlpm.s),INDEX(TRIM(LEFT(_xlpm.s,_xlpm.k-1)),_xlfn.XMATCH(($BM$22+9),_xlfn.SCAN(0,--MID(_xlpm.s,_xlpm.k+1,9),_xlfn.LAMBDA(_xlpm.a,_xlpm.v,_xlpm.a+_xlpm.v)),1))),""),IF(($BM$22+9)&lt;=$BQ$22,$BP$22,""))))</f>
        <v/>
      </c>
      <c r="CC136" t="str" cm="1">
        <f t="array" ref="CC136">IF(NOT(AND($BN$23&lt;&gt;"",($BM$23+9)&lt;=$BO$23)),"",IF(N136&lt;&gt;"",IF(N136="-","",N136),IF(ISNUMBER(SEARCH(":",$BP$23)),IFERROR(_xlfn.LET(_xlpm.s,_xlfn.TEXTSPLIT($BP$23,","),_xlpm.k,FIND(":",_xlpm.s),INDEX(TRIM(LEFT(_xlpm.s,_xlpm.k-1)),_xlfn.XMATCH(($BM$23+9),_xlfn.SCAN(0,--MID(_xlpm.s,_xlpm.k+1,9),_xlfn.LAMBDA(_xlpm.a,_xlpm.v,_xlpm.a+_xlpm.v)),1))),""),IF(($BM$23+9)&lt;=$BQ$23,$BP$23,""))))</f>
        <v/>
      </c>
      <c r="CD136" t="str" cm="1">
        <f t="array" ref="CD136">IF(NOT(AND($BN$24&lt;&gt;"",($BM$24+9)&lt;=$BO$24)),"",IF(T136&lt;&gt;"",IF(T136="-","",T136),IF(ISNUMBER(SEARCH(":",$BP$24)),IFERROR(_xlfn.LET(_xlpm.s,_xlfn.TEXTSPLIT($BP$24,","),_xlpm.k,FIND(":",_xlpm.s),INDEX(TRIM(LEFT(_xlpm.s,_xlpm.k-1)),_xlfn.XMATCH(($BM$24+9),_xlfn.SCAN(0,--MID(_xlpm.s,_xlpm.k+1,9),_xlfn.LAMBDA(_xlpm.a,_xlpm.v,_xlpm.a+_xlpm.v)),1))),""),IF(($BM$24+9)&lt;=$BQ$24,$BP$24,""))))</f>
        <v/>
      </c>
    </row>
    <row r="137" spans="2:82" hidden="1" x14ac:dyDescent="0.45">
      <c r="B137" s="6"/>
      <c r="C137" s="9" t="str">
        <f>IF(CA137="","",CA137&amp;"-"&amp;TEXT(COUNTIF($CA$72:$CA$95,CA137)+COUNTIF($CB$72:$CB$95,CA137)+COUNTIF($CC$72:$CC$95,CA137)+COUNTIF($CD$72:$CD$95,CA137)+COUNTIF($CA$100:$CA$123,CA137)+COUNTIF($CB$100:$CB$123,CA137)+COUNTIF($CC$100:$CC$123,CA137)+COUNTIF($CD$100:$CD$123,CA137)+COUNTIF($CA$128:CA137,CA137),"000"))</f>
        <v/>
      </c>
      <c r="D137" s="9" t="str">
        <f>IF(AND($BN$21&lt;&gt;"",($BM$21+10)&lt;=$BO$21),$BN$21,"")</f>
        <v/>
      </c>
      <c r="E137" s="9" t="str">
        <f>IF(AND($BN$21&lt;&gt;"",($BM$21+10)&lt;=$BO$21),TEXT(($BM$21+10),"00"),"")</f>
        <v/>
      </c>
      <c r="F137" s="9" t="str">
        <f>IF(AND($BN$21&lt;&gt;"",($BM$21+10)&lt;=$BO$21),$BN$21&amp;"-"&amp;TEXT(($BM$21+10),"00"),"")</f>
        <v/>
      </c>
      <c r="H137" s="6"/>
      <c r="I137" s="9" t="str">
        <f>IF(CB137="","",CB137&amp;"-"&amp;TEXT(COUNTIF($CA$72:$CA$95,CB137)+COUNTIF($CB$72:$CB$95,CB137)+COUNTIF($CC$72:$CC$95,CB137)+COUNTIF($CD$72:$CD$95,CB137)+COUNTIF($CA$100:$CA$123,CB137)+COUNTIF($CB$100:$CB$123,CB137)+COUNTIF($CC$100:$CC$123,CB137)+COUNTIF($CD$100:$CD$123,CB137)+COUNTIF($CA$128:$CA$151,CB137)+COUNTIF($CB$128:CB137,CB137),"000"))</f>
        <v/>
      </c>
      <c r="J137" s="9" t="str">
        <f>IF(AND($BN$22&lt;&gt;"",($BM$22+10)&lt;=$BO$22),$BN$22,"")</f>
        <v/>
      </c>
      <c r="K137" s="9" t="str">
        <f>IF(AND($BN$22&lt;&gt;"",($BM$22+10)&lt;=$BO$22),TEXT(($BM$22+10),"00"),"")</f>
        <v/>
      </c>
      <c r="L137" s="9" t="str">
        <f>IF(AND($BN$22&lt;&gt;"",($BM$22+10)&lt;=$BO$22),$BN$22&amp;"-"&amp;TEXT(($BM$22+10),"00"),"")</f>
        <v/>
      </c>
      <c r="N137" s="6"/>
      <c r="O137" s="9" t="str">
        <f>IF(CC137="","",CC137&amp;"-"&amp;TEXT(COUNTIF($CA$72:$CA$95,CC137)+COUNTIF($CB$72:$CB$95,CC137)+COUNTIF($CC$72:$CC$95,CC137)+COUNTIF($CD$72:$CD$95,CC137)+COUNTIF($CA$100:$CA$123,CC137)+COUNTIF($CB$100:$CB$123,CC137)+COUNTIF($CC$100:$CC$123,CC137)+COUNTIF($CD$100:$CD$123,CC137)+COUNTIF($CA$128:$CA$151,CC137)+COUNTIF($CB$128:$CB$151,CC137)+COUNTIF($CC$128:CC137,CC137),"000"))</f>
        <v/>
      </c>
      <c r="P137" s="9" t="str">
        <f>IF(AND($BN$23&lt;&gt;"",($BM$23+10)&lt;=$BO$23),$BN$23,"")</f>
        <v/>
      </c>
      <c r="Q137" s="9" t="str">
        <f>IF(AND($BN$23&lt;&gt;"",($BM$23+10)&lt;=$BO$23),TEXT(($BM$23+10),"00"),"")</f>
        <v/>
      </c>
      <c r="R137" s="9" t="str">
        <f>IF(AND($BN$23&lt;&gt;"",($BM$23+10)&lt;=$BO$23),$BN$23&amp;"-"&amp;TEXT(($BM$23+10),"00"),"")</f>
        <v/>
      </c>
      <c r="T137" s="6"/>
      <c r="U137" s="9" t="str">
        <f>IF(CD137="","",CD137&amp;"-"&amp;TEXT(COUNTIF($CA$72:$CA$95,CD137)+COUNTIF($CB$72:$CB$95,CD137)+COUNTIF($CC$72:$CC$95,CD137)+COUNTIF($CD$72:$CD$95,CD137)+COUNTIF($CA$100:$CA$123,CD137)+COUNTIF($CB$100:$CB$123,CD137)+COUNTIF($CC$100:$CC$123,CD137)+COUNTIF($CD$100:$CD$123,CD137)+COUNTIF($CA$128:$CA$151,CD137)+COUNTIF($CB$128:$CB$151,CD137)+COUNTIF($CC$128:$CC$151,CD137)+COUNTIF($CD$128:CD137,CD137),"000"))</f>
        <v/>
      </c>
      <c r="V137" s="9" t="str">
        <f>IF(AND($BN$24&lt;&gt;"",($BM$24+10)&lt;=$BO$24),$BN$24,"")</f>
        <v/>
      </c>
      <c r="W137" s="9" t="str">
        <f>IF(AND($BN$24&lt;&gt;"",($BM$24+10)&lt;=$BO$24),TEXT(($BM$24+10),"00"),"")</f>
        <v/>
      </c>
      <c r="X137" s="9" t="str">
        <f>IF(AND($BN$24&lt;&gt;"",($BM$24+10)&lt;=$BO$24),$BN$24&amp;"-"&amp;TEXT(($BM$24+10),"00"),"")</f>
        <v/>
      </c>
      <c r="CA137" t="str" cm="1">
        <f t="array" ref="CA137">IF(NOT(AND($BN$21&lt;&gt;"",($BM$21+10)&lt;=$BO$21)),"",IF(B137&lt;&gt;"",IF(B137="-","",B137),IF(ISNUMBER(SEARCH(":",$BP$21)),IFERROR(_xlfn.LET(_xlpm.s,_xlfn.TEXTSPLIT($BP$21,","),_xlpm.k,FIND(":",_xlpm.s),INDEX(TRIM(LEFT(_xlpm.s,_xlpm.k-1)),_xlfn.XMATCH(($BM$21+10),_xlfn.SCAN(0,--MID(_xlpm.s,_xlpm.k+1,9),_xlfn.LAMBDA(_xlpm.a,_xlpm.v,_xlpm.a+_xlpm.v)),1))),""),IF(($BM$21+10)&lt;=$BQ$21,$BP$21,""))))</f>
        <v/>
      </c>
      <c r="CB137" t="str" cm="1">
        <f t="array" ref="CB137">IF(NOT(AND($BN$22&lt;&gt;"",($BM$22+10)&lt;=$BO$22)),"",IF(H137&lt;&gt;"",IF(H137="-","",H137),IF(ISNUMBER(SEARCH(":",$BP$22)),IFERROR(_xlfn.LET(_xlpm.s,_xlfn.TEXTSPLIT($BP$22,","),_xlpm.k,FIND(":",_xlpm.s),INDEX(TRIM(LEFT(_xlpm.s,_xlpm.k-1)),_xlfn.XMATCH(($BM$22+10),_xlfn.SCAN(0,--MID(_xlpm.s,_xlpm.k+1,9),_xlfn.LAMBDA(_xlpm.a,_xlpm.v,_xlpm.a+_xlpm.v)),1))),""),IF(($BM$22+10)&lt;=$BQ$22,$BP$22,""))))</f>
        <v/>
      </c>
      <c r="CC137" t="str" cm="1">
        <f t="array" ref="CC137">IF(NOT(AND($BN$23&lt;&gt;"",($BM$23+10)&lt;=$BO$23)),"",IF(N137&lt;&gt;"",IF(N137="-","",N137),IF(ISNUMBER(SEARCH(":",$BP$23)),IFERROR(_xlfn.LET(_xlpm.s,_xlfn.TEXTSPLIT($BP$23,","),_xlpm.k,FIND(":",_xlpm.s),INDEX(TRIM(LEFT(_xlpm.s,_xlpm.k-1)),_xlfn.XMATCH(($BM$23+10),_xlfn.SCAN(0,--MID(_xlpm.s,_xlpm.k+1,9),_xlfn.LAMBDA(_xlpm.a,_xlpm.v,_xlpm.a+_xlpm.v)),1))),""),IF(($BM$23+10)&lt;=$BQ$23,$BP$23,""))))</f>
        <v/>
      </c>
      <c r="CD137" t="str" cm="1">
        <f t="array" ref="CD137">IF(NOT(AND($BN$24&lt;&gt;"",($BM$24+10)&lt;=$BO$24)),"",IF(T137&lt;&gt;"",IF(T137="-","",T137),IF(ISNUMBER(SEARCH(":",$BP$24)),IFERROR(_xlfn.LET(_xlpm.s,_xlfn.TEXTSPLIT($BP$24,","),_xlpm.k,FIND(":",_xlpm.s),INDEX(TRIM(LEFT(_xlpm.s,_xlpm.k-1)),_xlfn.XMATCH(($BM$24+10),_xlfn.SCAN(0,--MID(_xlpm.s,_xlpm.k+1,9),_xlfn.LAMBDA(_xlpm.a,_xlpm.v,_xlpm.a+_xlpm.v)),1))),""),IF(($BM$24+10)&lt;=$BQ$24,$BP$24,""))))</f>
        <v/>
      </c>
    </row>
    <row r="138" spans="2:82" hidden="1" x14ac:dyDescent="0.45">
      <c r="B138" s="6"/>
      <c r="C138" s="9" t="str">
        <f>IF(CA138="","",CA138&amp;"-"&amp;TEXT(COUNTIF($CA$72:$CA$95,CA138)+COUNTIF($CB$72:$CB$95,CA138)+COUNTIF($CC$72:$CC$95,CA138)+COUNTIF($CD$72:$CD$95,CA138)+COUNTIF($CA$100:$CA$123,CA138)+COUNTIF($CB$100:$CB$123,CA138)+COUNTIF($CC$100:$CC$123,CA138)+COUNTIF($CD$100:$CD$123,CA138)+COUNTIF($CA$128:CA138,CA138),"000"))</f>
        <v/>
      </c>
      <c r="D138" s="9" t="str">
        <f>IF(AND($BN$21&lt;&gt;"",($BM$21+11)&lt;=$BO$21),$BN$21,"")</f>
        <v/>
      </c>
      <c r="E138" s="9" t="str">
        <f>IF(AND($BN$21&lt;&gt;"",($BM$21+11)&lt;=$BO$21),TEXT(($BM$21+11),"00"),"")</f>
        <v/>
      </c>
      <c r="F138" s="9" t="str">
        <f>IF(AND($BN$21&lt;&gt;"",($BM$21+11)&lt;=$BO$21),$BN$21&amp;"-"&amp;TEXT(($BM$21+11),"00"),"")</f>
        <v/>
      </c>
      <c r="H138" s="6"/>
      <c r="I138" s="9" t="str">
        <f>IF(CB138="","",CB138&amp;"-"&amp;TEXT(COUNTIF($CA$72:$CA$95,CB138)+COUNTIF($CB$72:$CB$95,CB138)+COUNTIF($CC$72:$CC$95,CB138)+COUNTIF($CD$72:$CD$95,CB138)+COUNTIF($CA$100:$CA$123,CB138)+COUNTIF($CB$100:$CB$123,CB138)+COUNTIF($CC$100:$CC$123,CB138)+COUNTIF($CD$100:$CD$123,CB138)+COUNTIF($CA$128:$CA$151,CB138)+COUNTIF($CB$128:CB138,CB138),"000"))</f>
        <v/>
      </c>
      <c r="J138" s="9" t="str">
        <f>IF(AND($BN$22&lt;&gt;"",($BM$22+11)&lt;=$BO$22),$BN$22,"")</f>
        <v/>
      </c>
      <c r="K138" s="9" t="str">
        <f>IF(AND($BN$22&lt;&gt;"",($BM$22+11)&lt;=$BO$22),TEXT(($BM$22+11),"00"),"")</f>
        <v/>
      </c>
      <c r="L138" s="9" t="str">
        <f>IF(AND($BN$22&lt;&gt;"",($BM$22+11)&lt;=$BO$22),$BN$22&amp;"-"&amp;TEXT(($BM$22+11),"00"),"")</f>
        <v/>
      </c>
      <c r="N138" s="6"/>
      <c r="O138" s="9" t="str">
        <f>IF(CC138="","",CC138&amp;"-"&amp;TEXT(COUNTIF($CA$72:$CA$95,CC138)+COUNTIF($CB$72:$CB$95,CC138)+COUNTIF($CC$72:$CC$95,CC138)+COUNTIF($CD$72:$CD$95,CC138)+COUNTIF($CA$100:$CA$123,CC138)+COUNTIF($CB$100:$CB$123,CC138)+COUNTIF($CC$100:$CC$123,CC138)+COUNTIF($CD$100:$CD$123,CC138)+COUNTIF($CA$128:$CA$151,CC138)+COUNTIF($CB$128:$CB$151,CC138)+COUNTIF($CC$128:CC138,CC138),"000"))</f>
        <v/>
      </c>
      <c r="P138" s="9" t="str">
        <f>IF(AND($BN$23&lt;&gt;"",($BM$23+11)&lt;=$BO$23),$BN$23,"")</f>
        <v/>
      </c>
      <c r="Q138" s="9" t="str">
        <f>IF(AND($BN$23&lt;&gt;"",($BM$23+11)&lt;=$BO$23),TEXT(($BM$23+11),"00"),"")</f>
        <v/>
      </c>
      <c r="R138" s="9" t="str">
        <f>IF(AND($BN$23&lt;&gt;"",($BM$23+11)&lt;=$BO$23),$BN$23&amp;"-"&amp;TEXT(($BM$23+11),"00"),"")</f>
        <v/>
      </c>
      <c r="T138" s="6"/>
      <c r="U138" s="9" t="str">
        <f>IF(CD138="","",CD138&amp;"-"&amp;TEXT(COUNTIF($CA$72:$CA$95,CD138)+COUNTIF($CB$72:$CB$95,CD138)+COUNTIF($CC$72:$CC$95,CD138)+COUNTIF($CD$72:$CD$95,CD138)+COUNTIF($CA$100:$CA$123,CD138)+COUNTIF($CB$100:$CB$123,CD138)+COUNTIF($CC$100:$CC$123,CD138)+COUNTIF($CD$100:$CD$123,CD138)+COUNTIF($CA$128:$CA$151,CD138)+COUNTIF($CB$128:$CB$151,CD138)+COUNTIF($CC$128:$CC$151,CD138)+COUNTIF($CD$128:CD138,CD138),"000"))</f>
        <v/>
      </c>
      <c r="V138" s="9" t="str">
        <f>IF(AND($BN$24&lt;&gt;"",($BM$24+11)&lt;=$BO$24),$BN$24,"")</f>
        <v/>
      </c>
      <c r="W138" s="9" t="str">
        <f>IF(AND($BN$24&lt;&gt;"",($BM$24+11)&lt;=$BO$24),TEXT(($BM$24+11),"00"),"")</f>
        <v/>
      </c>
      <c r="X138" s="9" t="str">
        <f>IF(AND($BN$24&lt;&gt;"",($BM$24+11)&lt;=$BO$24),$BN$24&amp;"-"&amp;TEXT(($BM$24+11),"00"),"")</f>
        <v/>
      </c>
      <c r="CA138" t="str" cm="1">
        <f t="array" ref="CA138">IF(NOT(AND($BN$21&lt;&gt;"",($BM$21+11)&lt;=$BO$21)),"",IF(B138&lt;&gt;"",IF(B138="-","",B138),IF(ISNUMBER(SEARCH(":",$BP$21)),IFERROR(_xlfn.LET(_xlpm.s,_xlfn.TEXTSPLIT($BP$21,","),_xlpm.k,FIND(":",_xlpm.s),INDEX(TRIM(LEFT(_xlpm.s,_xlpm.k-1)),_xlfn.XMATCH(($BM$21+11),_xlfn.SCAN(0,--MID(_xlpm.s,_xlpm.k+1,9),_xlfn.LAMBDA(_xlpm.a,_xlpm.v,_xlpm.a+_xlpm.v)),1))),""),IF(($BM$21+11)&lt;=$BQ$21,$BP$21,""))))</f>
        <v/>
      </c>
      <c r="CB138" t="str" cm="1">
        <f t="array" ref="CB138">IF(NOT(AND($BN$22&lt;&gt;"",($BM$22+11)&lt;=$BO$22)),"",IF(H138&lt;&gt;"",IF(H138="-","",H138),IF(ISNUMBER(SEARCH(":",$BP$22)),IFERROR(_xlfn.LET(_xlpm.s,_xlfn.TEXTSPLIT($BP$22,","),_xlpm.k,FIND(":",_xlpm.s),INDEX(TRIM(LEFT(_xlpm.s,_xlpm.k-1)),_xlfn.XMATCH(($BM$22+11),_xlfn.SCAN(0,--MID(_xlpm.s,_xlpm.k+1,9),_xlfn.LAMBDA(_xlpm.a,_xlpm.v,_xlpm.a+_xlpm.v)),1))),""),IF(($BM$22+11)&lt;=$BQ$22,$BP$22,""))))</f>
        <v/>
      </c>
      <c r="CC138" t="str" cm="1">
        <f t="array" ref="CC138">IF(NOT(AND($BN$23&lt;&gt;"",($BM$23+11)&lt;=$BO$23)),"",IF(N138&lt;&gt;"",IF(N138="-","",N138),IF(ISNUMBER(SEARCH(":",$BP$23)),IFERROR(_xlfn.LET(_xlpm.s,_xlfn.TEXTSPLIT($BP$23,","),_xlpm.k,FIND(":",_xlpm.s),INDEX(TRIM(LEFT(_xlpm.s,_xlpm.k-1)),_xlfn.XMATCH(($BM$23+11),_xlfn.SCAN(0,--MID(_xlpm.s,_xlpm.k+1,9),_xlfn.LAMBDA(_xlpm.a,_xlpm.v,_xlpm.a+_xlpm.v)),1))),""),IF(($BM$23+11)&lt;=$BQ$23,$BP$23,""))))</f>
        <v/>
      </c>
      <c r="CD138" t="str" cm="1">
        <f t="array" ref="CD138">IF(NOT(AND($BN$24&lt;&gt;"",($BM$24+11)&lt;=$BO$24)),"",IF(T138&lt;&gt;"",IF(T138="-","",T138),IF(ISNUMBER(SEARCH(":",$BP$24)),IFERROR(_xlfn.LET(_xlpm.s,_xlfn.TEXTSPLIT($BP$24,","),_xlpm.k,FIND(":",_xlpm.s),INDEX(TRIM(LEFT(_xlpm.s,_xlpm.k-1)),_xlfn.XMATCH(($BM$24+11),_xlfn.SCAN(0,--MID(_xlpm.s,_xlpm.k+1,9),_xlfn.LAMBDA(_xlpm.a,_xlpm.v,_xlpm.a+_xlpm.v)),1))),""),IF(($BM$24+11)&lt;=$BQ$24,$BP$24,""))))</f>
        <v/>
      </c>
    </row>
    <row r="139" spans="2:82" hidden="1" x14ac:dyDescent="0.45">
      <c r="B139" s="6"/>
      <c r="C139" s="9" t="str">
        <f>IF(CA139="","",CA139&amp;"-"&amp;TEXT(COUNTIF($CA$72:$CA$95,CA139)+COUNTIF($CB$72:$CB$95,CA139)+COUNTIF($CC$72:$CC$95,CA139)+COUNTIF($CD$72:$CD$95,CA139)+COUNTIF($CA$100:$CA$123,CA139)+COUNTIF($CB$100:$CB$123,CA139)+COUNTIF($CC$100:$CC$123,CA139)+COUNTIF($CD$100:$CD$123,CA139)+COUNTIF($CA$128:CA139,CA139),"000"))</f>
        <v/>
      </c>
      <c r="D139" s="9" t="str">
        <f>IF(AND($BN$21&lt;&gt;"",($BM$21+12)&lt;=$BO$21),$BN$21,"")</f>
        <v/>
      </c>
      <c r="E139" s="9" t="str">
        <f>IF(AND($BN$21&lt;&gt;"",($BM$21+12)&lt;=$BO$21),TEXT(($BM$21+12),"00"),"")</f>
        <v/>
      </c>
      <c r="F139" s="9" t="str">
        <f>IF(AND($BN$21&lt;&gt;"",($BM$21+12)&lt;=$BO$21),$BN$21&amp;"-"&amp;TEXT(($BM$21+12),"00"),"")</f>
        <v/>
      </c>
      <c r="H139" s="6"/>
      <c r="I139" s="9" t="str">
        <f>IF(CB139="","",CB139&amp;"-"&amp;TEXT(COUNTIF($CA$72:$CA$95,CB139)+COUNTIF($CB$72:$CB$95,CB139)+COUNTIF($CC$72:$CC$95,CB139)+COUNTIF($CD$72:$CD$95,CB139)+COUNTIF($CA$100:$CA$123,CB139)+COUNTIF($CB$100:$CB$123,CB139)+COUNTIF($CC$100:$CC$123,CB139)+COUNTIF($CD$100:$CD$123,CB139)+COUNTIF($CA$128:$CA$151,CB139)+COUNTIF($CB$128:CB139,CB139),"000"))</f>
        <v/>
      </c>
      <c r="J139" s="9" t="str">
        <f>IF(AND($BN$22&lt;&gt;"",($BM$22+12)&lt;=$BO$22),$BN$22,"")</f>
        <v/>
      </c>
      <c r="K139" s="9" t="str">
        <f>IF(AND($BN$22&lt;&gt;"",($BM$22+12)&lt;=$BO$22),TEXT(($BM$22+12),"00"),"")</f>
        <v/>
      </c>
      <c r="L139" s="9" t="str">
        <f>IF(AND($BN$22&lt;&gt;"",($BM$22+12)&lt;=$BO$22),$BN$22&amp;"-"&amp;TEXT(($BM$22+12),"00"),"")</f>
        <v/>
      </c>
      <c r="N139" s="6"/>
      <c r="O139" s="9" t="str">
        <f>IF(CC139="","",CC139&amp;"-"&amp;TEXT(COUNTIF($CA$72:$CA$95,CC139)+COUNTIF($CB$72:$CB$95,CC139)+COUNTIF($CC$72:$CC$95,CC139)+COUNTIF($CD$72:$CD$95,CC139)+COUNTIF($CA$100:$CA$123,CC139)+COUNTIF($CB$100:$CB$123,CC139)+COUNTIF($CC$100:$CC$123,CC139)+COUNTIF($CD$100:$CD$123,CC139)+COUNTIF($CA$128:$CA$151,CC139)+COUNTIF($CB$128:$CB$151,CC139)+COUNTIF($CC$128:CC139,CC139),"000"))</f>
        <v/>
      </c>
      <c r="P139" s="9" t="str">
        <f>IF(AND($BN$23&lt;&gt;"",($BM$23+12)&lt;=$BO$23),$BN$23,"")</f>
        <v/>
      </c>
      <c r="Q139" s="9" t="str">
        <f>IF(AND($BN$23&lt;&gt;"",($BM$23+12)&lt;=$BO$23),TEXT(($BM$23+12),"00"),"")</f>
        <v/>
      </c>
      <c r="R139" s="9" t="str">
        <f>IF(AND($BN$23&lt;&gt;"",($BM$23+12)&lt;=$BO$23),$BN$23&amp;"-"&amp;TEXT(($BM$23+12),"00"),"")</f>
        <v/>
      </c>
      <c r="T139" s="6"/>
      <c r="U139" s="9" t="str">
        <f>IF(CD139="","",CD139&amp;"-"&amp;TEXT(COUNTIF($CA$72:$CA$95,CD139)+COUNTIF($CB$72:$CB$95,CD139)+COUNTIF($CC$72:$CC$95,CD139)+COUNTIF($CD$72:$CD$95,CD139)+COUNTIF($CA$100:$CA$123,CD139)+COUNTIF($CB$100:$CB$123,CD139)+COUNTIF($CC$100:$CC$123,CD139)+COUNTIF($CD$100:$CD$123,CD139)+COUNTIF($CA$128:$CA$151,CD139)+COUNTIF($CB$128:$CB$151,CD139)+COUNTIF($CC$128:$CC$151,CD139)+COUNTIF($CD$128:CD139,CD139),"000"))</f>
        <v/>
      </c>
      <c r="V139" s="9" t="str">
        <f>IF(AND($BN$24&lt;&gt;"",($BM$24+12)&lt;=$BO$24),$BN$24,"")</f>
        <v/>
      </c>
      <c r="W139" s="9" t="str">
        <f>IF(AND($BN$24&lt;&gt;"",($BM$24+12)&lt;=$BO$24),TEXT(($BM$24+12),"00"),"")</f>
        <v/>
      </c>
      <c r="X139" s="9" t="str">
        <f>IF(AND($BN$24&lt;&gt;"",($BM$24+12)&lt;=$BO$24),$BN$24&amp;"-"&amp;TEXT(($BM$24+12),"00"),"")</f>
        <v/>
      </c>
      <c r="CA139" t="str" cm="1">
        <f t="array" ref="CA139">IF(NOT(AND($BN$21&lt;&gt;"",($BM$21+12)&lt;=$BO$21)),"",IF(B139&lt;&gt;"",IF(B139="-","",B139),IF(ISNUMBER(SEARCH(":",$BP$21)),IFERROR(_xlfn.LET(_xlpm.s,_xlfn.TEXTSPLIT($BP$21,","),_xlpm.k,FIND(":",_xlpm.s),INDEX(TRIM(LEFT(_xlpm.s,_xlpm.k-1)),_xlfn.XMATCH(($BM$21+12),_xlfn.SCAN(0,--MID(_xlpm.s,_xlpm.k+1,9),_xlfn.LAMBDA(_xlpm.a,_xlpm.v,_xlpm.a+_xlpm.v)),1))),""),IF(($BM$21+12)&lt;=$BQ$21,$BP$21,""))))</f>
        <v/>
      </c>
      <c r="CB139" t="str" cm="1">
        <f t="array" ref="CB139">IF(NOT(AND($BN$22&lt;&gt;"",($BM$22+12)&lt;=$BO$22)),"",IF(H139&lt;&gt;"",IF(H139="-","",H139),IF(ISNUMBER(SEARCH(":",$BP$22)),IFERROR(_xlfn.LET(_xlpm.s,_xlfn.TEXTSPLIT($BP$22,","),_xlpm.k,FIND(":",_xlpm.s),INDEX(TRIM(LEFT(_xlpm.s,_xlpm.k-1)),_xlfn.XMATCH(($BM$22+12),_xlfn.SCAN(0,--MID(_xlpm.s,_xlpm.k+1,9),_xlfn.LAMBDA(_xlpm.a,_xlpm.v,_xlpm.a+_xlpm.v)),1))),""),IF(($BM$22+12)&lt;=$BQ$22,$BP$22,""))))</f>
        <v/>
      </c>
      <c r="CC139" t="str" cm="1">
        <f t="array" ref="CC139">IF(NOT(AND($BN$23&lt;&gt;"",($BM$23+12)&lt;=$BO$23)),"",IF(N139&lt;&gt;"",IF(N139="-","",N139),IF(ISNUMBER(SEARCH(":",$BP$23)),IFERROR(_xlfn.LET(_xlpm.s,_xlfn.TEXTSPLIT($BP$23,","),_xlpm.k,FIND(":",_xlpm.s),INDEX(TRIM(LEFT(_xlpm.s,_xlpm.k-1)),_xlfn.XMATCH(($BM$23+12),_xlfn.SCAN(0,--MID(_xlpm.s,_xlpm.k+1,9),_xlfn.LAMBDA(_xlpm.a,_xlpm.v,_xlpm.a+_xlpm.v)),1))),""),IF(($BM$23+12)&lt;=$BQ$23,$BP$23,""))))</f>
        <v/>
      </c>
      <c r="CD139" t="str" cm="1">
        <f t="array" ref="CD139">IF(NOT(AND($BN$24&lt;&gt;"",($BM$24+12)&lt;=$BO$24)),"",IF(T139&lt;&gt;"",IF(T139="-","",T139),IF(ISNUMBER(SEARCH(":",$BP$24)),IFERROR(_xlfn.LET(_xlpm.s,_xlfn.TEXTSPLIT($BP$24,","),_xlpm.k,FIND(":",_xlpm.s),INDEX(TRIM(LEFT(_xlpm.s,_xlpm.k-1)),_xlfn.XMATCH(($BM$24+12),_xlfn.SCAN(0,--MID(_xlpm.s,_xlpm.k+1,9),_xlfn.LAMBDA(_xlpm.a,_xlpm.v,_xlpm.a+_xlpm.v)),1))),""),IF(($BM$24+12)&lt;=$BQ$24,$BP$24,""))))</f>
        <v/>
      </c>
    </row>
    <row r="140" spans="2:82" hidden="1" x14ac:dyDescent="0.45">
      <c r="B140" s="6"/>
      <c r="C140" s="9" t="str">
        <f>IF(CA140="","",CA140&amp;"-"&amp;TEXT(COUNTIF($CA$72:$CA$95,CA140)+COUNTIF($CB$72:$CB$95,CA140)+COUNTIF($CC$72:$CC$95,CA140)+COUNTIF($CD$72:$CD$95,CA140)+COUNTIF($CA$100:$CA$123,CA140)+COUNTIF($CB$100:$CB$123,CA140)+COUNTIF($CC$100:$CC$123,CA140)+COUNTIF($CD$100:$CD$123,CA140)+COUNTIF($CA$128:CA140,CA140),"000"))</f>
        <v/>
      </c>
      <c r="D140" s="9" t="str">
        <f>IF(AND($BN$21&lt;&gt;"",($BM$21+13)&lt;=$BO$21),$BN$21,"")</f>
        <v/>
      </c>
      <c r="E140" s="9" t="str">
        <f>IF(AND($BN$21&lt;&gt;"",($BM$21+13)&lt;=$BO$21),TEXT(($BM$21+13),"00"),"")</f>
        <v/>
      </c>
      <c r="F140" s="9" t="str">
        <f>IF(AND($BN$21&lt;&gt;"",($BM$21+13)&lt;=$BO$21),$BN$21&amp;"-"&amp;TEXT(($BM$21+13),"00"),"")</f>
        <v/>
      </c>
      <c r="H140" s="6"/>
      <c r="I140" s="9" t="str">
        <f>IF(CB140="","",CB140&amp;"-"&amp;TEXT(COUNTIF($CA$72:$CA$95,CB140)+COUNTIF($CB$72:$CB$95,CB140)+COUNTIF($CC$72:$CC$95,CB140)+COUNTIF($CD$72:$CD$95,CB140)+COUNTIF($CA$100:$CA$123,CB140)+COUNTIF($CB$100:$CB$123,CB140)+COUNTIF($CC$100:$CC$123,CB140)+COUNTIF($CD$100:$CD$123,CB140)+COUNTIF($CA$128:$CA$151,CB140)+COUNTIF($CB$128:CB140,CB140),"000"))</f>
        <v/>
      </c>
      <c r="J140" s="9" t="str">
        <f>IF(AND($BN$22&lt;&gt;"",($BM$22+13)&lt;=$BO$22),$BN$22,"")</f>
        <v/>
      </c>
      <c r="K140" s="9" t="str">
        <f>IF(AND($BN$22&lt;&gt;"",($BM$22+13)&lt;=$BO$22),TEXT(($BM$22+13),"00"),"")</f>
        <v/>
      </c>
      <c r="L140" s="9" t="str">
        <f>IF(AND($BN$22&lt;&gt;"",($BM$22+13)&lt;=$BO$22),$BN$22&amp;"-"&amp;TEXT(($BM$22+13),"00"),"")</f>
        <v/>
      </c>
      <c r="N140" s="6"/>
      <c r="O140" s="9" t="str">
        <f>IF(CC140="","",CC140&amp;"-"&amp;TEXT(COUNTIF($CA$72:$CA$95,CC140)+COUNTIF($CB$72:$CB$95,CC140)+COUNTIF($CC$72:$CC$95,CC140)+COUNTIF($CD$72:$CD$95,CC140)+COUNTIF($CA$100:$CA$123,CC140)+COUNTIF($CB$100:$CB$123,CC140)+COUNTIF($CC$100:$CC$123,CC140)+COUNTIF($CD$100:$CD$123,CC140)+COUNTIF($CA$128:$CA$151,CC140)+COUNTIF($CB$128:$CB$151,CC140)+COUNTIF($CC$128:CC140,CC140),"000"))</f>
        <v/>
      </c>
      <c r="P140" s="9" t="str">
        <f>IF(AND($BN$23&lt;&gt;"",($BM$23+13)&lt;=$BO$23),$BN$23,"")</f>
        <v/>
      </c>
      <c r="Q140" s="9" t="str">
        <f>IF(AND($BN$23&lt;&gt;"",($BM$23+13)&lt;=$BO$23),TEXT(($BM$23+13),"00"),"")</f>
        <v/>
      </c>
      <c r="R140" s="9" t="str">
        <f>IF(AND($BN$23&lt;&gt;"",($BM$23+13)&lt;=$BO$23),$BN$23&amp;"-"&amp;TEXT(($BM$23+13),"00"),"")</f>
        <v/>
      </c>
      <c r="T140" s="6"/>
      <c r="U140" s="9" t="str">
        <f>IF(CD140="","",CD140&amp;"-"&amp;TEXT(COUNTIF($CA$72:$CA$95,CD140)+COUNTIF($CB$72:$CB$95,CD140)+COUNTIF($CC$72:$CC$95,CD140)+COUNTIF($CD$72:$CD$95,CD140)+COUNTIF($CA$100:$CA$123,CD140)+COUNTIF($CB$100:$CB$123,CD140)+COUNTIF($CC$100:$CC$123,CD140)+COUNTIF($CD$100:$CD$123,CD140)+COUNTIF($CA$128:$CA$151,CD140)+COUNTIF($CB$128:$CB$151,CD140)+COUNTIF($CC$128:$CC$151,CD140)+COUNTIF($CD$128:CD140,CD140),"000"))</f>
        <v/>
      </c>
      <c r="V140" s="9" t="str">
        <f>IF(AND($BN$24&lt;&gt;"",($BM$24+13)&lt;=$BO$24),$BN$24,"")</f>
        <v/>
      </c>
      <c r="W140" s="9" t="str">
        <f>IF(AND($BN$24&lt;&gt;"",($BM$24+13)&lt;=$BO$24),TEXT(($BM$24+13),"00"),"")</f>
        <v/>
      </c>
      <c r="X140" s="9" t="str">
        <f>IF(AND($BN$24&lt;&gt;"",($BM$24+13)&lt;=$BO$24),$BN$24&amp;"-"&amp;TEXT(($BM$24+13),"00"),"")</f>
        <v/>
      </c>
      <c r="CA140" t="str" cm="1">
        <f t="array" ref="CA140">IF(NOT(AND($BN$21&lt;&gt;"",($BM$21+13)&lt;=$BO$21)),"",IF(B140&lt;&gt;"",IF(B140="-","",B140),IF(ISNUMBER(SEARCH(":",$BP$21)),IFERROR(_xlfn.LET(_xlpm.s,_xlfn.TEXTSPLIT($BP$21,","),_xlpm.k,FIND(":",_xlpm.s),INDEX(TRIM(LEFT(_xlpm.s,_xlpm.k-1)),_xlfn.XMATCH(($BM$21+13),_xlfn.SCAN(0,--MID(_xlpm.s,_xlpm.k+1,9),_xlfn.LAMBDA(_xlpm.a,_xlpm.v,_xlpm.a+_xlpm.v)),1))),""),IF(($BM$21+13)&lt;=$BQ$21,$BP$21,""))))</f>
        <v/>
      </c>
      <c r="CB140" t="str" cm="1">
        <f t="array" ref="CB140">IF(NOT(AND($BN$22&lt;&gt;"",($BM$22+13)&lt;=$BO$22)),"",IF(H140&lt;&gt;"",IF(H140="-","",H140),IF(ISNUMBER(SEARCH(":",$BP$22)),IFERROR(_xlfn.LET(_xlpm.s,_xlfn.TEXTSPLIT($BP$22,","),_xlpm.k,FIND(":",_xlpm.s),INDEX(TRIM(LEFT(_xlpm.s,_xlpm.k-1)),_xlfn.XMATCH(($BM$22+13),_xlfn.SCAN(0,--MID(_xlpm.s,_xlpm.k+1,9),_xlfn.LAMBDA(_xlpm.a,_xlpm.v,_xlpm.a+_xlpm.v)),1))),""),IF(($BM$22+13)&lt;=$BQ$22,$BP$22,""))))</f>
        <v/>
      </c>
      <c r="CC140" t="str" cm="1">
        <f t="array" ref="CC140">IF(NOT(AND($BN$23&lt;&gt;"",($BM$23+13)&lt;=$BO$23)),"",IF(N140&lt;&gt;"",IF(N140="-","",N140),IF(ISNUMBER(SEARCH(":",$BP$23)),IFERROR(_xlfn.LET(_xlpm.s,_xlfn.TEXTSPLIT($BP$23,","),_xlpm.k,FIND(":",_xlpm.s),INDEX(TRIM(LEFT(_xlpm.s,_xlpm.k-1)),_xlfn.XMATCH(($BM$23+13),_xlfn.SCAN(0,--MID(_xlpm.s,_xlpm.k+1,9),_xlfn.LAMBDA(_xlpm.a,_xlpm.v,_xlpm.a+_xlpm.v)),1))),""),IF(($BM$23+13)&lt;=$BQ$23,$BP$23,""))))</f>
        <v/>
      </c>
      <c r="CD140" t="str" cm="1">
        <f t="array" ref="CD140">IF(NOT(AND($BN$24&lt;&gt;"",($BM$24+13)&lt;=$BO$24)),"",IF(T140&lt;&gt;"",IF(T140="-","",T140),IF(ISNUMBER(SEARCH(":",$BP$24)),IFERROR(_xlfn.LET(_xlpm.s,_xlfn.TEXTSPLIT($BP$24,","),_xlpm.k,FIND(":",_xlpm.s),INDEX(TRIM(LEFT(_xlpm.s,_xlpm.k-1)),_xlfn.XMATCH(($BM$24+13),_xlfn.SCAN(0,--MID(_xlpm.s,_xlpm.k+1,9),_xlfn.LAMBDA(_xlpm.a,_xlpm.v,_xlpm.a+_xlpm.v)),1))),""),IF(($BM$24+13)&lt;=$BQ$24,$BP$24,""))))</f>
        <v/>
      </c>
    </row>
    <row r="141" spans="2:82" hidden="1" x14ac:dyDescent="0.45">
      <c r="B141" s="6"/>
      <c r="C141" s="9" t="str">
        <f>IF(CA141="","",CA141&amp;"-"&amp;TEXT(COUNTIF($CA$72:$CA$95,CA141)+COUNTIF($CB$72:$CB$95,CA141)+COUNTIF($CC$72:$CC$95,CA141)+COUNTIF($CD$72:$CD$95,CA141)+COUNTIF($CA$100:$CA$123,CA141)+COUNTIF($CB$100:$CB$123,CA141)+COUNTIF($CC$100:$CC$123,CA141)+COUNTIF($CD$100:$CD$123,CA141)+COUNTIF($CA$128:CA141,CA141),"000"))</f>
        <v/>
      </c>
      <c r="D141" s="9" t="str">
        <f>IF(AND($BN$21&lt;&gt;"",($BM$21+14)&lt;=$BO$21),$BN$21,"")</f>
        <v/>
      </c>
      <c r="E141" s="9" t="str">
        <f>IF(AND($BN$21&lt;&gt;"",($BM$21+14)&lt;=$BO$21),TEXT(($BM$21+14),"00"),"")</f>
        <v/>
      </c>
      <c r="F141" s="9" t="str">
        <f>IF(AND($BN$21&lt;&gt;"",($BM$21+14)&lt;=$BO$21),$BN$21&amp;"-"&amp;TEXT(($BM$21+14),"00"),"")</f>
        <v/>
      </c>
      <c r="H141" s="6"/>
      <c r="I141" s="9" t="str">
        <f>IF(CB141="","",CB141&amp;"-"&amp;TEXT(COUNTIF($CA$72:$CA$95,CB141)+COUNTIF($CB$72:$CB$95,CB141)+COUNTIF($CC$72:$CC$95,CB141)+COUNTIF($CD$72:$CD$95,CB141)+COUNTIF($CA$100:$CA$123,CB141)+COUNTIF($CB$100:$CB$123,CB141)+COUNTIF($CC$100:$CC$123,CB141)+COUNTIF($CD$100:$CD$123,CB141)+COUNTIF($CA$128:$CA$151,CB141)+COUNTIF($CB$128:CB141,CB141),"000"))</f>
        <v/>
      </c>
      <c r="J141" s="9" t="str">
        <f>IF(AND($BN$22&lt;&gt;"",($BM$22+14)&lt;=$BO$22),$BN$22,"")</f>
        <v/>
      </c>
      <c r="K141" s="9" t="str">
        <f>IF(AND($BN$22&lt;&gt;"",($BM$22+14)&lt;=$BO$22),TEXT(($BM$22+14),"00"),"")</f>
        <v/>
      </c>
      <c r="L141" s="9" t="str">
        <f>IF(AND($BN$22&lt;&gt;"",($BM$22+14)&lt;=$BO$22),$BN$22&amp;"-"&amp;TEXT(($BM$22+14),"00"),"")</f>
        <v/>
      </c>
      <c r="N141" s="6"/>
      <c r="O141" s="9" t="str">
        <f>IF(CC141="","",CC141&amp;"-"&amp;TEXT(COUNTIF($CA$72:$CA$95,CC141)+COUNTIF($CB$72:$CB$95,CC141)+COUNTIF($CC$72:$CC$95,CC141)+COUNTIF($CD$72:$CD$95,CC141)+COUNTIF($CA$100:$CA$123,CC141)+COUNTIF($CB$100:$CB$123,CC141)+COUNTIF($CC$100:$CC$123,CC141)+COUNTIF($CD$100:$CD$123,CC141)+COUNTIF($CA$128:$CA$151,CC141)+COUNTIF($CB$128:$CB$151,CC141)+COUNTIF($CC$128:CC141,CC141),"000"))</f>
        <v/>
      </c>
      <c r="P141" s="9" t="str">
        <f>IF(AND($BN$23&lt;&gt;"",($BM$23+14)&lt;=$BO$23),$BN$23,"")</f>
        <v/>
      </c>
      <c r="Q141" s="9" t="str">
        <f>IF(AND($BN$23&lt;&gt;"",($BM$23+14)&lt;=$BO$23),TEXT(($BM$23+14),"00"),"")</f>
        <v/>
      </c>
      <c r="R141" s="9" t="str">
        <f>IF(AND($BN$23&lt;&gt;"",($BM$23+14)&lt;=$BO$23),$BN$23&amp;"-"&amp;TEXT(($BM$23+14),"00"),"")</f>
        <v/>
      </c>
      <c r="T141" s="6"/>
      <c r="U141" s="9" t="str">
        <f>IF(CD141="","",CD141&amp;"-"&amp;TEXT(COUNTIF($CA$72:$CA$95,CD141)+COUNTIF($CB$72:$CB$95,CD141)+COUNTIF($CC$72:$CC$95,CD141)+COUNTIF($CD$72:$CD$95,CD141)+COUNTIF($CA$100:$CA$123,CD141)+COUNTIF($CB$100:$CB$123,CD141)+COUNTIF($CC$100:$CC$123,CD141)+COUNTIF($CD$100:$CD$123,CD141)+COUNTIF($CA$128:$CA$151,CD141)+COUNTIF($CB$128:$CB$151,CD141)+COUNTIF($CC$128:$CC$151,CD141)+COUNTIF($CD$128:CD141,CD141),"000"))</f>
        <v/>
      </c>
      <c r="V141" s="9" t="str">
        <f>IF(AND($BN$24&lt;&gt;"",($BM$24+14)&lt;=$BO$24),$BN$24,"")</f>
        <v/>
      </c>
      <c r="W141" s="9" t="str">
        <f>IF(AND($BN$24&lt;&gt;"",($BM$24+14)&lt;=$BO$24),TEXT(($BM$24+14),"00"),"")</f>
        <v/>
      </c>
      <c r="X141" s="9" t="str">
        <f>IF(AND($BN$24&lt;&gt;"",($BM$24+14)&lt;=$BO$24),$BN$24&amp;"-"&amp;TEXT(($BM$24+14),"00"),"")</f>
        <v/>
      </c>
      <c r="CA141" t="str" cm="1">
        <f t="array" ref="CA141">IF(NOT(AND($BN$21&lt;&gt;"",($BM$21+14)&lt;=$BO$21)),"",IF(B141&lt;&gt;"",IF(B141="-","",B141),IF(ISNUMBER(SEARCH(":",$BP$21)),IFERROR(_xlfn.LET(_xlpm.s,_xlfn.TEXTSPLIT($BP$21,","),_xlpm.k,FIND(":",_xlpm.s),INDEX(TRIM(LEFT(_xlpm.s,_xlpm.k-1)),_xlfn.XMATCH(($BM$21+14),_xlfn.SCAN(0,--MID(_xlpm.s,_xlpm.k+1,9),_xlfn.LAMBDA(_xlpm.a,_xlpm.v,_xlpm.a+_xlpm.v)),1))),""),IF(($BM$21+14)&lt;=$BQ$21,$BP$21,""))))</f>
        <v/>
      </c>
      <c r="CB141" t="str" cm="1">
        <f t="array" ref="CB141">IF(NOT(AND($BN$22&lt;&gt;"",($BM$22+14)&lt;=$BO$22)),"",IF(H141&lt;&gt;"",IF(H141="-","",H141),IF(ISNUMBER(SEARCH(":",$BP$22)),IFERROR(_xlfn.LET(_xlpm.s,_xlfn.TEXTSPLIT($BP$22,","),_xlpm.k,FIND(":",_xlpm.s),INDEX(TRIM(LEFT(_xlpm.s,_xlpm.k-1)),_xlfn.XMATCH(($BM$22+14),_xlfn.SCAN(0,--MID(_xlpm.s,_xlpm.k+1,9),_xlfn.LAMBDA(_xlpm.a,_xlpm.v,_xlpm.a+_xlpm.v)),1))),""),IF(($BM$22+14)&lt;=$BQ$22,$BP$22,""))))</f>
        <v/>
      </c>
      <c r="CC141" t="str" cm="1">
        <f t="array" ref="CC141">IF(NOT(AND($BN$23&lt;&gt;"",($BM$23+14)&lt;=$BO$23)),"",IF(N141&lt;&gt;"",IF(N141="-","",N141),IF(ISNUMBER(SEARCH(":",$BP$23)),IFERROR(_xlfn.LET(_xlpm.s,_xlfn.TEXTSPLIT($BP$23,","),_xlpm.k,FIND(":",_xlpm.s),INDEX(TRIM(LEFT(_xlpm.s,_xlpm.k-1)),_xlfn.XMATCH(($BM$23+14),_xlfn.SCAN(0,--MID(_xlpm.s,_xlpm.k+1,9),_xlfn.LAMBDA(_xlpm.a,_xlpm.v,_xlpm.a+_xlpm.v)),1))),""),IF(($BM$23+14)&lt;=$BQ$23,$BP$23,""))))</f>
        <v/>
      </c>
      <c r="CD141" t="str" cm="1">
        <f t="array" ref="CD141">IF(NOT(AND($BN$24&lt;&gt;"",($BM$24+14)&lt;=$BO$24)),"",IF(T141&lt;&gt;"",IF(T141="-","",T141),IF(ISNUMBER(SEARCH(":",$BP$24)),IFERROR(_xlfn.LET(_xlpm.s,_xlfn.TEXTSPLIT($BP$24,","),_xlpm.k,FIND(":",_xlpm.s),INDEX(TRIM(LEFT(_xlpm.s,_xlpm.k-1)),_xlfn.XMATCH(($BM$24+14),_xlfn.SCAN(0,--MID(_xlpm.s,_xlpm.k+1,9),_xlfn.LAMBDA(_xlpm.a,_xlpm.v,_xlpm.a+_xlpm.v)),1))),""),IF(($BM$24+14)&lt;=$BQ$24,$BP$24,""))))</f>
        <v/>
      </c>
    </row>
    <row r="142" spans="2:82" hidden="1" x14ac:dyDescent="0.45">
      <c r="B142" s="6"/>
      <c r="C142" s="9" t="str">
        <f>IF(CA142="","",CA142&amp;"-"&amp;TEXT(COUNTIF($CA$72:$CA$95,CA142)+COUNTIF($CB$72:$CB$95,CA142)+COUNTIF($CC$72:$CC$95,CA142)+COUNTIF($CD$72:$CD$95,CA142)+COUNTIF($CA$100:$CA$123,CA142)+COUNTIF($CB$100:$CB$123,CA142)+COUNTIF($CC$100:$CC$123,CA142)+COUNTIF($CD$100:$CD$123,CA142)+COUNTIF($CA$128:CA142,CA142),"000"))</f>
        <v/>
      </c>
      <c r="D142" s="9" t="str">
        <f>IF(AND($BN$21&lt;&gt;"",($BM$21+15)&lt;=$BO$21),$BN$21,"")</f>
        <v/>
      </c>
      <c r="E142" s="9" t="str">
        <f>IF(AND($BN$21&lt;&gt;"",($BM$21+15)&lt;=$BO$21),TEXT(($BM$21+15),"00"),"")</f>
        <v/>
      </c>
      <c r="F142" s="9" t="str">
        <f>IF(AND($BN$21&lt;&gt;"",($BM$21+15)&lt;=$BO$21),$BN$21&amp;"-"&amp;TEXT(($BM$21+15),"00"),"")</f>
        <v/>
      </c>
      <c r="H142" s="6"/>
      <c r="I142" s="9" t="str">
        <f>IF(CB142="","",CB142&amp;"-"&amp;TEXT(COUNTIF($CA$72:$CA$95,CB142)+COUNTIF($CB$72:$CB$95,CB142)+COUNTIF($CC$72:$CC$95,CB142)+COUNTIF($CD$72:$CD$95,CB142)+COUNTIF($CA$100:$CA$123,CB142)+COUNTIF($CB$100:$CB$123,CB142)+COUNTIF($CC$100:$CC$123,CB142)+COUNTIF($CD$100:$CD$123,CB142)+COUNTIF($CA$128:$CA$151,CB142)+COUNTIF($CB$128:CB142,CB142),"000"))</f>
        <v/>
      </c>
      <c r="J142" s="9" t="str">
        <f>IF(AND($BN$22&lt;&gt;"",($BM$22+15)&lt;=$BO$22),$BN$22,"")</f>
        <v/>
      </c>
      <c r="K142" s="9" t="str">
        <f>IF(AND($BN$22&lt;&gt;"",($BM$22+15)&lt;=$BO$22),TEXT(($BM$22+15),"00"),"")</f>
        <v/>
      </c>
      <c r="L142" s="9" t="str">
        <f>IF(AND($BN$22&lt;&gt;"",($BM$22+15)&lt;=$BO$22),$BN$22&amp;"-"&amp;TEXT(($BM$22+15),"00"),"")</f>
        <v/>
      </c>
      <c r="N142" s="6"/>
      <c r="O142" s="9" t="str">
        <f>IF(CC142="","",CC142&amp;"-"&amp;TEXT(COUNTIF($CA$72:$CA$95,CC142)+COUNTIF($CB$72:$CB$95,CC142)+COUNTIF($CC$72:$CC$95,CC142)+COUNTIF($CD$72:$CD$95,CC142)+COUNTIF($CA$100:$CA$123,CC142)+COUNTIF($CB$100:$CB$123,CC142)+COUNTIF($CC$100:$CC$123,CC142)+COUNTIF($CD$100:$CD$123,CC142)+COUNTIF($CA$128:$CA$151,CC142)+COUNTIF($CB$128:$CB$151,CC142)+COUNTIF($CC$128:CC142,CC142),"000"))</f>
        <v/>
      </c>
      <c r="P142" s="9" t="str">
        <f>IF(AND($BN$23&lt;&gt;"",($BM$23+15)&lt;=$BO$23),$BN$23,"")</f>
        <v/>
      </c>
      <c r="Q142" s="9" t="str">
        <f>IF(AND($BN$23&lt;&gt;"",($BM$23+15)&lt;=$BO$23),TEXT(($BM$23+15),"00"),"")</f>
        <v/>
      </c>
      <c r="R142" s="9" t="str">
        <f>IF(AND($BN$23&lt;&gt;"",($BM$23+15)&lt;=$BO$23),$BN$23&amp;"-"&amp;TEXT(($BM$23+15),"00"),"")</f>
        <v/>
      </c>
      <c r="T142" s="6"/>
      <c r="U142" s="9" t="str">
        <f>IF(CD142="","",CD142&amp;"-"&amp;TEXT(COUNTIF($CA$72:$CA$95,CD142)+COUNTIF($CB$72:$CB$95,CD142)+COUNTIF($CC$72:$CC$95,CD142)+COUNTIF($CD$72:$CD$95,CD142)+COUNTIF($CA$100:$CA$123,CD142)+COUNTIF($CB$100:$CB$123,CD142)+COUNTIF($CC$100:$CC$123,CD142)+COUNTIF($CD$100:$CD$123,CD142)+COUNTIF($CA$128:$CA$151,CD142)+COUNTIF($CB$128:$CB$151,CD142)+COUNTIF($CC$128:$CC$151,CD142)+COUNTIF($CD$128:CD142,CD142),"000"))</f>
        <v/>
      </c>
      <c r="V142" s="9" t="str">
        <f>IF(AND($BN$24&lt;&gt;"",($BM$24+15)&lt;=$BO$24),$BN$24,"")</f>
        <v/>
      </c>
      <c r="W142" s="9" t="str">
        <f>IF(AND($BN$24&lt;&gt;"",($BM$24+15)&lt;=$BO$24),TEXT(($BM$24+15),"00"),"")</f>
        <v/>
      </c>
      <c r="X142" s="9" t="str">
        <f>IF(AND($BN$24&lt;&gt;"",($BM$24+15)&lt;=$BO$24),$BN$24&amp;"-"&amp;TEXT(($BM$24+15),"00"),"")</f>
        <v/>
      </c>
      <c r="CA142" t="str" cm="1">
        <f t="array" ref="CA142">IF(NOT(AND($BN$21&lt;&gt;"",($BM$21+15)&lt;=$BO$21)),"",IF(B142&lt;&gt;"",IF(B142="-","",B142),IF(ISNUMBER(SEARCH(":",$BP$21)),IFERROR(_xlfn.LET(_xlpm.s,_xlfn.TEXTSPLIT($BP$21,","),_xlpm.k,FIND(":",_xlpm.s),INDEX(TRIM(LEFT(_xlpm.s,_xlpm.k-1)),_xlfn.XMATCH(($BM$21+15),_xlfn.SCAN(0,--MID(_xlpm.s,_xlpm.k+1,9),_xlfn.LAMBDA(_xlpm.a,_xlpm.v,_xlpm.a+_xlpm.v)),1))),""),IF(($BM$21+15)&lt;=$BQ$21,$BP$21,""))))</f>
        <v/>
      </c>
      <c r="CB142" t="str" cm="1">
        <f t="array" ref="CB142">IF(NOT(AND($BN$22&lt;&gt;"",($BM$22+15)&lt;=$BO$22)),"",IF(H142&lt;&gt;"",IF(H142="-","",H142),IF(ISNUMBER(SEARCH(":",$BP$22)),IFERROR(_xlfn.LET(_xlpm.s,_xlfn.TEXTSPLIT($BP$22,","),_xlpm.k,FIND(":",_xlpm.s),INDEX(TRIM(LEFT(_xlpm.s,_xlpm.k-1)),_xlfn.XMATCH(($BM$22+15),_xlfn.SCAN(0,--MID(_xlpm.s,_xlpm.k+1,9),_xlfn.LAMBDA(_xlpm.a,_xlpm.v,_xlpm.a+_xlpm.v)),1))),""),IF(($BM$22+15)&lt;=$BQ$22,$BP$22,""))))</f>
        <v/>
      </c>
      <c r="CC142" t="str" cm="1">
        <f t="array" ref="CC142">IF(NOT(AND($BN$23&lt;&gt;"",($BM$23+15)&lt;=$BO$23)),"",IF(N142&lt;&gt;"",IF(N142="-","",N142),IF(ISNUMBER(SEARCH(":",$BP$23)),IFERROR(_xlfn.LET(_xlpm.s,_xlfn.TEXTSPLIT($BP$23,","),_xlpm.k,FIND(":",_xlpm.s),INDEX(TRIM(LEFT(_xlpm.s,_xlpm.k-1)),_xlfn.XMATCH(($BM$23+15),_xlfn.SCAN(0,--MID(_xlpm.s,_xlpm.k+1,9),_xlfn.LAMBDA(_xlpm.a,_xlpm.v,_xlpm.a+_xlpm.v)),1))),""),IF(($BM$23+15)&lt;=$BQ$23,$BP$23,""))))</f>
        <v/>
      </c>
      <c r="CD142" t="str" cm="1">
        <f t="array" ref="CD142">IF(NOT(AND($BN$24&lt;&gt;"",($BM$24+15)&lt;=$BO$24)),"",IF(T142&lt;&gt;"",IF(T142="-","",T142),IF(ISNUMBER(SEARCH(":",$BP$24)),IFERROR(_xlfn.LET(_xlpm.s,_xlfn.TEXTSPLIT($BP$24,","),_xlpm.k,FIND(":",_xlpm.s),INDEX(TRIM(LEFT(_xlpm.s,_xlpm.k-1)),_xlfn.XMATCH(($BM$24+15),_xlfn.SCAN(0,--MID(_xlpm.s,_xlpm.k+1,9),_xlfn.LAMBDA(_xlpm.a,_xlpm.v,_xlpm.a+_xlpm.v)),1))),""),IF(($BM$24+15)&lt;=$BQ$24,$BP$24,""))))</f>
        <v/>
      </c>
    </row>
    <row r="143" spans="2:82" hidden="1" x14ac:dyDescent="0.45">
      <c r="B143" s="6"/>
      <c r="C143" s="9" t="str">
        <f>IF(CA143="","",CA143&amp;"-"&amp;TEXT(COUNTIF($CA$72:$CA$95,CA143)+COUNTIF($CB$72:$CB$95,CA143)+COUNTIF($CC$72:$CC$95,CA143)+COUNTIF($CD$72:$CD$95,CA143)+COUNTIF($CA$100:$CA$123,CA143)+COUNTIF($CB$100:$CB$123,CA143)+COUNTIF($CC$100:$CC$123,CA143)+COUNTIF($CD$100:$CD$123,CA143)+COUNTIF($CA$128:CA143,CA143),"000"))</f>
        <v/>
      </c>
      <c r="D143" s="9" t="str">
        <f>IF(AND($BN$21&lt;&gt;"",($BM$21+16)&lt;=$BO$21),$BN$21,"")</f>
        <v/>
      </c>
      <c r="E143" s="9" t="str">
        <f>IF(AND($BN$21&lt;&gt;"",($BM$21+16)&lt;=$BO$21),TEXT(($BM$21+16),"00"),"")</f>
        <v/>
      </c>
      <c r="F143" s="9" t="str">
        <f>IF(AND($BN$21&lt;&gt;"",($BM$21+16)&lt;=$BO$21),$BN$21&amp;"-"&amp;TEXT(($BM$21+16),"00"),"")</f>
        <v/>
      </c>
      <c r="H143" s="6"/>
      <c r="I143" s="9" t="str">
        <f>IF(CB143="","",CB143&amp;"-"&amp;TEXT(COUNTIF($CA$72:$CA$95,CB143)+COUNTIF($CB$72:$CB$95,CB143)+COUNTIF($CC$72:$CC$95,CB143)+COUNTIF($CD$72:$CD$95,CB143)+COUNTIF($CA$100:$CA$123,CB143)+COUNTIF($CB$100:$CB$123,CB143)+COUNTIF($CC$100:$CC$123,CB143)+COUNTIF($CD$100:$CD$123,CB143)+COUNTIF($CA$128:$CA$151,CB143)+COUNTIF($CB$128:CB143,CB143),"000"))</f>
        <v/>
      </c>
      <c r="J143" s="9" t="str">
        <f>IF(AND($BN$22&lt;&gt;"",($BM$22+16)&lt;=$BO$22),$BN$22,"")</f>
        <v/>
      </c>
      <c r="K143" s="9" t="str">
        <f>IF(AND($BN$22&lt;&gt;"",($BM$22+16)&lt;=$BO$22),TEXT(($BM$22+16),"00"),"")</f>
        <v/>
      </c>
      <c r="L143" s="9" t="str">
        <f>IF(AND($BN$22&lt;&gt;"",($BM$22+16)&lt;=$BO$22),$BN$22&amp;"-"&amp;TEXT(($BM$22+16),"00"),"")</f>
        <v/>
      </c>
      <c r="N143" s="6"/>
      <c r="O143" s="9" t="str">
        <f>IF(CC143="","",CC143&amp;"-"&amp;TEXT(COUNTIF($CA$72:$CA$95,CC143)+COUNTIF($CB$72:$CB$95,CC143)+COUNTIF($CC$72:$CC$95,CC143)+COUNTIF($CD$72:$CD$95,CC143)+COUNTIF($CA$100:$CA$123,CC143)+COUNTIF($CB$100:$CB$123,CC143)+COUNTIF($CC$100:$CC$123,CC143)+COUNTIF($CD$100:$CD$123,CC143)+COUNTIF($CA$128:$CA$151,CC143)+COUNTIF($CB$128:$CB$151,CC143)+COUNTIF($CC$128:CC143,CC143),"000"))</f>
        <v/>
      </c>
      <c r="P143" s="9" t="str">
        <f>IF(AND($BN$23&lt;&gt;"",($BM$23+16)&lt;=$BO$23),$BN$23,"")</f>
        <v/>
      </c>
      <c r="Q143" s="9" t="str">
        <f>IF(AND($BN$23&lt;&gt;"",($BM$23+16)&lt;=$BO$23),TEXT(($BM$23+16),"00"),"")</f>
        <v/>
      </c>
      <c r="R143" s="9" t="str">
        <f>IF(AND($BN$23&lt;&gt;"",($BM$23+16)&lt;=$BO$23),$BN$23&amp;"-"&amp;TEXT(($BM$23+16),"00"),"")</f>
        <v/>
      </c>
      <c r="T143" s="6"/>
      <c r="U143" s="9" t="str">
        <f>IF(CD143="","",CD143&amp;"-"&amp;TEXT(COUNTIF($CA$72:$CA$95,CD143)+COUNTIF($CB$72:$CB$95,CD143)+COUNTIF($CC$72:$CC$95,CD143)+COUNTIF($CD$72:$CD$95,CD143)+COUNTIF($CA$100:$CA$123,CD143)+COUNTIF($CB$100:$CB$123,CD143)+COUNTIF($CC$100:$CC$123,CD143)+COUNTIF($CD$100:$CD$123,CD143)+COUNTIF($CA$128:$CA$151,CD143)+COUNTIF($CB$128:$CB$151,CD143)+COUNTIF($CC$128:$CC$151,CD143)+COUNTIF($CD$128:CD143,CD143),"000"))</f>
        <v/>
      </c>
      <c r="V143" s="9" t="str">
        <f>IF(AND($BN$24&lt;&gt;"",($BM$24+16)&lt;=$BO$24),$BN$24,"")</f>
        <v/>
      </c>
      <c r="W143" s="9" t="str">
        <f>IF(AND($BN$24&lt;&gt;"",($BM$24+16)&lt;=$BO$24),TEXT(($BM$24+16),"00"),"")</f>
        <v/>
      </c>
      <c r="X143" s="9" t="str">
        <f>IF(AND($BN$24&lt;&gt;"",($BM$24+16)&lt;=$BO$24),$BN$24&amp;"-"&amp;TEXT(($BM$24+16),"00"),"")</f>
        <v/>
      </c>
      <c r="CA143" t="str" cm="1">
        <f t="array" ref="CA143">IF(NOT(AND($BN$21&lt;&gt;"",($BM$21+16)&lt;=$BO$21)),"",IF(B143&lt;&gt;"",IF(B143="-","",B143),IF(ISNUMBER(SEARCH(":",$BP$21)),IFERROR(_xlfn.LET(_xlpm.s,_xlfn.TEXTSPLIT($BP$21,","),_xlpm.k,FIND(":",_xlpm.s),INDEX(TRIM(LEFT(_xlpm.s,_xlpm.k-1)),_xlfn.XMATCH(($BM$21+16),_xlfn.SCAN(0,--MID(_xlpm.s,_xlpm.k+1,9),_xlfn.LAMBDA(_xlpm.a,_xlpm.v,_xlpm.a+_xlpm.v)),1))),""),IF(($BM$21+16)&lt;=$BQ$21,$BP$21,""))))</f>
        <v/>
      </c>
      <c r="CB143" t="str" cm="1">
        <f t="array" ref="CB143">IF(NOT(AND($BN$22&lt;&gt;"",($BM$22+16)&lt;=$BO$22)),"",IF(H143&lt;&gt;"",IF(H143="-","",H143),IF(ISNUMBER(SEARCH(":",$BP$22)),IFERROR(_xlfn.LET(_xlpm.s,_xlfn.TEXTSPLIT($BP$22,","),_xlpm.k,FIND(":",_xlpm.s),INDEX(TRIM(LEFT(_xlpm.s,_xlpm.k-1)),_xlfn.XMATCH(($BM$22+16),_xlfn.SCAN(0,--MID(_xlpm.s,_xlpm.k+1,9),_xlfn.LAMBDA(_xlpm.a,_xlpm.v,_xlpm.a+_xlpm.v)),1))),""),IF(($BM$22+16)&lt;=$BQ$22,$BP$22,""))))</f>
        <v/>
      </c>
      <c r="CC143" t="str" cm="1">
        <f t="array" ref="CC143">IF(NOT(AND($BN$23&lt;&gt;"",($BM$23+16)&lt;=$BO$23)),"",IF(N143&lt;&gt;"",IF(N143="-","",N143),IF(ISNUMBER(SEARCH(":",$BP$23)),IFERROR(_xlfn.LET(_xlpm.s,_xlfn.TEXTSPLIT($BP$23,","),_xlpm.k,FIND(":",_xlpm.s),INDEX(TRIM(LEFT(_xlpm.s,_xlpm.k-1)),_xlfn.XMATCH(($BM$23+16),_xlfn.SCAN(0,--MID(_xlpm.s,_xlpm.k+1,9),_xlfn.LAMBDA(_xlpm.a,_xlpm.v,_xlpm.a+_xlpm.v)),1))),""),IF(($BM$23+16)&lt;=$BQ$23,$BP$23,""))))</f>
        <v/>
      </c>
      <c r="CD143" t="str" cm="1">
        <f t="array" ref="CD143">IF(NOT(AND($BN$24&lt;&gt;"",($BM$24+16)&lt;=$BO$24)),"",IF(T143&lt;&gt;"",IF(T143="-","",T143),IF(ISNUMBER(SEARCH(":",$BP$24)),IFERROR(_xlfn.LET(_xlpm.s,_xlfn.TEXTSPLIT($BP$24,","),_xlpm.k,FIND(":",_xlpm.s),INDEX(TRIM(LEFT(_xlpm.s,_xlpm.k-1)),_xlfn.XMATCH(($BM$24+16),_xlfn.SCAN(0,--MID(_xlpm.s,_xlpm.k+1,9),_xlfn.LAMBDA(_xlpm.a,_xlpm.v,_xlpm.a+_xlpm.v)),1))),""),IF(($BM$24+16)&lt;=$BQ$24,$BP$24,""))))</f>
        <v/>
      </c>
    </row>
    <row r="144" spans="2:82" hidden="1" x14ac:dyDescent="0.45">
      <c r="B144" s="6"/>
      <c r="C144" s="9" t="str">
        <f>IF(CA144="","",CA144&amp;"-"&amp;TEXT(COUNTIF($CA$72:$CA$95,CA144)+COUNTIF($CB$72:$CB$95,CA144)+COUNTIF($CC$72:$CC$95,CA144)+COUNTIF($CD$72:$CD$95,CA144)+COUNTIF($CA$100:$CA$123,CA144)+COUNTIF($CB$100:$CB$123,CA144)+COUNTIF($CC$100:$CC$123,CA144)+COUNTIF($CD$100:$CD$123,CA144)+COUNTIF($CA$128:CA144,CA144),"000"))</f>
        <v/>
      </c>
      <c r="D144" s="9" t="str">
        <f>IF(AND($BN$21&lt;&gt;"",($BM$21+17)&lt;=$BO$21),$BN$21,"")</f>
        <v/>
      </c>
      <c r="E144" s="9" t="str">
        <f>IF(AND($BN$21&lt;&gt;"",($BM$21+17)&lt;=$BO$21),TEXT(($BM$21+17),"00"),"")</f>
        <v/>
      </c>
      <c r="F144" s="9" t="str">
        <f>IF(AND($BN$21&lt;&gt;"",($BM$21+17)&lt;=$BO$21),$BN$21&amp;"-"&amp;TEXT(($BM$21+17),"00"),"")</f>
        <v/>
      </c>
      <c r="H144" s="6"/>
      <c r="I144" s="9" t="str">
        <f>IF(CB144="","",CB144&amp;"-"&amp;TEXT(COUNTIF($CA$72:$CA$95,CB144)+COUNTIF($CB$72:$CB$95,CB144)+COUNTIF($CC$72:$CC$95,CB144)+COUNTIF($CD$72:$CD$95,CB144)+COUNTIF($CA$100:$CA$123,CB144)+COUNTIF($CB$100:$CB$123,CB144)+COUNTIF($CC$100:$CC$123,CB144)+COUNTIF($CD$100:$CD$123,CB144)+COUNTIF($CA$128:$CA$151,CB144)+COUNTIF($CB$128:CB144,CB144),"000"))</f>
        <v/>
      </c>
      <c r="J144" s="9" t="str">
        <f>IF(AND($BN$22&lt;&gt;"",($BM$22+17)&lt;=$BO$22),$BN$22,"")</f>
        <v/>
      </c>
      <c r="K144" s="9" t="str">
        <f>IF(AND($BN$22&lt;&gt;"",($BM$22+17)&lt;=$BO$22),TEXT(($BM$22+17),"00"),"")</f>
        <v/>
      </c>
      <c r="L144" s="9" t="str">
        <f>IF(AND($BN$22&lt;&gt;"",($BM$22+17)&lt;=$BO$22),$BN$22&amp;"-"&amp;TEXT(($BM$22+17),"00"),"")</f>
        <v/>
      </c>
      <c r="N144" s="6"/>
      <c r="O144" s="9" t="str">
        <f>IF(CC144="","",CC144&amp;"-"&amp;TEXT(COUNTIF($CA$72:$CA$95,CC144)+COUNTIF($CB$72:$CB$95,CC144)+COUNTIF($CC$72:$CC$95,CC144)+COUNTIF($CD$72:$CD$95,CC144)+COUNTIF($CA$100:$CA$123,CC144)+COUNTIF($CB$100:$CB$123,CC144)+COUNTIF($CC$100:$CC$123,CC144)+COUNTIF($CD$100:$CD$123,CC144)+COUNTIF($CA$128:$CA$151,CC144)+COUNTIF($CB$128:$CB$151,CC144)+COUNTIF($CC$128:CC144,CC144),"000"))</f>
        <v/>
      </c>
      <c r="P144" s="9" t="str">
        <f>IF(AND($BN$23&lt;&gt;"",($BM$23+17)&lt;=$BO$23),$BN$23,"")</f>
        <v/>
      </c>
      <c r="Q144" s="9" t="str">
        <f>IF(AND($BN$23&lt;&gt;"",($BM$23+17)&lt;=$BO$23),TEXT(($BM$23+17),"00"),"")</f>
        <v/>
      </c>
      <c r="R144" s="9" t="str">
        <f>IF(AND($BN$23&lt;&gt;"",($BM$23+17)&lt;=$BO$23),$BN$23&amp;"-"&amp;TEXT(($BM$23+17),"00"),"")</f>
        <v/>
      </c>
      <c r="T144" s="6"/>
      <c r="U144" s="9" t="str">
        <f>IF(CD144="","",CD144&amp;"-"&amp;TEXT(COUNTIF($CA$72:$CA$95,CD144)+COUNTIF($CB$72:$CB$95,CD144)+COUNTIF($CC$72:$CC$95,CD144)+COUNTIF($CD$72:$CD$95,CD144)+COUNTIF($CA$100:$CA$123,CD144)+COUNTIF($CB$100:$CB$123,CD144)+COUNTIF($CC$100:$CC$123,CD144)+COUNTIF($CD$100:$CD$123,CD144)+COUNTIF($CA$128:$CA$151,CD144)+COUNTIF($CB$128:$CB$151,CD144)+COUNTIF($CC$128:$CC$151,CD144)+COUNTIF($CD$128:CD144,CD144),"000"))</f>
        <v/>
      </c>
      <c r="V144" s="9" t="str">
        <f>IF(AND($BN$24&lt;&gt;"",($BM$24+17)&lt;=$BO$24),$BN$24,"")</f>
        <v/>
      </c>
      <c r="W144" s="9" t="str">
        <f>IF(AND($BN$24&lt;&gt;"",($BM$24+17)&lt;=$BO$24),TEXT(($BM$24+17),"00"),"")</f>
        <v/>
      </c>
      <c r="X144" s="9" t="str">
        <f>IF(AND($BN$24&lt;&gt;"",($BM$24+17)&lt;=$BO$24),$BN$24&amp;"-"&amp;TEXT(($BM$24+17),"00"),"")</f>
        <v/>
      </c>
      <c r="CA144" t="str" cm="1">
        <f t="array" ref="CA144">IF(NOT(AND($BN$21&lt;&gt;"",($BM$21+17)&lt;=$BO$21)),"",IF(B144&lt;&gt;"",IF(B144="-","",B144),IF(ISNUMBER(SEARCH(":",$BP$21)),IFERROR(_xlfn.LET(_xlpm.s,_xlfn.TEXTSPLIT($BP$21,","),_xlpm.k,FIND(":",_xlpm.s),INDEX(TRIM(LEFT(_xlpm.s,_xlpm.k-1)),_xlfn.XMATCH(($BM$21+17),_xlfn.SCAN(0,--MID(_xlpm.s,_xlpm.k+1,9),_xlfn.LAMBDA(_xlpm.a,_xlpm.v,_xlpm.a+_xlpm.v)),1))),""),IF(($BM$21+17)&lt;=$BQ$21,$BP$21,""))))</f>
        <v/>
      </c>
      <c r="CB144" t="str" cm="1">
        <f t="array" ref="CB144">IF(NOT(AND($BN$22&lt;&gt;"",($BM$22+17)&lt;=$BO$22)),"",IF(H144&lt;&gt;"",IF(H144="-","",H144),IF(ISNUMBER(SEARCH(":",$BP$22)),IFERROR(_xlfn.LET(_xlpm.s,_xlfn.TEXTSPLIT($BP$22,","),_xlpm.k,FIND(":",_xlpm.s),INDEX(TRIM(LEFT(_xlpm.s,_xlpm.k-1)),_xlfn.XMATCH(($BM$22+17),_xlfn.SCAN(0,--MID(_xlpm.s,_xlpm.k+1,9),_xlfn.LAMBDA(_xlpm.a,_xlpm.v,_xlpm.a+_xlpm.v)),1))),""),IF(($BM$22+17)&lt;=$BQ$22,$BP$22,""))))</f>
        <v/>
      </c>
      <c r="CC144" t="str" cm="1">
        <f t="array" ref="CC144">IF(NOT(AND($BN$23&lt;&gt;"",($BM$23+17)&lt;=$BO$23)),"",IF(N144&lt;&gt;"",IF(N144="-","",N144),IF(ISNUMBER(SEARCH(":",$BP$23)),IFERROR(_xlfn.LET(_xlpm.s,_xlfn.TEXTSPLIT($BP$23,","),_xlpm.k,FIND(":",_xlpm.s),INDEX(TRIM(LEFT(_xlpm.s,_xlpm.k-1)),_xlfn.XMATCH(($BM$23+17),_xlfn.SCAN(0,--MID(_xlpm.s,_xlpm.k+1,9),_xlfn.LAMBDA(_xlpm.a,_xlpm.v,_xlpm.a+_xlpm.v)),1))),""),IF(($BM$23+17)&lt;=$BQ$23,$BP$23,""))))</f>
        <v/>
      </c>
      <c r="CD144" t="str" cm="1">
        <f t="array" ref="CD144">IF(NOT(AND($BN$24&lt;&gt;"",($BM$24+17)&lt;=$BO$24)),"",IF(T144&lt;&gt;"",IF(T144="-","",T144),IF(ISNUMBER(SEARCH(":",$BP$24)),IFERROR(_xlfn.LET(_xlpm.s,_xlfn.TEXTSPLIT($BP$24,","),_xlpm.k,FIND(":",_xlpm.s),INDEX(TRIM(LEFT(_xlpm.s,_xlpm.k-1)),_xlfn.XMATCH(($BM$24+17),_xlfn.SCAN(0,--MID(_xlpm.s,_xlpm.k+1,9),_xlfn.LAMBDA(_xlpm.a,_xlpm.v,_xlpm.a+_xlpm.v)),1))),""),IF(($BM$24+17)&lt;=$BQ$24,$BP$24,""))))</f>
        <v/>
      </c>
    </row>
    <row r="145" spans="2:82" hidden="1" x14ac:dyDescent="0.45">
      <c r="B145" s="6"/>
      <c r="C145" s="9" t="str">
        <f>IF(CA145="","",CA145&amp;"-"&amp;TEXT(COUNTIF($CA$72:$CA$95,CA145)+COUNTIF($CB$72:$CB$95,CA145)+COUNTIF($CC$72:$CC$95,CA145)+COUNTIF($CD$72:$CD$95,CA145)+COUNTIF($CA$100:$CA$123,CA145)+COUNTIF($CB$100:$CB$123,CA145)+COUNTIF($CC$100:$CC$123,CA145)+COUNTIF($CD$100:$CD$123,CA145)+COUNTIF($CA$128:CA145,CA145),"000"))</f>
        <v/>
      </c>
      <c r="D145" s="9" t="str">
        <f>IF(AND($BN$21&lt;&gt;"",($BM$21+18)&lt;=$BO$21),$BN$21,"")</f>
        <v/>
      </c>
      <c r="E145" s="9" t="str">
        <f>IF(AND($BN$21&lt;&gt;"",($BM$21+18)&lt;=$BO$21),TEXT(($BM$21+18),"00"),"")</f>
        <v/>
      </c>
      <c r="F145" s="9" t="str">
        <f>IF(AND($BN$21&lt;&gt;"",($BM$21+18)&lt;=$BO$21),$BN$21&amp;"-"&amp;TEXT(($BM$21+18),"00"),"")</f>
        <v/>
      </c>
      <c r="H145" s="6"/>
      <c r="I145" s="9" t="str">
        <f>IF(CB145="","",CB145&amp;"-"&amp;TEXT(COUNTIF($CA$72:$CA$95,CB145)+COUNTIF($CB$72:$CB$95,CB145)+COUNTIF($CC$72:$CC$95,CB145)+COUNTIF($CD$72:$CD$95,CB145)+COUNTIF($CA$100:$CA$123,CB145)+COUNTIF($CB$100:$CB$123,CB145)+COUNTIF($CC$100:$CC$123,CB145)+COUNTIF($CD$100:$CD$123,CB145)+COUNTIF($CA$128:$CA$151,CB145)+COUNTIF($CB$128:CB145,CB145),"000"))</f>
        <v/>
      </c>
      <c r="J145" s="9" t="str">
        <f>IF(AND($BN$22&lt;&gt;"",($BM$22+18)&lt;=$BO$22),$BN$22,"")</f>
        <v/>
      </c>
      <c r="K145" s="9" t="str">
        <f>IF(AND($BN$22&lt;&gt;"",($BM$22+18)&lt;=$BO$22),TEXT(($BM$22+18),"00"),"")</f>
        <v/>
      </c>
      <c r="L145" s="9" t="str">
        <f>IF(AND($BN$22&lt;&gt;"",($BM$22+18)&lt;=$BO$22),$BN$22&amp;"-"&amp;TEXT(($BM$22+18),"00"),"")</f>
        <v/>
      </c>
      <c r="N145" s="6"/>
      <c r="O145" s="9" t="str">
        <f>IF(CC145="","",CC145&amp;"-"&amp;TEXT(COUNTIF($CA$72:$CA$95,CC145)+COUNTIF($CB$72:$CB$95,CC145)+COUNTIF($CC$72:$CC$95,CC145)+COUNTIF($CD$72:$CD$95,CC145)+COUNTIF($CA$100:$CA$123,CC145)+COUNTIF($CB$100:$CB$123,CC145)+COUNTIF($CC$100:$CC$123,CC145)+COUNTIF($CD$100:$CD$123,CC145)+COUNTIF($CA$128:$CA$151,CC145)+COUNTIF($CB$128:$CB$151,CC145)+COUNTIF($CC$128:CC145,CC145),"000"))</f>
        <v/>
      </c>
      <c r="P145" s="9" t="str">
        <f>IF(AND($BN$23&lt;&gt;"",($BM$23+18)&lt;=$BO$23),$BN$23,"")</f>
        <v/>
      </c>
      <c r="Q145" s="9" t="str">
        <f>IF(AND($BN$23&lt;&gt;"",($BM$23+18)&lt;=$BO$23),TEXT(($BM$23+18),"00"),"")</f>
        <v/>
      </c>
      <c r="R145" s="9" t="str">
        <f>IF(AND($BN$23&lt;&gt;"",($BM$23+18)&lt;=$BO$23),$BN$23&amp;"-"&amp;TEXT(($BM$23+18),"00"),"")</f>
        <v/>
      </c>
      <c r="T145" s="6"/>
      <c r="U145" s="9" t="str">
        <f>IF(CD145="","",CD145&amp;"-"&amp;TEXT(COUNTIF($CA$72:$CA$95,CD145)+COUNTIF($CB$72:$CB$95,CD145)+COUNTIF($CC$72:$CC$95,CD145)+COUNTIF($CD$72:$CD$95,CD145)+COUNTIF($CA$100:$CA$123,CD145)+COUNTIF($CB$100:$CB$123,CD145)+COUNTIF($CC$100:$CC$123,CD145)+COUNTIF($CD$100:$CD$123,CD145)+COUNTIF($CA$128:$CA$151,CD145)+COUNTIF($CB$128:$CB$151,CD145)+COUNTIF($CC$128:$CC$151,CD145)+COUNTIF($CD$128:CD145,CD145),"000"))</f>
        <v/>
      </c>
      <c r="V145" s="9" t="str">
        <f>IF(AND($BN$24&lt;&gt;"",($BM$24+18)&lt;=$BO$24),$BN$24,"")</f>
        <v/>
      </c>
      <c r="W145" s="9" t="str">
        <f>IF(AND($BN$24&lt;&gt;"",($BM$24+18)&lt;=$BO$24),TEXT(($BM$24+18),"00"),"")</f>
        <v/>
      </c>
      <c r="X145" s="9" t="str">
        <f>IF(AND($BN$24&lt;&gt;"",($BM$24+18)&lt;=$BO$24),$BN$24&amp;"-"&amp;TEXT(($BM$24+18),"00"),"")</f>
        <v/>
      </c>
      <c r="CA145" t="str" cm="1">
        <f t="array" ref="CA145">IF(NOT(AND($BN$21&lt;&gt;"",($BM$21+18)&lt;=$BO$21)),"",IF(B145&lt;&gt;"",IF(B145="-","",B145),IF(ISNUMBER(SEARCH(":",$BP$21)),IFERROR(_xlfn.LET(_xlpm.s,_xlfn.TEXTSPLIT($BP$21,","),_xlpm.k,FIND(":",_xlpm.s),INDEX(TRIM(LEFT(_xlpm.s,_xlpm.k-1)),_xlfn.XMATCH(($BM$21+18),_xlfn.SCAN(0,--MID(_xlpm.s,_xlpm.k+1,9),_xlfn.LAMBDA(_xlpm.a,_xlpm.v,_xlpm.a+_xlpm.v)),1))),""),IF(($BM$21+18)&lt;=$BQ$21,$BP$21,""))))</f>
        <v/>
      </c>
      <c r="CB145" t="str" cm="1">
        <f t="array" ref="CB145">IF(NOT(AND($BN$22&lt;&gt;"",($BM$22+18)&lt;=$BO$22)),"",IF(H145&lt;&gt;"",IF(H145="-","",H145),IF(ISNUMBER(SEARCH(":",$BP$22)),IFERROR(_xlfn.LET(_xlpm.s,_xlfn.TEXTSPLIT($BP$22,","),_xlpm.k,FIND(":",_xlpm.s),INDEX(TRIM(LEFT(_xlpm.s,_xlpm.k-1)),_xlfn.XMATCH(($BM$22+18),_xlfn.SCAN(0,--MID(_xlpm.s,_xlpm.k+1,9),_xlfn.LAMBDA(_xlpm.a,_xlpm.v,_xlpm.a+_xlpm.v)),1))),""),IF(($BM$22+18)&lt;=$BQ$22,$BP$22,""))))</f>
        <v/>
      </c>
      <c r="CC145" t="str" cm="1">
        <f t="array" ref="CC145">IF(NOT(AND($BN$23&lt;&gt;"",($BM$23+18)&lt;=$BO$23)),"",IF(N145&lt;&gt;"",IF(N145="-","",N145),IF(ISNUMBER(SEARCH(":",$BP$23)),IFERROR(_xlfn.LET(_xlpm.s,_xlfn.TEXTSPLIT($BP$23,","),_xlpm.k,FIND(":",_xlpm.s),INDEX(TRIM(LEFT(_xlpm.s,_xlpm.k-1)),_xlfn.XMATCH(($BM$23+18),_xlfn.SCAN(0,--MID(_xlpm.s,_xlpm.k+1,9),_xlfn.LAMBDA(_xlpm.a,_xlpm.v,_xlpm.a+_xlpm.v)),1))),""),IF(($BM$23+18)&lt;=$BQ$23,$BP$23,""))))</f>
        <v/>
      </c>
      <c r="CD145" t="str" cm="1">
        <f t="array" ref="CD145">IF(NOT(AND($BN$24&lt;&gt;"",($BM$24+18)&lt;=$BO$24)),"",IF(T145&lt;&gt;"",IF(T145="-","",T145),IF(ISNUMBER(SEARCH(":",$BP$24)),IFERROR(_xlfn.LET(_xlpm.s,_xlfn.TEXTSPLIT($BP$24,","),_xlpm.k,FIND(":",_xlpm.s),INDEX(TRIM(LEFT(_xlpm.s,_xlpm.k-1)),_xlfn.XMATCH(($BM$24+18),_xlfn.SCAN(0,--MID(_xlpm.s,_xlpm.k+1,9),_xlfn.LAMBDA(_xlpm.a,_xlpm.v,_xlpm.a+_xlpm.v)),1))),""),IF(($BM$24+18)&lt;=$BQ$24,$BP$24,""))))</f>
        <v/>
      </c>
    </row>
    <row r="146" spans="2:82" hidden="1" x14ac:dyDescent="0.45">
      <c r="B146" s="6"/>
      <c r="C146" s="9" t="str">
        <f>IF(CA146="","",CA146&amp;"-"&amp;TEXT(COUNTIF($CA$72:$CA$95,CA146)+COUNTIF($CB$72:$CB$95,CA146)+COUNTIF($CC$72:$CC$95,CA146)+COUNTIF($CD$72:$CD$95,CA146)+COUNTIF($CA$100:$CA$123,CA146)+COUNTIF($CB$100:$CB$123,CA146)+COUNTIF($CC$100:$CC$123,CA146)+COUNTIF($CD$100:$CD$123,CA146)+COUNTIF($CA$128:CA146,CA146),"000"))</f>
        <v/>
      </c>
      <c r="D146" s="9" t="str">
        <f>IF(AND($BN$21&lt;&gt;"",($BM$21+19)&lt;=$BO$21),$BN$21,"")</f>
        <v/>
      </c>
      <c r="E146" s="9" t="str">
        <f>IF(AND($BN$21&lt;&gt;"",($BM$21+19)&lt;=$BO$21),TEXT(($BM$21+19),"00"),"")</f>
        <v/>
      </c>
      <c r="F146" s="9" t="str">
        <f>IF(AND($BN$21&lt;&gt;"",($BM$21+19)&lt;=$BO$21),$BN$21&amp;"-"&amp;TEXT(($BM$21+19),"00"),"")</f>
        <v/>
      </c>
      <c r="H146" s="6"/>
      <c r="I146" s="9" t="str">
        <f>IF(CB146="","",CB146&amp;"-"&amp;TEXT(COUNTIF($CA$72:$CA$95,CB146)+COUNTIF($CB$72:$CB$95,CB146)+COUNTIF($CC$72:$CC$95,CB146)+COUNTIF($CD$72:$CD$95,CB146)+COUNTIF($CA$100:$CA$123,CB146)+COUNTIF($CB$100:$CB$123,CB146)+COUNTIF($CC$100:$CC$123,CB146)+COUNTIF($CD$100:$CD$123,CB146)+COUNTIF($CA$128:$CA$151,CB146)+COUNTIF($CB$128:CB146,CB146),"000"))</f>
        <v/>
      </c>
      <c r="J146" s="9" t="str">
        <f>IF(AND($BN$22&lt;&gt;"",($BM$22+19)&lt;=$BO$22),$BN$22,"")</f>
        <v/>
      </c>
      <c r="K146" s="9" t="str">
        <f>IF(AND($BN$22&lt;&gt;"",($BM$22+19)&lt;=$BO$22),TEXT(($BM$22+19),"00"),"")</f>
        <v/>
      </c>
      <c r="L146" s="9" t="str">
        <f>IF(AND($BN$22&lt;&gt;"",($BM$22+19)&lt;=$BO$22),$BN$22&amp;"-"&amp;TEXT(($BM$22+19),"00"),"")</f>
        <v/>
      </c>
      <c r="N146" s="6"/>
      <c r="O146" s="9" t="str">
        <f>IF(CC146="","",CC146&amp;"-"&amp;TEXT(COUNTIF($CA$72:$CA$95,CC146)+COUNTIF($CB$72:$CB$95,CC146)+COUNTIF($CC$72:$CC$95,CC146)+COUNTIF($CD$72:$CD$95,CC146)+COUNTIF($CA$100:$CA$123,CC146)+COUNTIF($CB$100:$CB$123,CC146)+COUNTIF($CC$100:$CC$123,CC146)+COUNTIF($CD$100:$CD$123,CC146)+COUNTIF($CA$128:$CA$151,CC146)+COUNTIF($CB$128:$CB$151,CC146)+COUNTIF($CC$128:CC146,CC146),"000"))</f>
        <v/>
      </c>
      <c r="P146" s="9" t="str">
        <f>IF(AND($BN$23&lt;&gt;"",($BM$23+19)&lt;=$BO$23),$BN$23,"")</f>
        <v/>
      </c>
      <c r="Q146" s="9" t="str">
        <f>IF(AND($BN$23&lt;&gt;"",($BM$23+19)&lt;=$BO$23),TEXT(($BM$23+19),"00"),"")</f>
        <v/>
      </c>
      <c r="R146" s="9" t="str">
        <f>IF(AND($BN$23&lt;&gt;"",($BM$23+19)&lt;=$BO$23),$BN$23&amp;"-"&amp;TEXT(($BM$23+19),"00"),"")</f>
        <v/>
      </c>
      <c r="T146" s="6"/>
      <c r="U146" s="9" t="str">
        <f>IF(CD146="","",CD146&amp;"-"&amp;TEXT(COUNTIF($CA$72:$CA$95,CD146)+COUNTIF($CB$72:$CB$95,CD146)+COUNTIF($CC$72:$CC$95,CD146)+COUNTIF($CD$72:$CD$95,CD146)+COUNTIF($CA$100:$CA$123,CD146)+COUNTIF($CB$100:$CB$123,CD146)+COUNTIF($CC$100:$CC$123,CD146)+COUNTIF($CD$100:$CD$123,CD146)+COUNTIF($CA$128:$CA$151,CD146)+COUNTIF($CB$128:$CB$151,CD146)+COUNTIF($CC$128:$CC$151,CD146)+COUNTIF($CD$128:CD146,CD146),"000"))</f>
        <v/>
      </c>
      <c r="V146" s="9" t="str">
        <f>IF(AND($BN$24&lt;&gt;"",($BM$24+19)&lt;=$BO$24),$BN$24,"")</f>
        <v/>
      </c>
      <c r="W146" s="9" t="str">
        <f>IF(AND($BN$24&lt;&gt;"",($BM$24+19)&lt;=$BO$24),TEXT(($BM$24+19),"00"),"")</f>
        <v/>
      </c>
      <c r="X146" s="9" t="str">
        <f>IF(AND($BN$24&lt;&gt;"",($BM$24+19)&lt;=$BO$24),$BN$24&amp;"-"&amp;TEXT(($BM$24+19),"00"),"")</f>
        <v/>
      </c>
      <c r="CA146" t="str" cm="1">
        <f t="array" ref="CA146">IF(NOT(AND($BN$21&lt;&gt;"",($BM$21+19)&lt;=$BO$21)),"",IF(B146&lt;&gt;"",IF(B146="-","",B146),IF(ISNUMBER(SEARCH(":",$BP$21)),IFERROR(_xlfn.LET(_xlpm.s,_xlfn.TEXTSPLIT($BP$21,","),_xlpm.k,FIND(":",_xlpm.s),INDEX(TRIM(LEFT(_xlpm.s,_xlpm.k-1)),_xlfn.XMATCH(($BM$21+19),_xlfn.SCAN(0,--MID(_xlpm.s,_xlpm.k+1,9),_xlfn.LAMBDA(_xlpm.a,_xlpm.v,_xlpm.a+_xlpm.v)),1))),""),IF(($BM$21+19)&lt;=$BQ$21,$BP$21,""))))</f>
        <v/>
      </c>
      <c r="CB146" t="str" cm="1">
        <f t="array" ref="CB146">IF(NOT(AND($BN$22&lt;&gt;"",($BM$22+19)&lt;=$BO$22)),"",IF(H146&lt;&gt;"",IF(H146="-","",H146),IF(ISNUMBER(SEARCH(":",$BP$22)),IFERROR(_xlfn.LET(_xlpm.s,_xlfn.TEXTSPLIT($BP$22,","),_xlpm.k,FIND(":",_xlpm.s),INDEX(TRIM(LEFT(_xlpm.s,_xlpm.k-1)),_xlfn.XMATCH(($BM$22+19),_xlfn.SCAN(0,--MID(_xlpm.s,_xlpm.k+1,9),_xlfn.LAMBDA(_xlpm.a,_xlpm.v,_xlpm.a+_xlpm.v)),1))),""),IF(($BM$22+19)&lt;=$BQ$22,$BP$22,""))))</f>
        <v/>
      </c>
      <c r="CC146" t="str" cm="1">
        <f t="array" ref="CC146">IF(NOT(AND($BN$23&lt;&gt;"",($BM$23+19)&lt;=$BO$23)),"",IF(N146&lt;&gt;"",IF(N146="-","",N146),IF(ISNUMBER(SEARCH(":",$BP$23)),IFERROR(_xlfn.LET(_xlpm.s,_xlfn.TEXTSPLIT($BP$23,","),_xlpm.k,FIND(":",_xlpm.s),INDEX(TRIM(LEFT(_xlpm.s,_xlpm.k-1)),_xlfn.XMATCH(($BM$23+19),_xlfn.SCAN(0,--MID(_xlpm.s,_xlpm.k+1,9),_xlfn.LAMBDA(_xlpm.a,_xlpm.v,_xlpm.a+_xlpm.v)),1))),""),IF(($BM$23+19)&lt;=$BQ$23,$BP$23,""))))</f>
        <v/>
      </c>
      <c r="CD146" t="str" cm="1">
        <f t="array" ref="CD146">IF(NOT(AND($BN$24&lt;&gt;"",($BM$24+19)&lt;=$BO$24)),"",IF(T146&lt;&gt;"",IF(T146="-","",T146),IF(ISNUMBER(SEARCH(":",$BP$24)),IFERROR(_xlfn.LET(_xlpm.s,_xlfn.TEXTSPLIT($BP$24,","),_xlpm.k,FIND(":",_xlpm.s),INDEX(TRIM(LEFT(_xlpm.s,_xlpm.k-1)),_xlfn.XMATCH(($BM$24+19),_xlfn.SCAN(0,--MID(_xlpm.s,_xlpm.k+1,9),_xlfn.LAMBDA(_xlpm.a,_xlpm.v,_xlpm.a+_xlpm.v)),1))),""),IF(($BM$24+19)&lt;=$BQ$24,$BP$24,""))))</f>
        <v/>
      </c>
    </row>
    <row r="147" spans="2:82" hidden="1" x14ac:dyDescent="0.45">
      <c r="B147" s="6"/>
      <c r="C147" s="9" t="str">
        <f>IF(CA147="","",CA147&amp;"-"&amp;TEXT(COUNTIF($CA$72:$CA$95,CA147)+COUNTIF($CB$72:$CB$95,CA147)+COUNTIF($CC$72:$CC$95,CA147)+COUNTIF($CD$72:$CD$95,CA147)+COUNTIF($CA$100:$CA$123,CA147)+COUNTIF($CB$100:$CB$123,CA147)+COUNTIF($CC$100:$CC$123,CA147)+COUNTIF($CD$100:$CD$123,CA147)+COUNTIF($CA$128:CA147,CA147),"000"))</f>
        <v/>
      </c>
      <c r="D147" s="9" t="str">
        <f>IF(AND($BN$21&lt;&gt;"",($BM$21+20)&lt;=$BO$21),$BN$21,"")</f>
        <v/>
      </c>
      <c r="E147" s="9" t="str">
        <f>IF(AND($BN$21&lt;&gt;"",($BM$21+20)&lt;=$BO$21),TEXT(($BM$21+20),"00"),"")</f>
        <v/>
      </c>
      <c r="F147" s="9" t="str">
        <f>IF(AND($BN$21&lt;&gt;"",($BM$21+20)&lt;=$BO$21),$BN$21&amp;"-"&amp;TEXT(($BM$21+20),"00"),"")</f>
        <v/>
      </c>
      <c r="H147" s="6"/>
      <c r="I147" s="9" t="str">
        <f>IF(CB147="","",CB147&amp;"-"&amp;TEXT(COUNTIF($CA$72:$CA$95,CB147)+COUNTIF($CB$72:$CB$95,CB147)+COUNTIF($CC$72:$CC$95,CB147)+COUNTIF($CD$72:$CD$95,CB147)+COUNTIF($CA$100:$CA$123,CB147)+COUNTIF($CB$100:$CB$123,CB147)+COUNTIF($CC$100:$CC$123,CB147)+COUNTIF($CD$100:$CD$123,CB147)+COUNTIF($CA$128:$CA$151,CB147)+COUNTIF($CB$128:CB147,CB147),"000"))</f>
        <v/>
      </c>
      <c r="J147" s="9" t="str">
        <f>IF(AND($BN$22&lt;&gt;"",($BM$22+20)&lt;=$BO$22),$BN$22,"")</f>
        <v/>
      </c>
      <c r="K147" s="9" t="str">
        <f>IF(AND($BN$22&lt;&gt;"",($BM$22+20)&lt;=$BO$22),TEXT(($BM$22+20),"00"),"")</f>
        <v/>
      </c>
      <c r="L147" s="9" t="str">
        <f>IF(AND($BN$22&lt;&gt;"",($BM$22+20)&lt;=$BO$22),$BN$22&amp;"-"&amp;TEXT(($BM$22+20),"00"),"")</f>
        <v/>
      </c>
      <c r="N147" s="6"/>
      <c r="O147" s="9" t="str">
        <f>IF(CC147="","",CC147&amp;"-"&amp;TEXT(COUNTIF($CA$72:$CA$95,CC147)+COUNTIF($CB$72:$CB$95,CC147)+COUNTIF($CC$72:$CC$95,CC147)+COUNTIF($CD$72:$CD$95,CC147)+COUNTIF($CA$100:$CA$123,CC147)+COUNTIF($CB$100:$CB$123,CC147)+COUNTIF($CC$100:$CC$123,CC147)+COUNTIF($CD$100:$CD$123,CC147)+COUNTIF($CA$128:$CA$151,CC147)+COUNTIF($CB$128:$CB$151,CC147)+COUNTIF($CC$128:CC147,CC147),"000"))</f>
        <v/>
      </c>
      <c r="P147" s="9" t="str">
        <f>IF(AND($BN$23&lt;&gt;"",($BM$23+20)&lt;=$BO$23),$BN$23,"")</f>
        <v/>
      </c>
      <c r="Q147" s="9" t="str">
        <f>IF(AND($BN$23&lt;&gt;"",($BM$23+20)&lt;=$BO$23),TEXT(($BM$23+20),"00"),"")</f>
        <v/>
      </c>
      <c r="R147" s="9" t="str">
        <f>IF(AND($BN$23&lt;&gt;"",($BM$23+20)&lt;=$BO$23),$BN$23&amp;"-"&amp;TEXT(($BM$23+20),"00"),"")</f>
        <v/>
      </c>
      <c r="T147" s="6"/>
      <c r="U147" s="9" t="str">
        <f>IF(CD147="","",CD147&amp;"-"&amp;TEXT(COUNTIF($CA$72:$CA$95,CD147)+COUNTIF($CB$72:$CB$95,CD147)+COUNTIF($CC$72:$CC$95,CD147)+COUNTIF($CD$72:$CD$95,CD147)+COUNTIF($CA$100:$CA$123,CD147)+COUNTIF($CB$100:$CB$123,CD147)+COUNTIF($CC$100:$CC$123,CD147)+COUNTIF($CD$100:$CD$123,CD147)+COUNTIF($CA$128:$CA$151,CD147)+COUNTIF($CB$128:$CB$151,CD147)+COUNTIF($CC$128:$CC$151,CD147)+COUNTIF($CD$128:CD147,CD147),"000"))</f>
        <v/>
      </c>
      <c r="V147" s="9" t="str">
        <f>IF(AND($BN$24&lt;&gt;"",($BM$24+20)&lt;=$BO$24),$BN$24,"")</f>
        <v/>
      </c>
      <c r="W147" s="9" t="str">
        <f>IF(AND($BN$24&lt;&gt;"",($BM$24+20)&lt;=$BO$24),TEXT(($BM$24+20),"00"),"")</f>
        <v/>
      </c>
      <c r="X147" s="9" t="str">
        <f>IF(AND($BN$24&lt;&gt;"",($BM$24+20)&lt;=$BO$24),$BN$24&amp;"-"&amp;TEXT(($BM$24+20),"00"),"")</f>
        <v/>
      </c>
      <c r="CA147" t="str" cm="1">
        <f t="array" ref="CA147">IF(NOT(AND($BN$21&lt;&gt;"",($BM$21+20)&lt;=$BO$21)),"",IF(B147&lt;&gt;"",IF(B147="-","",B147),IF(ISNUMBER(SEARCH(":",$BP$21)),IFERROR(_xlfn.LET(_xlpm.s,_xlfn.TEXTSPLIT($BP$21,","),_xlpm.k,FIND(":",_xlpm.s),INDEX(TRIM(LEFT(_xlpm.s,_xlpm.k-1)),_xlfn.XMATCH(($BM$21+20),_xlfn.SCAN(0,--MID(_xlpm.s,_xlpm.k+1,9),_xlfn.LAMBDA(_xlpm.a,_xlpm.v,_xlpm.a+_xlpm.v)),1))),""),IF(($BM$21+20)&lt;=$BQ$21,$BP$21,""))))</f>
        <v/>
      </c>
      <c r="CB147" t="str" cm="1">
        <f t="array" ref="CB147">IF(NOT(AND($BN$22&lt;&gt;"",($BM$22+20)&lt;=$BO$22)),"",IF(H147&lt;&gt;"",IF(H147="-","",H147),IF(ISNUMBER(SEARCH(":",$BP$22)),IFERROR(_xlfn.LET(_xlpm.s,_xlfn.TEXTSPLIT($BP$22,","),_xlpm.k,FIND(":",_xlpm.s),INDEX(TRIM(LEFT(_xlpm.s,_xlpm.k-1)),_xlfn.XMATCH(($BM$22+20),_xlfn.SCAN(0,--MID(_xlpm.s,_xlpm.k+1,9),_xlfn.LAMBDA(_xlpm.a,_xlpm.v,_xlpm.a+_xlpm.v)),1))),""),IF(($BM$22+20)&lt;=$BQ$22,$BP$22,""))))</f>
        <v/>
      </c>
      <c r="CC147" t="str" cm="1">
        <f t="array" ref="CC147">IF(NOT(AND($BN$23&lt;&gt;"",($BM$23+20)&lt;=$BO$23)),"",IF(N147&lt;&gt;"",IF(N147="-","",N147),IF(ISNUMBER(SEARCH(":",$BP$23)),IFERROR(_xlfn.LET(_xlpm.s,_xlfn.TEXTSPLIT($BP$23,","),_xlpm.k,FIND(":",_xlpm.s),INDEX(TRIM(LEFT(_xlpm.s,_xlpm.k-1)),_xlfn.XMATCH(($BM$23+20),_xlfn.SCAN(0,--MID(_xlpm.s,_xlpm.k+1,9),_xlfn.LAMBDA(_xlpm.a,_xlpm.v,_xlpm.a+_xlpm.v)),1))),""),IF(($BM$23+20)&lt;=$BQ$23,$BP$23,""))))</f>
        <v/>
      </c>
      <c r="CD147" t="str" cm="1">
        <f t="array" ref="CD147">IF(NOT(AND($BN$24&lt;&gt;"",($BM$24+20)&lt;=$BO$24)),"",IF(T147&lt;&gt;"",IF(T147="-","",T147),IF(ISNUMBER(SEARCH(":",$BP$24)),IFERROR(_xlfn.LET(_xlpm.s,_xlfn.TEXTSPLIT($BP$24,","),_xlpm.k,FIND(":",_xlpm.s),INDEX(TRIM(LEFT(_xlpm.s,_xlpm.k-1)),_xlfn.XMATCH(($BM$24+20),_xlfn.SCAN(0,--MID(_xlpm.s,_xlpm.k+1,9),_xlfn.LAMBDA(_xlpm.a,_xlpm.v,_xlpm.a+_xlpm.v)),1))),""),IF(($BM$24+20)&lt;=$BQ$24,$BP$24,""))))</f>
        <v/>
      </c>
    </row>
    <row r="148" spans="2:82" hidden="1" x14ac:dyDescent="0.45">
      <c r="B148" s="6"/>
      <c r="C148" s="9" t="str">
        <f>IF(CA148="","",CA148&amp;"-"&amp;TEXT(COUNTIF($CA$72:$CA$95,CA148)+COUNTIF($CB$72:$CB$95,CA148)+COUNTIF($CC$72:$CC$95,CA148)+COUNTIF($CD$72:$CD$95,CA148)+COUNTIF($CA$100:$CA$123,CA148)+COUNTIF($CB$100:$CB$123,CA148)+COUNTIF($CC$100:$CC$123,CA148)+COUNTIF($CD$100:$CD$123,CA148)+COUNTIF($CA$128:CA148,CA148),"000"))</f>
        <v/>
      </c>
      <c r="D148" s="9" t="str">
        <f>IF(AND($BN$21&lt;&gt;"",($BM$21+21)&lt;=$BO$21),$BN$21,"")</f>
        <v/>
      </c>
      <c r="E148" s="9" t="str">
        <f>IF(AND($BN$21&lt;&gt;"",($BM$21+21)&lt;=$BO$21),TEXT(($BM$21+21),"00"),"")</f>
        <v/>
      </c>
      <c r="F148" s="9" t="str">
        <f>IF(AND($BN$21&lt;&gt;"",($BM$21+21)&lt;=$BO$21),$BN$21&amp;"-"&amp;TEXT(($BM$21+21),"00"),"")</f>
        <v/>
      </c>
      <c r="H148" s="6"/>
      <c r="I148" s="9" t="str">
        <f>IF(CB148="","",CB148&amp;"-"&amp;TEXT(COUNTIF($CA$72:$CA$95,CB148)+COUNTIF($CB$72:$CB$95,CB148)+COUNTIF($CC$72:$CC$95,CB148)+COUNTIF($CD$72:$CD$95,CB148)+COUNTIF($CA$100:$CA$123,CB148)+COUNTIF($CB$100:$CB$123,CB148)+COUNTIF($CC$100:$CC$123,CB148)+COUNTIF($CD$100:$CD$123,CB148)+COUNTIF($CA$128:$CA$151,CB148)+COUNTIF($CB$128:CB148,CB148),"000"))</f>
        <v/>
      </c>
      <c r="J148" s="9" t="str">
        <f>IF(AND($BN$22&lt;&gt;"",($BM$22+21)&lt;=$BO$22),$BN$22,"")</f>
        <v/>
      </c>
      <c r="K148" s="9" t="str">
        <f>IF(AND($BN$22&lt;&gt;"",($BM$22+21)&lt;=$BO$22),TEXT(($BM$22+21),"00"),"")</f>
        <v/>
      </c>
      <c r="L148" s="9" t="str">
        <f>IF(AND($BN$22&lt;&gt;"",($BM$22+21)&lt;=$BO$22),$BN$22&amp;"-"&amp;TEXT(($BM$22+21),"00"),"")</f>
        <v/>
      </c>
      <c r="N148" s="6"/>
      <c r="O148" s="9" t="str">
        <f>IF(CC148="","",CC148&amp;"-"&amp;TEXT(COUNTIF($CA$72:$CA$95,CC148)+COUNTIF($CB$72:$CB$95,CC148)+COUNTIF($CC$72:$CC$95,CC148)+COUNTIF($CD$72:$CD$95,CC148)+COUNTIF($CA$100:$CA$123,CC148)+COUNTIF($CB$100:$CB$123,CC148)+COUNTIF($CC$100:$CC$123,CC148)+COUNTIF($CD$100:$CD$123,CC148)+COUNTIF($CA$128:$CA$151,CC148)+COUNTIF($CB$128:$CB$151,CC148)+COUNTIF($CC$128:CC148,CC148),"000"))</f>
        <v/>
      </c>
      <c r="P148" s="9" t="str">
        <f>IF(AND($BN$23&lt;&gt;"",($BM$23+21)&lt;=$BO$23),$BN$23,"")</f>
        <v/>
      </c>
      <c r="Q148" s="9" t="str">
        <f>IF(AND($BN$23&lt;&gt;"",($BM$23+21)&lt;=$BO$23),TEXT(($BM$23+21),"00"),"")</f>
        <v/>
      </c>
      <c r="R148" s="9" t="str">
        <f>IF(AND($BN$23&lt;&gt;"",($BM$23+21)&lt;=$BO$23),$BN$23&amp;"-"&amp;TEXT(($BM$23+21),"00"),"")</f>
        <v/>
      </c>
      <c r="T148" s="6"/>
      <c r="U148" s="9" t="str">
        <f>IF(CD148="","",CD148&amp;"-"&amp;TEXT(COUNTIF($CA$72:$CA$95,CD148)+COUNTIF($CB$72:$CB$95,CD148)+COUNTIF($CC$72:$CC$95,CD148)+COUNTIF($CD$72:$CD$95,CD148)+COUNTIF($CA$100:$CA$123,CD148)+COUNTIF($CB$100:$CB$123,CD148)+COUNTIF($CC$100:$CC$123,CD148)+COUNTIF($CD$100:$CD$123,CD148)+COUNTIF($CA$128:$CA$151,CD148)+COUNTIF($CB$128:$CB$151,CD148)+COUNTIF($CC$128:$CC$151,CD148)+COUNTIF($CD$128:CD148,CD148),"000"))</f>
        <v/>
      </c>
      <c r="V148" s="9" t="str">
        <f>IF(AND($BN$24&lt;&gt;"",($BM$24+21)&lt;=$BO$24),$BN$24,"")</f>
        <v/>
      </c>
      <c r="W148" s="9" t="str">
        <f>IF(AND($BN$24&lt;&gt;"",($BM$24+21)&lt;=$BO$24),TEXT(($BM$24+21),"00"),"")</f>
        <v/>
      </c>
      <c r="X148" s="9" t="str">
        <f>IF(AND($BN$24&lt;&gt;"",($BM$24+21)&lt;=$BO$24),$BN$24&amp;"-"&amp;TEXT(($BM$24+21),"00"),"")</f>
        <v/>
      </c>
      <c r="CA148" t="str" cm="1">
        <f t="array" ref="CA148">IF(NOT(AND($BN$21&lt;&gt;"",($BM$21+21)&lt;=$BO$21)),"",IF(B148&lt;&gt;"",IF(B148="-","",B148),IF(ISNUMBER(SEARCH(":",$BP$21)),IFERROR(_xlfn.LET(_xlpm.s,_xlfn.TEXTSPLIT($BP$21,","),_xlpm.k,FIND(":",_xlpm.s),INDEX(TRIM(LEFT(_xlpm.s,_xlpm.k-1)),_xlfn.XMATCH(($BM$21+21),_xlfn.SCAN(0,--MID(_xlpm.s,_xlpm.k+1,9),_xlfn.LAMBDA(_xlpm.a,_xlpm.v,_xlpm.a+_xlpm.v)),1))),""),IF(($BM$21+21)&lt;=$BQ$21,$BP$21,""))))</f>
        <v/>
      </c>
      <c r="CB148" t="str" cm="1">
        <f t="array" ref="CB148">IF(NOT(AND($BN$22&lt;&gt;"",($BM$22+21)&lt;=$BO$22)),"",IF(H148&lt;&gt;"",IF(H148="-","",H148),IF(ISNUMBER(SEARCH(":",$BP$22)),IFERROR(_xlfn.LET(_xlpm.s,_xlfn.TEXTSPLIT($BP$22,","),_xlpm.k,FIND(":",_xlpm.s),INDEX(TRIM(LEFT(_xlpm.s,_xlpm.k-1)),_xlfn.XMATCH(($BM$22+21),_xlfn.SCAN(0,--MID(_xlpm.s,_xlpm.k+1,9),_xlfn.LAMBDA(_xlpm.a,_xlpm.v,_xlpm.a+_xlpm.v)),1))),""),IF(($BM$22+21)&lt;=$BQ$22,$BP$22,""))))</f>
        <v/>
      </c>
      <c r="CC148" t="str" cm="1">
        <f t="array" ref="CC148">IF(NOT(AND($BN$23&lt;&gt;"",($BM$23+21)&lt;=$BO$23)),"",IF(N148&lt;&gt;"",IF(N148="-","",N148),IF(ISNUMBER(SEARCH(":",$BP$23)),IFERROR(_xlfn.LET(_xlpm.s,_xlfn.TEXTSPLIT($BP$23,","),_xlpm.k,FIND(":",_xlpm.s),INDEX(TRIM(LEFT(_xlpm.s,_xlpm.k-1)),_xlfn.XMATCH(($BM$23+21),_xlfn.SCAN(0,--MID(_xlpm.s,_xlpm.k+1,9),_xlfn.LAMBDA(_xlpm.a,_xlpm.v,_xlpm.a+_xlpm.v)),1))),""),IF(($BM$23+21)&lt;=$BQ$23,$BP$23,""))))</f>
        <v/>
      </c>
      <c r="CD148" t="str" cm="1">
        <f t="array" ref="CD148">IF(NOT(AND($BN$24&lt;&gt;"",($BM$24+21)&lt;=$BO$24)),"",IF(T148&lt;&gt;"",IF(T148="-","",T148),IF(ISNUMBER(SEARCH(":",$BP$24)),IFERROR(_xlfn.LET(_xlpm.s,_xlfn.TEXTSPLIT($BP$24,","),_xlpm.k,FIND(":",_xlpm.s),INDEX(TRIM(LEFT(_xlpm.s,_xlpm.k-1)),_xlfn.XMATCH(($BM$24+21),_xlfn.SCAN(0,--MID(_xlpm.s,_xlpm.k+1,9),_xlfn.LAMBDA(_xlpm.a,_xlpm.v,_xlpm.a+_xlpm.v)),1))),""),IF(($BM$24+21)&lt;=$BQ$24,$BP$24,""))))</f>
        <v/>
      </c>
    </row>
    <row r="149" spans="2:82" hidden="1" x14ac:dyDescent="0.45">
      <c r="B149" s="6"/>
      <c r="C149" s="9" t="str">
        <f>IF(CA149="","",CA149&amp;"-"&amp;TEXT(COUNTIF($CA$72:$CA$95,CA149)+COUNTIF($CB$72:$CB$95,CA149)+COUNTIF($CC$72:$CC$95,CA149)+COUNTIF($CD$72:$CD$95,CA149)+COUNTIF($CA$100:$CA$123,CA149)+COUNTIF($CB$100:$CB$123,CA149)+COUNTIF($CC$100:$CC$123,CA149)+COUNTIF($CD$100:$CD$123,CA149)+COUNTIF($CA$128:CA149,CA149),"000"))</f>
        <v/>
      </c>
      <c r="D149" s="9" t="str">
        <f>IF(AND($BN$21&lt;&gt;"",($BM$21+22)&lt;=$BO$21),$BN$21,"")</f>
        <v/>
      </c>
      <c r="E149" s="9" t="str">
        <f>IF(AND($BN$21&lt;&gt;"",($BM$21+22)&lt;=$BO$21),TEXT(($BM$21+22),"00"),"")</f>
        <v/>
      </c>
      <c r="F149" s="9" t="str">
        <f>IF(AND($BN$21&lt;&gt;"",($BM$21+22)&lt;=$BO$21),$BN$21&amp;"-"&amp;TEXT(($BM$21+22),"00"),"")</f>
        <v/>
      </c>
      <c r="H149" s="6"/>
      <c r="I149" s="9" t="str">
        <f>IF(CB149="","",CB149&amp;"-"&amp;TEXT(COUNTIF($CA$72:$CA$95,CB149)+COUNTIF($CB$72:$CB$95,CB149)+COUNTIF($CC$72:$CC$95,CB149)+COUNTIF($CD$72:$CD$95,CB149)+COUNTIF($CA$100:$CA$123,CB149)+COUNTIF($CB$100:$CB$123,CB149)+COUNTIF($CC$100:$CC$123,CB149)+COUNTIF($CD$100:$CD$123,CB149)+COUNTIF($CA$128:$CA$151,CB149)+COUNTIF($CB$128:CB149,CB149),"000"))</f>
        <v/>
      </c>
      <c r="J149" s="9" t="str">
        <f>IF(AND($BN$22&lt;&gt;"",($BM$22+22)&lt;=$BO$22),$BN$22,"")</f>
        <v/>
      </c>
      <c r="K149" s="9" t="str">
        <f>IF(AND($BN$22&lt;&gt;"",($BM$22+22)&lt;=$BO$22),TEXT(($BM$22+22),"00"),"")</f>
        <v/>
      </c>
      <c r="L149" s="9" t="str">
        <f>IF(AND($BN$22&lt;&gt;"",($BM$22+22)&lt;=$BO$22),$BN$22&amp;"-"&amp;TEXT(($BM$22+22),"00"),"")</f>
        <v/>
      </c>
      <c r="N149" s="6"/>
      <c r="O149" s="9" t="str">
        <f>IF(CC149="","",CC149&amp;"-"&amp;TEXT(COUNTIF($CA$72:$CA$95,CC149)+COUNTIF($CB$72:$CB$95,CC149)+COUNTIF($CC$72:$CC$95,CC149)+COUNTIF($CD$72:$CD$95,CC149)+COUNTIF($CA$100:$CA$123,CC149)+COUNTIF($CB$100:$CB$123,CC149)+COUNTIF($CC$100:$CC$123,CC149)+COUNTIF($CD$100:$CD$123,CC149)+COUNTIF($CA$128:$CA$151,CC149)+COUNTIF($CB$128:$CB$151,CC149)+COUNTIF($CC$128:CC149,CC149),"000"))</f>
        <v/>
      </c>
      <c r="P149" s="9" t="str">
        <f>IF(AND($BN$23&lt;&gt;"",($BM$23+22)&lt;=$BO$23),$BN$23,"")</f>
        <v/>
      </c>
      <c r="Q149" s="9" t="str">
        <f>IF(AND($BN$23&lt;&gt;"",($BM$23+22)&lt;=$BO$23),TEXT(($BM$23+22),"00"),"")</f>
        <v/>
      </c>
      <c r="R149" s="9" t="str">
        <f>IF(AND($BN$23&lt;&gt;"",($BM$23+22)&lt;=$BO$23),$BN$23&amp;"-"&amp;TEXT(($BM$23+22),"00"),"")</f>
        <v/>
      </c>
      <c r="T149" s="6"/>
      <c r="U149" s="9" t="str">
        <f>IF(CD149="","",CD149&amp;"-"&amp;TEXT(COUNTIF($CA$72:$CA$95,CD149)+COUNTIF($CB$72:$CB$95,CD149)+COUNTIF($CC$72:$CC$95,CD149)+COUNTIF($CD$72:$CD$95,CD149)+COUNTIF($CA$100:$CA$123,CD149)+COUNTIF($CB$100:$CB$123,CD149)+COUNTIF($CC$100:$CC$123,CD149)+COUNTIF($CD$100:$CD$123,CD149)+COUNTIF($CA$128:$CA$151,CD149)+COUNTIF($CB$128:$CB$151,CD149)+COUNTIF($CC$128:$CC$151,CD149)+COUNTIF($CD$128:CD149,CD149),"000"))</f>
        <v/>
      </c>
      <c r="V149" s="9" t="str">
        <f>IF(AND($BN$24&lt;&gt;"",($BM$24+22)&lt;=$BO$24),$BN$24,"")</f>
        <v/>
      </c>
      <c r="W149" s="9" t="str">
        <f>IF(AND($BN$24&lt;&gt;"",($BM$24+22)&lt;=$BO$24),TEXT(($BM$24+22),"00"),"")</f>
        <v/>
      </c>
      <c r="X149" s="9" t="str">
        <f>IF(AND($BN$24&lt;&gt;"",($BM$24+22)&lt;=$BO$24),$BN$24&amp;"-"&amp;TEXT(($BM$24+22),"00"),"")</f>
        <v/>
      </c>
      <c r="CA149" t="str" cm="1">
        <f t="array" ref="CA149">IF(NOT(AND($BN$21&lt;&gt;"",($BM$21+22)&lt;=$BO$21)),"",IF(B149&lt;&gt;"",IF(B149="-","",B149),IF(ISNUMBER(SEARCH(":",$BP$21)),IFERROR(_xlfn.LET(_xlpm.s,_xlfn.TEXTSPLIT($BP$21,","),_xlpm.k,FIND(":",_xlpm.s),INDEX(TRIM(LEFT(_xlpm.s,_xlpm.k-1)),_xlfn.XMATCH(($BM$21+22),_xlfn.SCAN(0,--MID(_xlpm.s,_xlpm.k+1,9),_xlfn.LAMBDA(_xlpm.a,_xlpm.v,_xlpm.a+_xlpm.v)),1))),""),IF(($BM$21+22)&lt;=$BQ$21,$BP$21,""))))</f>
        <v/>
      </c>
      <c r="CB149" t="str" cm="1">
        <f t="array" ref="CB149">IF(NOT(AND($BN$22&lt;&gt;"",($BM$22+22)&lt;=$BO$22)),"",IF(H149&lt;&gt;"",IF(H149="-","",H149),IF(ISNUMBER(SEARCH(":",$BP$22)),IFERROR(_xlfn.LET(_xlpm.s,_xlfn.TEXTSPLIT($BP$22,","),_xlpm.k,FIND(":",_xlpm.s),INDEX(TRIM(LEFT(_xlpm.s,_xlpm.k-1)),_xlfn.XMATCH(($BM$22+22),_xlfn.SCAN(0,--MID(_xlpm.s,_xlpm.k+1,9),_xlfn.LAMBDA(_xlpm.a,_xlpm.v,_xlpm.a+_xlpm.v)),1))),""),IF(($BM$22+22)&lt;=$BQ$22,$BP$22,""))))</f>
        <v/>
      </c>
      <c r="CC149" t="str" cm="1">
        <f t="array" ref="CC149">IF(NOT(AND($BN$23&lt;&gt;"",($BM$23+22)&lt;=$BO$23)),"",IF(N149&lt;&gt;"",IF(N149="-","",N149),IF(ISNUMBER(SEARCH(":",$BP$23)),IFERROR(_xlfn.LET(_xlpm.s,_xlfn.TEXTSPLIT($BP$23,","),_xlpm.k,FIND(":",_xlpm.s),INDEX(TRIM(LEFT(_xlpm.s,_xlpm.k-1)),_xlfn.XMATCH(($BM$23+22),_xlfn.SCAN(0,--MID(_xlpm.s,_xlpm.k+1,9),_xlfn.LAMBDA(_xlpm.a,_xlpm.v,_xlpm.a+_xlpm.v)),1))),""),IF(($BM$23+22)&lt;=$BQ$23,$BP$23,""))))</f>
        <v/>
      </c>
      <c r="CD149" t="str" cm="1">
        <f t="array" ref="CD149">IF(NOT(AND($BN$24&lt;&gt;"",($BM$24+22)&lt;=$BO$24)),"",IF(T149&lt;&gt;"",IF(T149="-","",T149),IF(ISNUMBER(SEARCH(":",$BP$24)),IFERROR(_xlfn.LET(_xlpm.s,_xlfn.TEXTSPLIT($BP$24,","),_xlpm.k,FIND(":",_xlpm.s),INDEX(TRIM(LEFT(_xlpm.s,_xlpm.k-1)),_xlfn.XMATCH(($BM$24+22),_xlfn.SCAN(0,--MID(_xlpm.s,_xlpm.k+1,9),_xlfn.LAMBDA(_xlpm.a,_xlpm.v,_xlpm.a+_xlpm.v)),1))),""),IF(($BM$24+22)&lt;=$BQ$24,$BP$24,""))))</f>
        <v/>
      </c>
    </row>
    <row r="150" spans="2:82" hidden="1" x14ac:dyDescent="0.45">
      <c r="B150" s="6"/>
      <c r="C150" s="9" t="str">
        <f>IF(CA150="","",CA150&amp;"-"&amp;TEXT(COUNTIF($CA$72:$CA$95,CA150)+COUNTIF($CB$72:$CB$95,CA150)+COUNTIF($CC$72:$CC$95,CA150)+COUNTIF($CD$72:$CD$95,CA150)+COUNTIF($CA$100:$CA$123,CA150)+COUNTIF($CB$100:$CB$123,CA150)+COUNTIF($CC$100:$CC$123,CA150)+COUNTIF($CD$100:$CD$123,CA150)+COUNTIF($CA$128:CA150,CA150),"000"))</f>
        <v/>
      </c>
      <c r="D150" s="9" t="str">
        <f>IF(AND($BN$21&lt;&gt;"",($BM$21+23)&lt;=$BO$21),$BN$21,"")</f>
        <v/>
      </c>
      <c r="E150" s="9" t="str">
        <f>IF(AND($BN$21&lt;&gt;"",($BM$21+23)&lt;=$BO$21),TEXT(($BM$21+23),"00"),"")</f>
        <v/>
      </c>
      <c r="F150" s="9" t="str">
        <f>IF(AND($BN$21&lt;&gt;"",($BM$21+23)&lt;=$BO$21),$BN$21&amp;"-"&amp;TEXT(($BM$21+23),"00"),"")</f>
        <v/>
      </c>
      <c r="H150" s="6"/>
      <c r="I150" s="9" t="str">
        <f>IF(CB150="","",CB150&amp;"-"&amp;TEXT(COUNTIF($CA$72:$CA$95,CB150)+COUNTIF($CB$72:$CB$95,CB150)+COUNTIF($CC$72:$CC$95,CB150)+COUNTIF($CD$72:$CD$95,CB150)+COUNTIF($CA$100:$CA$123,CB150)+COUNTIF($CB$100:$CB$123,CB150)+COUNTIF($CC$100:$CC$123,CB150)+COUNTIF($CD$100:$CD$123,CB150)+COUNTIF($CA$128:$CA$151,CB150)+COUNTIF($CB$128:CB150,CB150),"000"))</f>
        <v/>
      </c>
      <c r="J150" s="9" t="str">
        <f>IF(AND($BN$22&lt;&gt;"",($BM$22+23)&lt;=$BO$22),$BN$22,"")</f>
        <v/>
      </c>
      <c r="K150" s="9" t="str">
        <f>IF(AND($BN$22&lt;&gt;"",($BM$22+23)&lt;=$BO$22),TEXT(($BM$22+23),"00"),"")</f>
        <v/>
      </c>
      <c r="L150" s="9" t="str">
        <f>IF(AND($BN$22&lt;&gt;"",($BM$22+23)&lt;=$BO$22),$BN$22&amp;"-"&amp;TEXT(($BM$22+23),"00"),"")</f>
        <v/>
      </c>
      <c r="N150" s="6"/>
      <c r="O150" s="9" t="str">
        <f>IF(CC150="","",CC150&amp;"-"&amp;TEXT(COUNTIF($CA$72:$CA$95,CC150)+COUNTIF($CB$72:$CB$95,CC150)+COUNTIF($CC$72:$CC$95,CC150)+COUNTIF($CD$72:$CD$95,CC150)+COUNTIF($CA$100:$CA$123,CC150)+COUNTIF($CB$100:$CB$123,CC150)+COUNTIF($CC$100:$CC$123,CC150)+COUNTIF($CD$100:$CD$123,CC150)+COUNTIF($CA$128:$CA$151,CC150)+COUNTIF($CB$128:$CB$151,CC150)+COUNTIF($CC$128:CC150,CC150),"000"))</f>
        <v/>
      </c>
      <c r="P150" s="9" t="str">
        <f>IF(AND($BN$23&lt;&gt;"",($BM$23+23)&lt;=$BO$23),$BN$23,"")</f>
        <v/>
      </c>
      <c r="Q150" s="9" t="str">
        <f>IF(AND($BN$23&lt;&gt;"",($BM$23+23)&lt;=$BO$23),TEXT(($BM$23+23),"00"),"")</f>
        <v/>
      </c>
      <c r="R150" s="9" t="str">
        <f>IF(AND($BN$23&lt;&gt;"",($BM$23+23)&lt;=$BO$23),$BN$23&amp;"-"&amp;TEXT(($BM$23+23),"00"),"")</f>
        <v/>
      </c>
      <c r="T150" s="6"/>
      <c r="U150" s="9" t="str">
        <f>IF(CD150="","",CD150&amp;"-"&amp;TEXT(COUNTIF($CA$72:$CA$95,CD150)+COUNTIF($CB$72:$CB$95,CD150)+COUNTIF($CC$72:$CC$95,CD150)+COUNTIF($CD$72:$CD$95,CD150)+COUNTIF($CA$100:$CA$123,CD150)+COUNTIF($CB$100:$CB$123,CD150)+COUNTIF($CC$100:$CC$123,CD150)+COUNTIF($CD$100:$CD$123,CD150)+COUNTIF($CA$128:$CA$151,CD150)+COUNTIF($CB$128:$CB$151,CD150)+COUNTIF($CC$128:$CC$151,CD150)+COUNTIF($CD$128:CD150,CD150),"000"))</f>
        <v/>
      </c>
      <c r="V150" s="9" t="str">
        <f>IF(AND($BN$24&lt;&gt;"",($BM$24+23)&lt;=$BO$24),$BN$24,"")</f>
        <v/>
      </c>
      <c r="W150" s="9" t="str">
        <f>IF(AND($BN$24&lt;&gt;"",($BM$24+23)&lt;=$BO$24),TEXT(($BM$24+23),"00"),"")</f>
        <v/>
      </c>
      <c r="X150" s="9" t="str">
        <f>IF(AND($BN$24&lt;&gt;"",($BM$24+23)&lt;=$BO$24),$BN$24&amp;"-"&amp;TEXT(($BM$24+23),"00"),"")</f>
        <v/>
      </c>
      <c r="CA150" t="str" cm="1">
        <f t="array" ref="CA150">IF(NOT(AND($BN$21&lt;&gt;"",($BM$21+23)&lt;=$BO$21)),"",IF(B150&lt;&gt;"",IF(B150="-","",B150),IF(ISNUMBER(SEARCH(":",$BP$21)),IFERROR(_xlfn.LET(_xlpm.s,_xlfn.TEXTSPLIT($BP$21,","),_xlpm.k,FIND(":",_xlpm.s),INDEX(TRIM(LEFT(_xlpm.s,_xlpm.k-1)),_xlfn.XMATCH(($BM$21+23),_xlfn.SCAN(0,--MID(_xlpm.s,_xlpm.k+1,9),_xlfn.LAMBDA(_xlpm.a,_xlpm.v,_xlpm.a+_xlpm.v)),1))),""),IF(($BM$21+23)&lt;=$BQ$21,$BP$21,""))))</f>
        <v/>
      </c>
      <c r="CB150" t="str" cm="1">
        <f t="array" ref="CB150">IF(NOT(AND($BN$22&lt;&gt;"",($BM$22+23)&lt;=$BO$22)),"",IF(H150&lt;&gt;"",IF(H150="-","",H150),IF(ISNUMBER(SEARCH(":",$BP$22)),IFERROR(_xlfn.LET(_xlpm.s,_xlfn.TEXTSPLIT($BP$22,","),_xlpm.k,FIND(":",_xlpm.s),INDEX(TRIM(LEFT(_xlpm.s,_xlpm.k-1)),_xlfn.XMATCH(($BM$22+23),_xlfn.SCAN(0,--MID(_xlpm.s,_xlpm.k+1,9),_xlfn.LAMBDA(_xlpm.a,_xlpm.v,_xlpm.a+_xlpm.v)),1))),""),IF(($BM$22+23)&lt;=$BQ$22,$BP$22,""))))</f>
        <v/>
      </c>
      <c r="CC150" t="str" cm="1">
        <f t="array" ref="CC150">IF(NOT(AND($BN$23&lt;&gt;"",($BM$23+23)&lt;=$BO$23)),"",IF(N150&lt;&gt;"",IF(N150="-","",N150),IF(ISNUMBER(SEARCH(":",$BP$23)),IFERROR(_xlfn.LET(_xlpm.s,_xlfn.TEXTSPLIT($BP$23,","),_xlpm.k,FIND(":",_xlpm.s),INDEX(TRIM(LEFT(_xlpm.s,_xlpm.k-1)),_xlfn.XMATCH(($BM$23+23),_xlfn.SCAN(0,--MID(_xlpm.s,_xlpm.k+1,9),_xlfn.LAMBDA(_xlpm.a,_xlpm.v,_xlpm.a+_xlpm.v)),1))),""),IF(($BM$23+23)&lt;=$BQ$23,$BP$23,""))))</f>
        <v/>
      </c>
      <c r="CD150" t="str" cm="1">
        <f t="array" ref="CD150">IF(NOT(AND($BN$24&lt;&gt;"",($BM$24+23)&lt;=$BO$24)),"",IF(T150&lt;&gt;"",IF(T150="-","",T150),IF(ISNUMBER(SEARCH(":",$BP$24)),IFERROR(_xlfn.LET(_xlpm.s,_xlfn.TEXTSPLIT($BP$24,","),_xlpm.k,FIND(":",_xlpm.s),INDEX(TRIM(LEFT(_xlpm.s,_xlpm.k-1)),_xlfn.XMATCH(($BM$24+23),_xlfn.SCAN(0,--MID(_xlpm.s,_xlpm.k+1,9),_xlfn.LAMBDA(_xlpm.a,_xlpm.v,_xlpm.a+_xlpm.v)),1))),""),IF(($BM$24+23)&lt;=$BQ$24,$BP$24,""))))</f>
        <v/>
      </c>
    </row>
    <row r="151" spans="2:82" hidden="1" x14ac:dyDescent="0.45">
      <c r="B151" s="6"/>
      <c r="C151" s="9" t="str">
        <f>IF(CA151="","",CA151&amp;"-"&amp;TEXT(COUNTIF($CA$72:$CA$95,CA151)+COUNTIF($CB$72:$CB$95,CA151)+COUNTIF($CC$72:$CC$95,CA151)+COUNTIF($CD$72:$CD$95,CA151)+COUNTIF($CA$100:$CA$123,CA151)+COUNTIF($CB$100:$CB$123,CA151)+COUNTIF($CC$100:$CC$123,CA151)+COUNTIF($CD$100:$CD$123,CA151)+COUNTIF($CA$128:CA151,CA151),"000"))</f>
        <v/>
      </c>
      <c r="D151" s="9" t="str">
        <f>IF(AND($BN$21&lt;&gt;"",($BM$21+24)&lt;=$BO$21),$BN$21,"")</f>
        <v/>
      </c>
      <c r="E151" s="9" t="str">
        <f>IF(AND($BN$21&lt;&gt;"",($BM$21+24)&lt;=$BO$21),TEXT(($BM$21+24),"00"),"")</f>
        <v/>
      </c>
      <c r="F151" s="9" t="str">
        <f>IF(AND($BN$21&lt;&gt;"",($BM$21+24)&lt;=$BO$21),$BN$21&amp;"-"&amp;TEXT(($BM$21+24),"00"),"")</f>
        <v/>
      </c>
      <c r="H151" s="6"/>
      <c r="I151" s="9" t="str">
        <f>IF(CB151="","",CB151&amp;"-"&amp;TEXT(COUNTIF($CA$72:$CA$95,CB151)+COUNTIF($CB$72:$CB$95,CB151)+COUNTIF($CC$72:$CC$95,CB151)+COUNTIF($CD$72:$CD$95,CB151)+COUNTIF($CA$100:$CA$123,CB151)+COUNTIF($CB$100:$CB$123,CB151)+COUNTIF($CC$100:$CC$123,CB151)+COUNTIF($CD$100:$CD$123,CB151)+COUNTIF($CA$128:$CA$151,CB151)+COUNTIF($CB$128:CB151,CB151),"000"))</f>
        <v/>
      </c>
      <c r="J151" s="9" t="str">
        <f>IF(AND($BN$22&lt;&gt;"",($BM$22+24)&lt;=$BO$22),$BN$22,"")</f>
        <v/>
      </c>
      <c r="K151" s="9" t="str">
        <f>IF(AND($BN$22&lt;&gt;"",($BM$22+24)&lt;=$BO$22),TEXT(($BM$22+24),"00"),"")</f>
        <v/>
      </c>
      <c r="L151" s="9" t="str">
        <f>IF(AND($BN$22&lt;&gt;"",($BM$22+24)&lt;=$BO$22),$BN$22&amp;"-"&amp;TEXT(($BM$22+24),"00"),"")</f>
        <v/>
      </c>
      <c r="N151" s="6"/>
      <c r="O151" s="9" t="str">
        <f>IF(CC151="","",CC151&amp;"-"&amp;TEXT(COUNTIF($CA$72:$CA$95,CC151)+COUNTIF($CB$72:$CB$95,CC151)+COUNTIF($CC$72:$CC$95,CC151)+COUNTIF($CD$72:$CD$95,CC151)+COUNTIF($CA$100:$CA$123,CC151)+COUNTIF($CB$100:$CB$123,CC151)+COUNTIF($CC$100:$CC$123,CC151)+COUNTIF($CD$100:$CD$123,CC151)+COUNTIF($CA$128:$CA$151,CC151)+COUNTIF($CB$128:$CB$151,CC151)+COUNTIF($CC$128:CC151,CC151),"000"))</f>
        <v/>
      </c>
      <c r="P151" s="9" t="str">
        <f>IF(AND($BN$23&lt;&gt;"",($BM$23+24)&lt;=$BO$23),$BN$23,"")</f>
        <v/>
      </c>
      <c r="Q151" s="9" t="str">
        <f>IF(AND($BN$23&lt;&gt;"",($BM$23+24)&lt;=$BO$23),TEXT(($BM$23+24),"00"),"")</f>
        <v/>
      </c>
      <c r="R151" s="9" t="str">
        <f>IF(AND($BN$23&lt;&gt;"",($BM$23+24)&lt;=$BO$23),$BN$23&amp;"-"&amp;TEXT(($BM$23+24),"00"),"")</f>
        <v/>
      </c>
      <c r="T151" s="6"/>
      <c r="U151" s="9" t="str">
        <f>IF(CD151="","",CD151&amp;"-"&amp;TEXT(COUNTIF($CA$72:$CA$95,CD151)+COUNTIF($CB$72:$CB$95,CD151)+COUNTIF($CC$72:$CC$95,CD151)+COUNTIF($CD$72:$CD$95,CD151)+COUNTIF($CA$100:$CA$123,CD151)+COUNTIF($CB$100:$CB$123,CD151)+COUNTIF($CC$100:$CC$123,CD151)+COUNTIF($CD$100:$CD$123,CD151)+COUNTIF($CA$128:$CA$151,CD151)+COUNTIF($CB$128:$CB$151,CD151)+COUNTIF($CC$128:$CC$151,CD151)+COUNTIF($CD$128:CD151,CD151),"000"))</f>
        <v/>
      </c>
      <c r="V151" s="9" t="str">
        <f>IF(AND($BN$24&lt;&gt;"",($BM$24+24)&lt;=$BO$24),$BN$24,"")</f>
        <v/>
      </c>
      <c r="W151" s="9" t="str">
        <f>IF(AND($BN$24&lt;&gt;"",($BM$24+24)&lt;=$BO$24),TEXT(($BM$24+24),"00"),"")</f>
        <v/>
      </c>
      <c r="X151" s="9" t="str">
        <f>IF(AND($BN$24&lt;&gt;"",($BM$24+24)&lt;=$BO$24),$BN$24&amp;"-"&amp;TEXT(($BM$24+24),"00"),"")</f>
        <v/>
      </c>
      <c r="CA151" t="str" cm="1">
        <f t="array" ref="CA151">IF(NOT(AND($BN$21&lt;&gt;"",($BM$21+24)&lt;=$BO$21)),"",IF(B151&lt;&gt;"",IF(B151="-","",B151),IF(ISNUMBER(SEARCH(":",$BP$21)),IFERROR(_xlfn.LET(_xlpm.s,_xlfn.TEXTSPLIT($BP$21,","),_xlpm.k,FIND(":",_xlpm.s),INDEX(TRIM(LEFT(_xlpm.s,_xlpm.k-1)),_xlfn.XMATCH(($BM$21+24),_xlfn.SCAN(0,--MID(_xlpm.s,_xlpm.k+1,9),_xlfn.LAMBDA(_xlpm.a,_xlpm.v,_xlpm.a+_xlpm.v)),1))),""),IF(($BM$21+24)&lt;=$BQ$21,$BP$21,""))))</f>
        <v/>
      </c>
      <c r="CB151" t="str" cm="1">
        <f t="array" ref="CB151">IF(NOT(AND($BN$22&lt;&gt;"",($BM$22+24)&lt;=$BO$22)),"",IF(H151&lt;&gt;"",IF(H151="-","",H151),IF(ISNUMBER(SEARCH(":",$BP$22)),IFERROR(_xlfn.LET(_xlpm.s,_xlfn.TEXTSPLIT($BP$22,","),_xlpm.k,FIND(":",_xlpm.s),INDEX(TRIM(LEFT(_xlpm.s,_xlpm.k-1)),_xlfn.XMATCH(($BM$22+24),_xlfn.SCAN(0,--MID(_xlpm.s,_xlpm.k+1,9),_xlfn.LAMBDA(_xlpm.a,_xlpm.v,_xlpm.a+_xlpm.v)),1))),""),IF(($BM$22+24)&lt;=$BQ$22,$BP$22,""))))</f>
        <v/>
      </c>
      <c r="CC151" t="str" cm="1">
        <f t="array" ref="CC151">IF(NOT(AND($BN$23&lt;&gt;"",($BM$23+24)&lt;=$BO$23)),"",IF(N151&lt;&gt;"",IF(N151="-","",N151),IF(ISNUMBER(SEARCH(":",$BP$23)),IFERROR(_xlfn.LET(_xlpm.s,_xlfn.TEXTSPLIT($BP$23,","),_xlpm.k,FIND(":",_xlpm.s),INDEX(TRIM(LEFT(_xlpm.s,_xlpm.k-1)),_xlfn.XMATCH(($BM$23+24),_xlfn.SCAN(0,--MID(_xlpm.s,_xlpm.k+1,9),_xlfn.LAMBDA(_xlpm.a,_xlpm.v,_xlpm.a+_xlpm.v)),1))),""),IF(($BM$23+24)&lt;=$BQ$23,$BP$23,""))))</f>
        <v/>
      </c>
      <c r="CD151" t="str" cm="1">
        <f t="array" ref="CD151">IF(NOT(AND($BN$24&lt;&gt;"",($BM$24+24)&lt;=$BO$24)),"",IF(T151&lt;&gt;"",IF(T151="-","",T151),IF(ISNUMBER(SEARCH(":",$BP$24)),IFERROR(_xlfn.LET(_xlpm.s,_xlfn.TEXTSPLIT($BP$24,","),_xlpm.k,FIND(":",_xlpm.s),INDEX(TRIM(LEFT(_xlpm.s,_xlpm.k-1)),_xlfn.XMATCH(($BM$24+24),_xlfn.SCAN(0,--MID(_xlpm.s,_xlpm.k+1,9),_xlfn.LAMBDA(_xlpm.a,_xlpm.v,_xlpm.a+_xlpm.v)),1))),""),IF(($BM$24+24)&lt;=$BQ$24,$BP$24,""))))</f>
        <v/>
      </c>
    </row>
    <row r="152" spans="2:82" hidden="1" x14ac:dyDescent="0.45"/>
    <row r="153" spans="2:82" hidden="1" x14ac:dyDescent="0.45"/>
    <row r="154" spans="2:82" hidden="1" x14ac:dyDescent="0.45">
      <c r="B154" s="51" t="str">
        <f>IF($BN$25="","Bloque 13 — sin panel","Panel "&amp;$BN$25&amp;"  (puertos "&amp;($BM$25+1)&amp;"-"&amp;MIN($BM$25+24,$BO$25)&amp;")"&amp;IF($BP$25&lt;&gt;"","  · "&amp;$BP$25,"")&amp;"  · "&amp;TEXT(IFERROR(INDEX($BS$13:$BS$28,$BL$25)/$BO$25,0),"0%"))</f>
        <v>Bloque 13 — sin panel</v>
      </c>
      <c r="C154" s="40"/>
      <c r="D154" s="40"/>
      <c r="E154" s="40"/>
      <c r="F154" s="40"/>
      <c r="H154" s="51" t="str">
        <f>IF($BN$26="","Bloque 14 — sin panel","Panel "&amp;$BN$26&amp;"  (puertos "&amp;($BM$26+1)&amp;"-"&amp;MIN($BM$26+24,$BO$26)&amp;")"&amp;IF($BP$26&lt;&gt;"","  · "&amp;$BP$26,"")&amp;"  · "&amp;TEXT(IFERROR(INDEX($BS$13:$BS$28,$BL$26)/$BO$26,0),"0%"))</f>
        <v>Bloque 14 — sin panel</v>
      </c>
      <c r="I154" s="40"/>
      <c r="J154" s="40"/>
      <c r="K154" s="40"/>
      <c r="L154" s="40"/>
      <c r="N154" s="51" t="str">
        <f>IF($BN$27="","Bloque 15 — sin panel","Panel "&amp;$BN$27&amp;"  (puertos "&amp;($BM$27+1)&amp;"-"&amp;MIN($BM$27+24,$BO$27)&amp;")"&amp;IF($BP$27&lt;&gt;"","  · "&amp;$BP$27,"")&amp;"  · "&amp;TEXT(IFERROR(INDEX($BS$13:$BS$28,$BL$27)/$BO$27,0),"0%"))</f>
        <v>Bloque 15 — sin panel</v>
      </c>
      <c r="O154" s="40"/>
      <c r="P154" s="40"/>
      <c r="Q154" s="40"/>
      <c r="R154" s="40"/>
      <c r="T154" s="51" t="str">
        <f>IF($BN$28="","Bloque 16 — sin panel","Panel "&amp;$BN$28&amp;"  (puertos "&amp;($BM$28+1)&amp;"-"&amp;MIN($BM$28+24,$BO$28)&amp;")"&amp;IF($BP$28&lt;&gt;"","  · "&amp;$BP$28,"")&amp;"  · "&amp;TEXT(IFERROR(INDEX($BS$13:$BS$28,$BL$28)/$BO$28,0),"0%"))</f>
        <v>Bloque 16 — sin panel</v>
      </c>
      <c r="U154" s="40"/>
      <c r="V154" s="40"/>
      <c r="W154" s="40"/>
      <c r="X154" s="40"/>
    </row>
    <row r="155" spans="2:82" hidden="1" x14ac:dyDescent="0.45">
      <c r="B155" s="5" t="s">
        <v>410</v>
      </c>
      <c r="C155" s="5" t="s">
        <v>411</v>
      </c>
      <c r="D155" s="5" t="s">
        <v>389</v>
      </c>
      <c r="E155" s="5" t="s">
        <v>412</v>
      </c>
      <c r="F155" s="5" t="s">
        <v>413</v>
      </c>
      <c r="H155" s="5" t="s">
        <v>410</v>
      </c>
      <c r="I155" s="5" t="s">
        <v>411</v>
      </c>
      <c r="J155" s="5" t="s">
        <v>389</v>
      </c>
      <c r="K155" s="5" t="s">
        <v>412</v>
      </c>
      <c r="L155" s="5" t="s">
        <v>413</v>
      </c>
      <c r="N155" s="5" t="s">
        <v>410</v>
      </c>
      <c r="O155" s="5" t="s">
        <v>411</v>
      </c>
      <c r="P155" s="5" t="s">
        <v>389</v>
      </c>
      <c r="Q155" s="5" t="s">
        <v>412</v>
      </c>
      <c r="R155" s="5" t="s">
        <v>413</v>
      </c>
      <c r="T155" s="5" t="s">
        <v>410</v>
      </c>
      <c r="U155" s="5" t="s">
        <v>411</v>
      </c>
      <c r="V155" s="5" t="s">
        <v>389</v>
      </c>
      <c r="W155" s="5" t="s">
        <v>412</v>
      </c>
      <c r="X155" s="5" t="s">
        <v>413</v>
      </c>
    </row>
    <row r="156" spans="2:82" hidden="1" x14ac:dyDescent="0.45">
      <c r="B156" s="6"/>
      <c r="C156" s="9" t="str">
        <f>IF(CA156="","",CA156&amp;"-"&amp;TEXT(COUNTIF($CA$72:$CA$95,CA156)+COUNTIF($CB$72:$CB$95,CA156)+COUNTIF($CC$72:$CC$95,CA156)+COUNTIF($CD$72:$CD$95,CA156)+COUNTIF($CA$100:$CA$123,CA156)+COUNTIF($CB$100:$CB$123,CA156)+COUNTIF($CC$100:$CC$123,CA156)+COUNTIF($CD$100:$CD$123,CA156)+COUNTIF($CA$128:$CA$151,CA156)+COUNTIF($CB$128:$CB$151,CA156)+COUNTIF($CC$128:$CC$151,CA156)+COUNTIF($CD$128:$CD$151,CA156)+COUNTIF($CA$156:CA156,CA156),"000"))</f>
        <v/>
      </c>
      <c r="D156" s="9" t="str">
        <f>IF(AND($BN$25&lt;&gt;"",($BM$25+1)&lt;=$BO$25),$BN$25,"")</f>
        <v/>
      </c>
      <c r="E156" s="9" t="str">
        <f>IF(AND($BN$25&lt;&gt;"",($BM$25+1)&lt;=$BO$25),TEXT(($BM$25+1),"00"),"")</f>
        <v/>
      </c>
      <c r="F156" s="9" t="str">
        <f>IF(AND($BN$25&lt;&gt;"",($BM$25+1)&lt;=$BO$25),$BN$25&amp;"-"&amp;TEXT(($BM$25+1),"00"),"")</f>
        <v/>
      </c>
      <c r="H156" s="6"/>
      <c r="I156" s="9" t="str">
        <f>IF(CB156="","",CB156&amp;"-"&amp;TEXT(COUNTIF($CA$72:$CA$95,CB156)+COUNTIF($CB$72:$CB$95,CB156)+COUNTIF($CC$72:$CC$95,CB156)+COUNTIF($CD$72:$CD$95,CB156)+COUNTIF($CA$100:$CA$123,CB156)+COUNTIF($CB$100:$CB$123,CB156)+COUNTIF($CC$100:$CC$123,CB156)+COUNTIF($CD$100:$CD$123,CB156)+COUNTIF($CA$128:$CA$151,CB156)+COUNTIF($CB$128:$CB$151,CB156)+COUNTIF($CC$128:$CC$151,CB156)+COUNTIF($CD$128:$CD$151,CB156)+COUNTIF($CA$156:$CA$179,CB156)+COUNTIF($CB$156:CB156,CB156),"000"))</f>
        <v/>
      </c>
      <c r="J156" s="9" t="str">
        <f>IF(AND($BN$26&lt;&gt;"",($BM$26+1)&lt;=$BO$26),$BN$26,"")</f>
        <v/>
      </c>
      <c r="K156" s="9" t="str">
        <f>IF(AND($BN$26&lt;&gt;"",($BM$26+1)&lt;=$BO$26),TEXT(($BM$26+1),"00"),"")</f>
        <v/>
      </c>
      <c r="L156" s="9" t="str">
        <f>IF(AND($BN$26&lt;&gt;"",($BM$26+1)&lt;=$BO$26),$BN$26&amp;"-"&amp;TEXT(($BM$26+1),"00"),"")</f>
        <v/>
      </c>
      <c r="N156" s="6"/>
      <c r="O156" s="9" t="str">
        <f>IF(CC156="","",CC156&amp;"-"&amp;TEXT(COUNTIF($CA$72:$CA$95,CC156)+COUNTIF($CB$72:$CB$95,CC156)+COUNTIF($CC$72:$CC$95,CC156)+COUNTIF($CD$72:$CD$95,CC156)+COUNTIF($CA$100:$CA$123,CC156)+COUNTIF($CB$100:$CB$123,CC156)+COUNTIF($CC$100:$CC$123,CC156)+COUNTIF($CD$100:$CD$123,CC156)+COUNTIF($CA$128:$CA$151,CC156)+COUNTIF($CB$128:$CB$151,CC156)+COUNTIF($CC$128:$CC$151,CC156)+COUNTIF($CD$128:$CD$151,CC156)+COUNTIF($CA$156:$CA$179,CC156)+COUNTIF($CB$156:$CB$179,CC156)+COUNTIF($CC$156:CC156,CC156),"000"))</f>
        <v/>
      </c>
      <c r="P156" s="9" t="str">
        <f>IF(AND($BN$27&lt;&gt;"",($BM$27+1)&lt;=$BO$27),$BN$27,"")</f>
        <v/>
      </c>
      <c r="Q156" s="9" t="str">
        <f>IF(AND($BN$27&lt;&gt;"",($BM$27+1)&lt;=$BO$27),TEXT(($BM$27+1),"00"),"")</f>
        <v/>
      </c>
      <c r="R156" s="9" t="str">
        <f>IF(AND($BN$27&lt;&gt;"",($BM$27+1)&lt;=$BO$27),$BN$27&amp;"-"&amp;TEXT(($BM$27+1),"00"),"")</f>
        <v/>
      </c>
      <c r="T156" s="6"/>
      <c r="U156" s="9" t="str">
        <f>IF(CD156="","",CD156&amp;"-"&amp;TEXT(COUNTIF($CA$72:$CA$95,CD156)+COUNTIF($CB$72:$CB$95,CD156)+COUNTIF($CC$72:$CC$95,CD156)+COUNTIF($CD$72:$CD$95,CD156)+COUNTIF($CA$100:$CA$123,CD156)+COUNTIF($CB$100:$CB$123,CD156)+COUNTIF($CC$100:$CC$123,CD156)+COUNTIF($CD$100:$CD$123,CD156)+COUNTIF($CA$128:$CA$151,CD156)+COUNTIF($CB$128:$CB$151,CD156)+COUNTIF($CC$128:$CC$151,CD156)+COUNTIF($CD$128:$CD$151,CD156)+COUNTIF($CA$156:$CA$179,CD156)+COUNTIF($CB$156:$CB$179,CD156)+COUNTIF($CC$156:$CC$179,CD156)+COUNTIF($CD$156:CD156,CD156),"000"))</f>
        <v/>
      </c>
      <c r="V156" s="9" t="str">
        <f>IF(AND($BN$28&lt;&gt;"",($BM$28+1)&lt;=$BO$28),$BN$28,"")</f>
        <v/>
      </c>
      <c r="W156" s="9" t="str">
        <f>IF(AND($BN$28&lt;&gt;"",($BM$28+1)&lt;=$BO$28),TEXT(($BM$28+1),"00"),"")</f>
        <v/>
      </c>
      <c r="X156" s="9" t="str">
        <f>IF(AND($BN$28&lt;&gt;"",($BM$28+1)&lt;=$BO$28),$BN$28&amp;"-"&amp;TEXT(($BM$28+1),"00"),"")</f>
        <v/>
      </c>
      <c r="CA156" t="str" cm="1">
        <f t="array" ref="CA156">IF(NOT(AND($BN$25&lt;&gt;"",($BM$25+1)&lt;=$BO$25)),"",IF(B156&lt;&gt;"",IF(B156="-","",B156),IF(ISNUMBER(SEARCH(":",$BP$25)),IFERROR(_xlfn.LET(_xlpm.s,_xlfn.TEXTSPLIT($BP$25,","),_xlpm.k,FIND(":",_xlpm.s),INDEX(TRIM(LEFT(_xlpm.s,_xlpm.k-1)),_xlfn.XMATCH(($BM$25+1),_xlfn.SCAN(0,--MID(_xlpm.s,_xlpm.k+1,9),_xlfn.LAMBDA(_xlpm.a,_xlpm.v,_xlpm.a+_xlpm.v)),1))),""),IF(($BM$25+1)&lt;=$BQ$25,$BP$25,""))))</f>
        <v/>
      </c>
      <c r="CB156" t="str" cm="1">
        <f t="array" ref="CB156">IF(NOT(AND($BN$26&lt;&gt;"",($BM$26+1)&lt;=$BO$26)),"",IF(H156&lt;&gt;"",IF(H156="-","",H156),IF(ISNUMBER(SEARCH(":",$BP$26)),IFERROR(_xlfn.LET(_xlpm.s,_xlfn.TEXTSPLIT($BP$26,","),_xlpm.k,FIND(":",_xlpm.s),INDEX(TRIM(LEFT(_xlpm.s,_xlpm.k-1)),_xlfn.XMATCH(($BM$26+1),_xlfn.SCAN(0,--MID(_xlpm.s,_xlpm.k+1,9),_xlfn.LAMBDA(_xlpm.a,_xlpm.v,_xlpm.a+_xlpm.v)),1))),""),IF(($BM$26+1)&lt;=$BQ$26,$BP$26,""))))</f>
        <v/>
      </c>
      <c r="CC156" t="str" cm="1">
        <f t="array" ref="CC156">IF(NOT(AND($BN$27&lt;&gt;"",($BM$27+1)&lt;=$BO$27)),"",IF(N156&lt;&gt;"",IF(N156="-","",N156),IF(ISNUMBER(SEARCH(":",$BP$27)),IFERROR(_xlfn.LET(_xlpm.s,_xlfn.TEXTSPLIT($BP$27,","),_xlpm.k,FIND(":",_xlpm.s),INDEX(TRIM(LEFT(_xlpm.s,_xlpm.k-1)),_xlfn.XMATCH(($BM$27+1),_xlfn.SCAN(0,--MID(_xlpm.s,_xlpm.k+1,9),_xlfn.LAMBDA(_xlpm.a,_xlpm.v,_xlpm.a+_xlpm.v)),1))),""),IF(($BM$27+1)&lt;=$BQ$27,$BP$27,""))))</f>
        <v/>
      </c>
      <c r="CD156" t="str" cm="1">
        <f t="array" ref="CD156">IF(NOT(AND($BN$28&lt;&gt;"",($BM$28+1)&lt;=$BO$28)),"",IF(T156&lt;&gt;"",IF(T156="-","",T156),IF(ISNUMBER(SEARCH(":",$BP$28)),IFERROR(_xlfn.LET(_xlpm.s,_xlfn.TEXTSPLIT($BP$28,","),_xlpm.k,FIND(":",_xlpm.s),INDEX(TRIM(LEFT(_xlpm.s,_xlpm.k-1)),_xlfn.XMATCH(($BM$28+1),_xlfn.SCAN(0,--MID(_xlpm.s,_xlpm.k+1,9),_xlfn.LAMBDA(_xlpm.a,_xlpm.v,_xlpm.a+_xlpm.v)),1))),""),IF(($BM$28+1)&lt;=$BQ$28,$BP$28,""))))</f>
        <v/>
      </c>
    </row>
    <row r="157" spans="2:82" hidden="1" x14ac:dyDescent="0.45">
      <c r="B157" s="6"/>
      <c r="C157" s="9" t="str">
        <f>IF(CA157="","",CA157&amp;"-"&amp;TEXT(COUNTIF($CA$72:$CA$95,CA157)+COUNTIF($CB$72:$CB$95,CA157)+COUNTIF($CC$72:$CC$95,CA157)+COUNTIF($CD$72:$CD$95,CA157)+COUNTIF($CA$100:$CA$123,CA157)+COUNTIF($CB$100:$CB$123,CA157)+COUNTIF($CC$100:$CC$123,CA157)+COUNTIF($CD$100:$CD$123,CA157)+COUNTIF($CA$128:$CA$151,CA157)+COUNTIF($CB$128:$CB$151,CA157)+COUNTIF($CC$128:$CC$151,CA157)+COUNTIF($CD$128:$CD$151,CA157)+COUNTIF($CA$156:CA157,CA157),"000"))</f>
        <v/>
      </c>
      <c r="D157" s="9" t="str">
        <f>IF(AND($BN$25&lt;&gt;"",($BM$25+2)&lt;=$BO$25),$BN$25,"")</f>
        <v/>
      </c>
      <c r="E157" s="9" t="str">
        <f>IF(AND($BN$25&lt;&gt;"",($BM$25+2)&lt;=$BO$25),TEXT(($BM$25+2),"00"),"")</f>
        <v/>
      </c>
      <c r="F157" s="9" t="str">
        <f>IF(AND($BN$25&lt;&gt;"",($BM$25+2)&lt;=$BO$25),$BN$25&amp;"-"&amp;TEXT(($BM$25+2),"00"),"")</f>
        <v/>
      </c>
      <c r="H157" s="6"/>
      <c r="I157" s="9" t="str">
        <f>IF(CB157="","",CB157&amp;"-"&amp;TEXT(COUNTIF($CA$72:$CA$95,CB157)+COUNTIF($CB$72:$CB$95,CB157)+COUNTIF($CC$72:$CC$95,CB157)+COUNTIF($CD$72:$CD$95,CB157)+COUNTIF($CA$100:$CA$123,CB157)+COUNTIF($CB$100:$CB$123,CB157)+COUNTIF($CC$100:$CC$123,CB157)+COUNTIF($CD$100:$CD$123,CB157)+COUNTIF($CA$128:$CA$151,CB157)+COUNTIF($CB$128:$CB$151,CB157)+COUNTIF($CC$128:$CC$151,CB157)+COUNTIF($CD$128:$CD$151,CB157)+COUNTIF($CA$156:$CA$179,CB157)+COUNTIF($CB$156:CB157,CB157),"000"))</f>
        <v/>
      </c>
      <c r="J157" s="9" t="str">
        <f>IF(AND($BN$26&lt;&gt;"",($BM$26+2)&lt;=$BO$26),$BN$26,"")</f>
        <v/>
      </c>
      <c r="K157" s="9" t="str">
        <f>IF(AND($BN$26&lt;&gt;"",($BM$26+2)&lt;=$BO$26),TEXT(($BM$26+2),"00"),"")</f>
        <v/>
      </c>
      <c r="L157" s="9" t="str">
        <f>IF(AND($BN$26&lt;&gt;"",($BM$26+2)&lt;=$BO$26),$BN$26&amp;"-"&amp;TEXT(($BM$26+2),"00"),"")</f>
        <v/>
      </c>
      <c r="N157" s="6"/>
      <c r="O157" s="9" t="str">
        <f>IF(CC157="","",CC157&amp;"-"&amp;TEXT(COUNTIF($CA$72:$CA$95,CC157)+COUNTIF($CB$72:$CB$95,CC157)+COUNTIF($CC$72:$CC$95,CC157)+COUNTIF($CD$72:$CD$95,CC157)+COUNTIF($CA$100:$CA$123,CC157)+COUNTIF($CB$100:$CB$123,CC157)+COUNTIF($CC$100:$CC$123,CC157)+COUNTIF($CD$100:$CD$123,CC157)+COUNTIF($CA$128:$CA$151,CC157)+COUNTIF($CB$128:$CB$151,CC157)+COUNTIF($CC$128:$CC$151,CC157)+COUNTIF($CD$128:$CD$151,CC157)+COUNTIF($CA$156:$CA$179,CC157)+COUNTIF($CB$156:$CB$179,CC157)+COUNTIF($CC$156:CC157,CC157),"000"))</f>
        <v/>
      </c>
      <c r="P157" s="9" t="str">
        <f>IF(AND($BN$27&lt;&gt;"",($BM$27+2)&lt;=$BO$27),$BN$27,"")</f>
        <v/>
      </c>
      <c r="Q157" s="9" t="str">
        <f>IF(AND($BN$27&lt;&gt;"",($BM$27+2)&lt;=$BO$27),TEXT(($BM$27+2),"00"),"")</f>
        <v/>
      </c>
      <c r="R157" s="9" t="str">
        <f>IF(AND($BN$27&lt;&gt;"",($BM$27+2)&lt;=$BO$27),$BN$27&amp;"-"&amp;TEXT(($BM$27+2),"00"),"")</f>
        <v/>
      </c>
      <c r="T157" s="6"/>
      <c r="U157" s="9" t="str">
        <f>IF(CD157="","",CD157&amp;"-"&amp;TEXT(COUNTIF($CA$72:$CA$95,CD157)+COUNTIF($CB$72:$CB$95,CD157)+COUNTIF($CC$72:$CC$95,CD157)+COUNTIF($CD$72:$CD$95,CD157)+COUNTIF($CA$100:$CA$123,CD157)+COUNTIF($CB$100:$CB$123,CD157)+COUNTIF($CC$100:$CC$123,CD157)+COUNTIF($CD$100:$CD$123,CD157)+COUNTIF($CA$128:$CA$151,CD157)+COUNTIF($CB$128:$CB$151,CD157)+COUNTIF($CC$128:$CC$151,CD157)+COUNTIF($CD$128:$CD$151,CD157)+COUNTIF($CA$156:$CA$179,CD157)+COUNTIF($CB$156:$CB$179,CD157)+COUNTIF($CC$156:$CC$179,CD157)+COUNTIF($CD$156:CD157,CD157),"000"))</f>
        <v/>
      </c>
      <c r="V157" s="9" t="str">
        <f>IF(AND($BN$28&lt;&gt;"",($BM$28+2)&lt;=$BO$28),$BN$28,"")</f>
        <v/>
      </c>
      <c r="W157" s="9" t="str">
        <f>IF(AND($BN$28&lt;&gt;"",($BM$28+2)&lt;=$BO$28),TEXT(($BM$28+2),"00"),"")</f>
        <v/>
      </c>
      <c r="X157" s="9" t="str">
        <f>IF(AND($BN$28&lt;&gt;"",($BM$28+2)&lt;=$BO$28),$BN$28&amp;"-"&amp;TEXT(($BM$28+2),"00"),"")</f>
        <v/>
      </c>
      <c r="CA157" t="str" cm="1">
        <f t="array" ref="CA157">IF(NOT(AND($BN$25&lt;&gt;"",($BM$25+2)&lt;=$BO$25)),"",IF(B157&lt;&gt;"",IF(B157="-","",B157),IF(ISNUMBER(SEARCH(":",$BP$25)),IFERROR(_xlfn.LET(_xlpm.s,_xlfn.TEXTSPLIT($BP$25,","),_xlpm.k,FIND(":",_xlpm.s),INDEX(TRIM(LEFT(_xlpm.s,_xlpm.k-1)),_xlfn.XMATCH(($BM$25+2),_xlfn.SCAN(0,--MID(_xlpm.s,_xlpm.k+1,9),_xlfn.LAMBDA(_xlpm.a,_xlpm.v,_xlpm.a+_xlpm.v)),1))),""),IF(($BM$25+2)&lt;=$BQ$25,$BP$25,""))))</f>
        <v/>
      </c>
      <c r="CB157" t="str" cm="1">
        <f t="array" ref="CB157">IF(NOT(AND($BN$26&lt;&gt;"",($BM$26+2)&lt;=$BO$26)),"",IF(H157&lt;&gt;"",IF(H157="-","",H157),IF(ISNUMBER(SEARCH(":",$BP$26)),IFERROR(_xlfn.LET(_xlpm.s,_xlfn.TEXTSPLIT($BP$26,","),_xlpm.k,FIND(":",_xlpm.s),INDEX(TRIM(LEFT(_xlpm.s,_xlpm.k-1)),_xlfn.XMATCH(($BM$26+2),_xlfn.SCAN(0,--MID(_xlpm.s,_xlpm.k+1,9),_xlfn.LAMBDA(_xlpm.a,_xlpm.v,_xlpm.a+_xlpm.v)),1))),""),IF(($BM$26+2)&lt;=$BQ$26,$BP$26,""))))</f>
        <v/>
      </c>
      <c r="CC157" t="str" cm="1">
        <f t="array" ref="CC157">IF(NOT(AND($BN$27&lt;&gt;"",($BM$27+2)&lt;=$BO$27)),"",IF(N157&lt;&gt;"",IF(N157="-","",N157),IF(ISNUMBER(SEARCH(":",$BP$27)),IFERROR(_xlfn.LET(_xlpm.s,_xlfn.TEXTSPLIT($BP$27,","),_xlpm.k,FIND(":",_xlpm.s),INDEX(TRIM(LEFT(_xlpm.s,_xlpm.k-1)),_xlfn.XMATCH(($BM$27+2),_xlfn.SCAN(0,--MID(_xlpm.s,_xlpm.k+1,9),_xlfn.LAMBDA(_xlpm.a,_xlpm.v,_xlpm.a+_xlpm.v)),1))),""),IF(($BM$27+2)&lt;=$BQ$27,$BP$27,""))))</f>
        <v/>
      </c>
      <c r="CD157" t="str" cm="1">
        <f t="array" ref="CD157">IF(NOT(AND($BN$28&lt;&gt;"",($BM$28+2)&lt;=$BO$28)),"",IF(T157&lt;&gt;"",IF(T157="-","",T157),IF(ISNUMBER(SEARCH(":",$BP$28)),IFERROR(_xlfn.LET(_xlpm.s,_xlfn.TEXTSPLIT($BP$28,","),_xlpm.k,FIND(":",_xlpm.s),INDEX(TRIM(LEFT(_xlpm.s,_xlpm.k-1)),_xlfn.XMATCH(($BM$28+2),_xlfn.SCAN(0,--MID(_xlpm.s,_xlpm.k+1,9),_xlfn.LAMBDA(_xlpm.a,_xlpm.v,_xlpm.a+_xlpm.v)),1))),""),IF(($BM$28+2)&lt;=$BQ$28,$BP$28,""))))</f>
        <v/>
      </c>
    </row>
    <row r="158" spans="2:82" hidden="1" x14ac:dyDescent="0.45">
      <c r="B158" s="6"/>
      <c r="C158" s="9" t="str">
        <f>IF(CA158="","",CA158&amp;"-"&amp;TEXT(COUNTIF($CA$72:$CA$95,CA158)+COUNTIF($CB$72:$CB$95,CA158)+COUNTIF($CC$72:$CC$95,CA158)+COUNTIF($CD$72:$CD$95,CA158)+COUNTIF($CA$100:$CA$123,CA158)+COUNTIF($CB$100:$CB$123,CA158)+COUNTIF($CC$100:$CC$123,CA158)+COUNTIF($CD$100:$CD$123,CA158)+COUNTIF($CA$128:$CA$151,CA158)+COUNTIF($CB$128:$CB$151,CA158)+COUNTIF($CC$128:$CC$151,CA158)+COUNTIF($CD$128:$CD$151,CA158)+COUNTIF($CA$156:CA158,CA158),"000"))</f>
        <v/>
      </c>
      <c r="D158" s="9" t="str">
        <f>IF(AND($BN$25&lt;&gt;"",($BM$25+3)&lt;=$BO$25),$BN$25,"")</f>
        <v/>
      </c>
      <c r="E158" s="9" t="str">
        <f>IF(AND($BN$25&lt;&gt;"",($BM$25+3)&lt;=$BO$25),TEXT(($BM$25+3),"00"),"")</f>
        <v/>
      </c>
      <c r="F158" s="9" t="str">
        <f>IF(AND($BN$25&lt;&gt;"",($BM$25+3)&lt;=$BO$25),$BN$25&amp;"-"&amp;TEXT(($BM$25+3),"00"),"")</f>
        <v/>
      </c>
      <c r="H158" s="6"/>
      <c r="I158" s="9" t="str">
        <f>IF(CB158="","",CB158&amp;"-"&amp;TEXT(COUNTIF($CA$72:$CA$95,CB158)+COUNTIF($CB$72:$CB$95,CB158)+COUNTIF($CC$72:$CC$95,CB158)+COUNTIF($CD$72:$CD$95,CB158)+COUNTIF($CA$100:$CA$123,CB158)+COUNTIF($CB$100:$CB$123,CB158)+COUNTIF($CC$100:$CC$123,CB158)+COUNTIF($CD$100:$CD$123,CB158)+COUNTIF($CA$128:$CA$151,CB158)+COUNTIF($CB$128:$CB$151,CB158)+COUNTIF($CC$128:$CC$151,CB158)+COUNTIF($CD$128:$CD$151,CB158)+COUNTIF($CA$156:$CA$179,CB158)+COUNTIF($CB$156:CB158,CB158),"000"))</f>
        <v/>
      </c>
      <c r="J158" s="9" t="str">
        <f>IF(AND($BN$26&lt;&gt;"",($BM$26+3)&lt;=$BO$26),$BN$26,"")</f>
        <v/>
      </c>
      <c r="K158" s="9" t="str">
        <f>IF(AND($BN$26&lt;&gt;"",($BM$26+3)&lt;=$BO$26),TEXT(($BM$26+3),"00"),"")</f>
        <v/>
      </c>
      <c r="L158" s="9" t="str">
        <f>IF(AND($BN$26&lt;&gt;"",($BM$26+3)&lt;=$BO$26),$BN$26&amp;"-"&amp;TEXT(($BM$26+3),"00"),"")</f>
        <v/>
      </c>
      <c r="N158" s="6"/>
      <c r="O158" s="9" t="str">
        <f>IF(CC158="","",CC158&amp;"-"&amp;TEXT(COUNTIF($CA$72:$CA$95,CC158)+COUNTIF($CB$72:$CB$95,CC158)+COUNTIF($CC$72:$CC$95,CC158)+COUNTIF($CD$72:$CD$95,CC158)+COUNTIF($CA$100:$CA$123,CC158)+COUNTIF($CB$100:$CB$123,CC158)+COUNTIF($CC$100:$CC$123,CC158)+COUNTIF($CD$100:$CD$123,CC158)+COUNTIF($CA$128:$CA$151,CC158)+COUNTIF($CB$128:$CB$151,CC158)+COUNTIF($CC$128:$CC$151,CC158)+COUNTIF($CD$128:$CD$151,CC158)+COUNTIF($CA$156:$CA$179,CC158)+COUNTIF($CB$156:$CB$179,CC158)+COUNTIF($CC$156:CC158,CC158),"000"))</f>
        <v/>
      </c>
      <c r="P158" s="9" t="str">
        <f>IF(AND($BN$27&lt;&gt;"",($BM$27+3)&lt;=$BO$27),$BN$27,"")</f>
        <v/>
      </c>
      <c r="Q158" s="9" t="str">
        <f>IF(AND($BN$27&lt;&gt;"",($BM$27+3)&lt;=$BO$27),TEXT(($BM$27+3),"00"),"")</f>
        <v/>
      </c>
      <c r="R158" s="9" t="str">
        <f>IF(AND($BN$27&lt;&gt;"",($BM$27+3)&lt;=$BO$27),$BN$27&amp;"-"&amp;TEXT(($BM$27+3),"00"),"")</f>
        <v/>
      </c>
      <c r="T158" s="6"/>
      <c r="U158" s="9" t="str">
        <f>IF(CD158="","",CD158&amp;"-"&amp;TEXT(COUNTIF($CA$72:$CA$95,CD158)+COUNTIF($CB$72:$CB$95,CD158)+COUNTIF($CC$72:$CC$95,CD158)+COUNTIF($CD$72:$CD$95,CD158)+COUNTIF($CA$100:$CA$123,CD158)+COUNTIF($CB$100:$CB$123,CD158)+COUNTIF($CC$100:$CC$123,CD158)+COUNTIF($CD$100:$CD$123,CD158)+COUNTIF($CA$128:$CA$151,CD158)+COUNTIF($CB$128:$CB$151,CD158)+COUNTIF($CC$128:$CC$151,CD158)+COUNTIF($CD$128:$CD$151,CD158)+COUNTIF($CA$156:$CA$179,CD158)+COUNTIF($CB$156:$CB$179,CD158)+COUNTIF($CC$156:$CC$179,CD158)+COUNTIF($CD$156:CD158,CD158),"000"))</f>
        <v/>
      </c>
      <c r="V158" s="9" t="str">
        <f>IF(AND($BN$28&lt;&gt;"",($BM$28+3)&lt;=$BO$28),$BN$28,"")</f>
        <v/>
      </c>
      <c r="W158" s="9" t="str">
        <f>IF(AND($BN$28&lt;&gt;"",($BM$28+3)&lt;=$BO$28),TEXT(($BM$28+3),"00"),"")</f>
        <v/>
      </c>
      <c r="X158" s="9" t="str">
        <f>IF(AND($BN$28&lt;&gt;"",($BM$28+3)&lt;=$BO$28),$BN$28&amp;"-"&amp;TEXT(($BM$28+3),"00"),"")</f>
        <v/>
      </c>
      <c r="CA158" t="str" cm="1">
        <f t="array" ref="CA158">IF(NOT(AND($BN$25&lt;&gt;"",($BM$25+3)&lt;=$BO$25)),"",IF(B158&lt;&gt;"",IF(B158="-","",B158),IF(ISNUMBER(SEARCH(":",$BP$25)),IFERROR(_xlfn.LET(_xlpm.s,_xlfn.TEXTSPLIT($BP$25,","),_xlpm.k,FIND(":",_xlpm.s),INDEX(TRIM(LEFT(_xlpm.s,_xlpm.k-1)),_xlfn.XMATCH(($BM$25+3),_xlfn.SCAN(0,--MID(_xlpm.s,_xlpm.k+1,9),_xlfn.LAMBDA(_xlpm.a,_xlpm.v,_xlpm.a+_xlpm.v)),1))),""),IF(($BM$25+3)&lt;=$BQ$25,$BP$25,""))))</f>
        <v/>
      </c>
      <c r="CB158" t="str" cm="1">
        <f t="array" ref="CB158">IF(NOT(AND($BN$26&lt;&gt;"",($BM$26+3)&lt;=$BO$26)),"",IF(H158&lt;&gt;"",IF(H158="-","",H158),IF(ISNUMBER(SEARCH(":",$BP$26)),IFERROR(_xlfn.LET(_xlpm.s,_xlfn.TEXTSPLIT($BP$26,","),_xlpm.k,FIND(":",_xlpm.s),INDEX(TRIM(LEFT(_xlpm.s,_xlpm.k-1)),_xlfn.XMATCH(($BM$26+3),_xlfn.SCAN(0,--MID(_xlpm.s,_xlpm.k+1,9),_xlfn.LAMBDA(_xlpm.a,_xlpm.v,_xlpm.a+_xlpm.v)),1))),""),IF(($BM$26+3)&lt;=$BQ$26,$BP$26,""))))</f>
        <v/>
      </c>
      <c r="CC158" t="str" cm="1">
        <f t="array" ref="CC158">IF(NOT(AND($BN$27&lt;&gt;"",($BM$27+3)&lt;=$BO$27)),"",IF(N158&lt;&gt;"",IF(N158="-","",N158),IF(ISNUMBER(SEARCH(":",$BP$27)),IFERROR(_xlfn.LET(_xlpm.s,_xlfn.TEXTSPLIT($BP$27,","),_xlpm.k,FIND(":",_xlpm.s),INDEX(TRIM(LEFT(_xlpm.s,_xlpm.k-1)),_xlfn.XMATCH(($BM$27+3),_xlfn.SCAN(0,--MID(_xlpm.s,_xlpm.k+1,9),_xlfn.LAMBDA(_xlpm.a,_xlpm.v,_xlpm.a+_xlpm.v)),1))),""),IF(($BM$27+3)&lt;=$BQ$27,$BP$27,""))))</f>
        <v/>
      </c>
      <c r="CD158" t="str" cm="1">
        <f t="array" ref="CD158">IF(NOT(AND($BN$28&lt;&gt;"",($BM$28+3)&lt;=$BO$28)),"",IF(T158&lt;&gt;"",IF(T158="-","",T158),IF(ISNUMBER(SEARCH(":",$BP$28)),IFERROR(_xlfn.LET(_xlpm.s,_xlfn.TEXTSPLIT($BP$28,","),_xlpm.k,FIND(":",_xlpm.s),INDEX(TRIM(LEFT(_xlpm.s,_xlpm.k-1)),_xlfn.XMATCH(($BM$28+3),_xlfn.SCAN(0,--MID(_xlpm.s,_xlpm.k+1,9),_xlfn.LAMBDA(_xlpm.a,_xlpm.v,_xlpm.a+_xlpm.v)),1))),""),IF(($BM$28+3)&lt;=$BQ$28,$BP$28,""))))</f>
        <v/>
      </c>
    </row>
    <row r="159" spans="2:82" hidden="1" x14ac:dyDescent="0.45">
      <c r="B159" s="6"/>
      <c r="C159" s="9" t="str">
        <f>IF(CA159="","",CA159&amp;"-"&amp;TEXT(COUNTIF($CA$72:$CA$95,CA159)+COUNTIF($CB$72:$CB$95,CA159)+COUNTIF($CC$72:$CC$95,CA159)+COUNTIF($CD$72:$CD$95,CA159)+COUNTIF($CA$100:$CA$123,CA159)+COUNTIF($CB$100:$CB$123,CA159)+COUNTIF($CC$100:$CC$123,CA159)+COUNTIF($CD$100:$CD$123,CA159)+COUNTIF($CA$128:$CA$151,CA159)+COUNTIF($CB$128:$CB$151,CA159)+COUNTIF($CC$128:$CC$151,CA159)+COUNTIF($CD$128:$CD$151,CA159)+COUNTIF($CA$156:CA159,CA159),"000"))</f>
        <v/>
      </c>
      <c r="D159" s="9" t="str">
        <f>IF(AND($BN$25&lt;&gt;"",($BM$25+4)&lt;=$BO$25),$BN$25,"")</f>
        <v/>
      </c>
      <c r="E159" s="9" t="str">
        <f>IF(AND($BN$25&lt;&gt;"",($BM$25+4)&lt;=$BO$25),TEXT(($BM$25+4),"00"),"")</f>
        <v/>
      </c>
      <c r="F159" s="9" t="str">
        <f>IF(AND($BN$25&lt;&gt;"",($BM$25+4)&lt;=$BO$25),$BN$25&amp;"-"&amp;TEXT(($BM$25+4),"00"),"")</f>
        <v/>
      </c>
      <c r="H159" s="6"/>
      <c r="I159" s="9" t="str">
        <f>IF(CB159="","",CB159&amp;"-"&amp;TEXT(COUNTIF($CA$72:$CA$95,CB159)+COUNTIF($CB$72:$CB$95,CB159)+COUNTIF($CC$72:$CC$95,CB159)+COUNTIF($CD$72:$CD$95,CB159)+COUNTIF($CA$100:$CA$123,CB159)+COUNTIF($CB$100:$CB$123,CB159)+COUNTIF($CC$100:$CC$123,CB159)+COUNTIF($CD$100:$CD$123,CB159)+COUNTIF($CA$128:$CA$151,CB159)+COUNTIF($CB$128:$CB$151,CB159)+COUNTIF($CC$128:$CC$151,CB159)+COUNTIF($CD$128:$CD$151,CB159)+COUNTIF($CA$156:$CA$179,CB159)+COUNTIF($CB$156:CB159,CB159),"000"))</f>
        <v/>
      </c>
      <c r="J159" s="9" t="str">
        <f>IF(AND($BN$26&lt;&gt;"",($BM$26+4)&lt;=$BO$26),$BN$26,"")</f>
        <v/>
      </c>
      <c r="K159" s="9" t="str">
        <f>IF(AND($BN$26&lt;&gt;"",($BM$26+4)&lt;=$BO$26),TEXT(($BM$26+4),"00"),"")</f>
        <v/>
      </c>
      <c r="L159" s="9" t="str">
        <f>IF(AND($BN$26&lt;&gt;"",($BM$26+4)&lt;=$BO$26),$BN$26&amp;"-"&amp;TEXT(($BM$26+4),"00"),"")</f>
        <v/>
      </c>
      <c r="N159" s="6"/>
      <c r="O159" s="9" t="str">
        <f>IF(CC159="","",CC159&amp;"-"&amp;TEXT(COUNTIF($CA$72:$CA$95,CC159)+COUNTIF($CB$72:$CB$95,CC159)+COUNTIF($CC$72:$CC$95,CC159)+COUNTIF($CD$72:$CD$95,CC159)+COUNTIF($CA$100:$CA$123,CC159)+COUNTIF($CB$100:$CB$123,CC159)+COUNTIF($CC$100:$CC$123,CC159)+COUNTIF($CD$100:$CD$123,CC159)+COUNTIF($CA$128:$CA$151,CC159)+COUNTIF($CB$128:$CB$151,CC159)+COUNTIF($CC$128:$CC$151,CC159)+COUNTIF($CD$128:$CD$151,CC159)+COUNTIF($CA$156:$CA$179,CC159)+COUNTIF($CB$156:$CB$179,CC159)+COUNTIF($CC$156:CC159,CC159),"000"))</f>
        <v/>
      </c>
      <c r="P159" s="9" t="str">
        <f>IF(AND($BN$27&lt;&gt;"",($BM$27+4)&lt;=$BO$27),$BN$27,"")</f>
        <v/>
      </c>
      <c r="Q159" s="9" t="str">
        <f>IF(AND($BN$27&lt;&gt;"",($BM$27+4)&lt;=$BO$27),TEXT(($BM$27+4),"00"),"")</f>
        <v/>
      </c>
      <c r="R159" s="9" t="str">
        <f>IF(AND($BN$27&lt;&gt;"",($BM$27+4)&lt;=$BO$27),$BN$27&amp;"-"&amp;TEXT(($BM$27+4),"00"),"")</f>
        <v/>
      </c>
      <c r="T159" s="6"/>
      <c r="U159" s="9" t="str">
        <f>IF(CD159="","",CD159&amp;"-"&amp;TEXT(COUNTIF($CA$72:$CA$95,CD159)+COUNTIF($CB$72:$CB$95,CD159)+COUNTIF($CC$72:$CC$95,CD159)+COUNTIF($CD$72:$CD$95,CD159)+COUNTIF($CA$100:$CA$123,CD159)+COUNTIF($CB$100:$CB$123,CD159)+COUNTIF($CC$100:$CC$123,CD159)+COUNTIF($CD$100:$CD$123,CD159)+COUNTIF($CA$128:$CA$151,CD159)+COUNTIF($CB$128:$CB$151,CD159)+COUNTIF($CC$128:$CC$151,CD159)+COUNTIF($CD$128:$CD$151,CD159)+COUNTIF($CA$156:$CA$179,CD159)+COUNTIF($CB$156:$CB$179,CD159)+COUNTIF($CC$156:$CC$179,CD159)+COUNTIF($CD$156:CD159,CD159),"000"))</f>
        <v/>
      </c>
      <c r="V159" s="9" t="str">
        <f>IF(AND($BN$28&lt;&gt;"",($BM$28+4)&lt;=$BO$28),$BN$28,"")</f>
        <v/>
      </c>
      <c r="W159" s="9" t="str">
        <f>IF(AND($BN$28&lt;&gt;"",($BM$28+4)&lt;=$BO$28),TEXT(($BM$28+4),"00"),"")</f>
        <v/>
      </c>
      <c r="X159" s="9" t="str">
        <f>IF(AND($BN$28&lt;&gt;"",($BM$28+4)&lt;=$BO$28),$BN$28&amp;"-"&amp;TEXT(($BM$28+4),"00"),"")</f>
        <v/>
      </c>
      <c r="CA159" t="str" cm="1">
        <f t="array" ref="CA159">IF(NOT(AND($BN$25&lt;&gt;"",($BM$25+4)&lt;=$BO$25)),"",IF(B159&lt;&gt;"",IF(B159="-","",B159),IF(ISNUMBER(SEARCH(":",$BP$25)),IFERROR(_xlfn.LET(_xlpm.s,_xlfn.TEXTSPLIT($BP$25,","),_xlpm.k,FIND(":",_xlpm.s),INDEX(TRIM(LEFT(_xlpm.s,_xlpm.k-1)),_xlfn.XMATCH(($BM$25+4),_xlfn.SCAN(0,--MID(_xlpm.s,_xlpm.k+1,9),_xlfn.LAMBDA(_xlpm.a,_xlpm.v,_xlpm.a+_xlpm.v)),1))),""),IF(($BM$25+4)&lt;=$BQ$25,$BP$25,""))))</f>
        <v/>
      </c>
      <c r="CB159" t="str" cm="1">
        <f t="array" ref="CB159">IF(NOT(AND($BN$26&lt;&gt;"",($BM$26+4)&lt;=$BO$26)),"",IF(H159&lt;&gt;"",IF(H159="-","",H159),IF(ISNUMBER(SEARCH(":",$BP$26)),IFERROR(_xlfn.LET(_xlpm.s,_xlfn.TEXTSPLIT($BP$26,","),_xlpm.k,FIND(":",_xlpm.s),INDEX(TRIM(LEFT(_xlpm.s,_xlpm.k-1)),_xlfn.XMATCH(($BM$26+4),_xlfn.SCAN(0,--MID(_xlpm.s,_xlpm.k+1,9),_xlfn.LAMBDA(_xlpm.a,_xlpm.v,_xlpm.a+_xlpm.v)),1))),""),IF(($BM$26+4)&lt;=$BQ$26,$BP$26,""))))</f>
        <v/>
      </c>
      <c r="CC159" t="str" cm="1">
        <f t="array" ref="CC159">IF(NOT(AND($BN$27&lt;&gt;"",($BM$27+4)&lt;=$BO$27)),"",IF(N159&lt;&gt;"",IF(N159="-","",N159),IF(ISNUMBER(SEARCH(":",$BP$27)),IFERROR(_xlfn.LET(_xlpm.s,_xlfn.TEXTSPLIT($BP$27,","),_xlpm.k,FIND(":",_xlpm.s),INDEX(TRIM(LEFT(_xlpm.s,_xlpm.k-1)),_xlfn.XMATCH(($BM$27+4),_xlfn.SCAN(0,--MID(_xlpm.s,_xlpm.k+1,9),_xlfn.LAMBDA(_xlpm.a,_xlpm.v,_xlpm.a+_xlpm.v)),1))),""),IF(($BM$27+4)&lt;=$BQ$27,$BP$27,""))))</f>
        <v/>
      </c>
      <c r="CD159" t="str" cm="1">
        <f t="array" ref="CD159">IF(NOT(AND($BN$28&lt;&gt;"",($BM$28+4)&lt;=$BO$28)),"",IF(T159&lt;&gt;"",IF(T159="-","",T159),IF(ISNUMBER(SEARCH(":",$BP$28)),IFERROR(_xlfn.LET(_xlpm.s,_xlfn.TEXTSPLIT($BP$28,","),_xlpm.k,FIND(":",_xlpm.s),INDEX(TRIM(LEFT(_xlpm.s,_xlpm.k-1)),_xlfn.XMATCH(($BM$28+4),_xlfn.SCAN(0,--MID(_xlpm.s,_xlpm.k+1,9),_xlfn.LAMBDA(_xlpm.a,_xlpm.v,_xlpm.a+_xlpm.v)),1))),""),IF(($BM$28+4)&lt;=$BQ$28,$BP$28,""))))</f>
        <v/>
      </c>
    </row>
    <row r="160" spans="2:82" hidden="1" x14ac:dyDescent="0.45">
      <c r="B160" s="6"/>
      <c r="C160" s="9" t="str">
        <f>IF(CA160="","",CA160&amp;"-"&amp;TEXT(COUNTIF($CA$72:$CA$95,CA160)+COUNTIF($CB$72:$CB$95,CA160)+COUNTIF($CC$72:$CC$95,CA160)+COUNTIF($CD$72:$CD$95,CA160)+COUNTIF($CA$100:$CA$123,CA160)+COUNTIF($CB$100:$CB$123,CA160)+COUNTIF($CC$100:$CC$123,CA160)+COUNTIF($CD$100:$CD$123,CA160)+COUNTIF($CA$128:$CA$151,CA160)+COUNTIF($CB$128:$CB$151,CA160)+COUNTIF($CC$128:$CC$151,CA160)+COUNTIF($CD$128:$CD$151,CA160)+COUNTIF($CA$156:CA160,CA160),"000"))</f>
        <v/>
      </c>
      <c r="D160" s="9" t="str">
        <f>IF(AND($BN$25&lt;&gt;"",($BM$25+5)&lt;=$BO$25),$BN$25,"")</f>
        <v/>
      </c>
      <c r="E160" s="9" t="str">
        <f>IF(AND($BN$25&lt;&gt;"",($BM$25+5)&lt;=$BO$25),TEXT(($BM$25+5),"00"),"")</f>
        <v/>
      </c>
      <c r="F160" s="9" t="str">
        <f>IF(AND($BN$25&lt;&gt;"",($BM$25+5)&lt;=$BO$25),$BN$25&amp;"-"&amp;TEXT(($BM$25+5),"00"),"")</f>
        <v/>
      </c>
      <c r="H160" s="6"/>
      <c r="I160" s="9" t="str">
        <f>IF(CB160="","",CB160&amp;"-"&amp;TEXT(COUNTIF($CA$72:$CA$95,CB160)+COUNTIF($CB$72:$CB$95,CB160)+COUNTIF($CC$72:$CC$95,CB160)+COUNTIF($CD$72:$CD$95,CB160)+COUNTIF($CA$100:$CA$123,CB160)+COUNTIF($CB$100:$CB$123,CB160)+COUNTIF($CC$100:$CC$123,CB160)+COUNTIF($CD$100:$CD$123,CB160)+COUNTIF($CA$128:$CA$151,CB160)+COUNTIF($CB$128:$CB$151,CB160)+COUNTIF($CC$128:$CC$151,CB160)+COUNTIF($CD$128:$CD$151,CB160)+COUNTIF($CA$156:$CA$179,CB160)+COUNTIF($CB$156:CB160,CB160),"000"))</f>
        <v/>
      </c>
      <c r="J160" s="9" t="str">
        <f>IF(AND($BN$26&lt;&gt;"",($BM$26+5)&lt;=$BO$26),$BN$26,"")</f>
        <v/>
      </c>
      <c r="K160" s="9" t="str">
        <f>IF(AND($BN$26&lt;&gt;"",($BM$26+5)&lt;=$BO$26),TEXT(($BM$26+5),"00"),"")</f>
        <v/>
      </c>
      <c r="L160" s="9" t="str">
        <f>IF(AND($BN$26&lt;&gt;"",($BM$26+5)&lt;=$BO$26),$BN$26&amp;"-"&amp;TEXT(($BM$26+5),"00"),"")</f>
        <v/>
      </c>
      <c r="N160" s="6"/>
      <c r="O160" s="9" t="str">
        <f>IF(CC160="","",CC160&amp;"-"&amp;TEXT(COUNTIF($CA$72:$CA$95,CC160)+COUNTIF($CB$72:$CB$95,CC160)+COUNTIF($CC$72:$CC$95,CC160)+COUNTIF($CD$72:$CD$95,CC160)+COUNTIF($CA$100:$CA$123,CC160)+COUNTIF($CB$100:$CB$123,CC160)+COUNTIF($CC$100:$CC$123,CC160)+COUNTIF($CD$100:$CD$123,CC160)+COUNTIF($CA$128:$CA$151,CC160)+COUNTIF($CB$128:$CB$151,CC160)+COUNTIF($CC$128:$CC$151,CC160)+COUNTIF($CD$128:$CD$151,CC160)+COUNTIF($CA$156:$CA$179,CC160)+COUNTIF($CB$156:$CB$179,CC160)+COUNTIF($CC$156:CC160,CC160),"000"))</f>
        <v/>
      </c>
      <c r="P160" s="9" t="str">
        <f>IF(AND($BN$27&lt;&gt;"",($BM$27+5)&lt;=$BO$27),$BN$27,"")</f>
        <v/>
      </c>
      <c r="Q160" s="9" t="str">
        <f>IF(AND($BN$27&lt;&gt;"",($BM$27+5)&lt;=$BO$27),TEXT(($BM$27+5),"00"),"")</f>
        <v/>
      </c>
      <c r="R160" s="9" t="str">
        <f>IF(AND($BN$27&lt;&gt;"",($BM$27+5)&lt;=$BO$27),$BN$27&amp;"-"&amp;TEXT(($BM$27+5),"00"),"")</f>
        <v/>
      </c>
      <c r="T160" s="6"/>
      <c r="U160" s="9" t="str">
        <f>IF(CD160="","",CD160&amp;"-"&amp;TEXT(COUNTIF($CA$72:$CA$95,CD160)+COUNTIF($CB$72:$CB$95,CD160)+COUNTIF($CC$72:$CC$95,CD160)+COUNTIF($CD$72:$CD$95,CD160)+COUNTIF($CA$100:$CA$123,CD160)+COUNTIF($CB$100:$CB$123,CD160)+COUNTIF($CC$100:$CC$123,CD160)+COUNTIF($CD$100:$CD$123,CD160)+COUNTIF($CA$128:$CA$151,CD160)+COUNTIF($CB$128:$CB$151,CD160)+COUNTIF($CC$128:$CC$151,CD160)+COUNTIF($CD$128:$CD$151,CD160)+COUNTIF($CA$156:$CA$179,CD160)+COUNTIF($CB$156:$CB$179,CD160)+COUNTIF($CC$156:$CC$179,CD160)+COUNTIF($CD$156:CD160,CD160),"000"))</f>
        <v/>
      </c>
      <c r="V160" s="9" t="str">
        <f>IF(AND($BN$28&lt;&gt;"",($BM$28+5)&lt;=$BO$28),$BN$28,"")</f>
        <v/>
      </c>
      <c r="W160" s="9" t="str">
        <f>IF(AND($BN$28&lt;&gt;"",($BM$28+5)&lt;=$BO$28),TEXT(($BM$28+5),"00"),"")</f>
        <v/>
      </c>
      <c r="X160" s="9" t="str">
        <f>IF(AND($BN$28&lt;&gt;"",($BM$28+5)&lt;=$BO$28),$BN$28&amp;"-"&amp;TEXT(($BM$28+5),"00"),"")</f>
        <v/>
      </c>
      <c r="CA160" t="str" cm="1">
        <f t="array" ref="CA160">IF(NOT(AND($BN$25&lt;&gt;"",($BM$25+5)&lt;=$BO$25)),"",IF(B160&lt;&gt;"",IF(B160="-","",B160),IF(ISNUMBER(SEARCH(":",$BP$25)),IFERROR(_xlfn.LET(_xlpm.s,_xlfn.TEXTSPLIT($BP$25,","),_xlpm.k,FIND(":",_xlpm.s),INDEX(TRIM(LEFT(_xlpm.s,_xlpm.k-1)),_xlfn.XMATCH(($BM$25+5),_xlfn.SCAN(0,--MID(_xlpm.s,_xlpm.k+1,9),_xlfn.LAMBDA(_xlpm.a,_xlpm.v,_xlpm.a+_xlpm.v)),1))),""),IF(($BM$25+5)&lt;=$BQ$25,$BP$25,""))))</f>
        <v/>
      </c>
      <c r="CB160" t="str" cm="1">
        <f t="array" ref="CB160">IF(NOT(AND($BN$26&lt;&gt;"",($BM$26+5)&lt;=$BO$26)),"",IF(H160&lt;&gt;"",IF(H160="-","",H160),IF(ISNUMBER(SEARCH(":",$BP$26)),IFERROR(_xlfn.LET(_xlpm.s,_xlfn.TEXTSPLIT($BP$26,","),_xlpm.k,FIND(":",_xlpm.s),INDEX(TRIM(LEFT(_xlpm.s,_xlpm.k-1)),_xlfn.XMATCH(($BM$26+5),_xlfn.SCAN(0,--MID(_xlpm.s,_xlpm.k+1,9),_xlfn.LAMBDA(_xlpm.a,_xlpm.v,_xlpm.a+_xlpm.v)),1))),""),IF(($BM$26+5)&lt;=$BQ$26,$BP$26,""))))</f>
        <v/>
      </c>
      <c r="CC160" t="str" cm="1">
        <f t="array" ref="CC160">IF(NOT(AND($BN$27&lt;&gt;"",($BM$27+5)&lt;=$BO$27)),"",IF(N160&lt;&gt;"",IF(N160="-","",N160),IF(ISNUMBER(SEARCH(":",$BP$27)),IFERROR(_xlfn.LET(_xlpm.s,_xlfn.TEXTSPLIT($BP$27,","),_xlpm.k,FIND(":",_xlpm.s),INDEX(TRIM(LEFT(_xlpm.s,_xlpm.k-1)),_xlfn.XMATCH(($BM$27+5),_xlfn.SCAN(0,--MID(_xlpm.s,_xlpm.k+1,9),_xlfn.LAMBDA(_xlpm.a,_xlpm.v,_xlpm.a+_xlpm.v)),1))),""),IF(($BM$27+5)&lt;=$BQ$27,$BP$27,""))))</f>
        <v/>
      </c>
      <c r="CD160" t="str" cm="1">
        <f t="array" ref="CD160">IF(NOT(AND($BN$28&lt;&gt;"",($BM$28+5)&lt;=$BO$28)),"",IF(T160&lt;&gt;"",IF(T160="-","",T160),IF(ISNUMBER(SEARCH(":",$BP$28)),IFERROR(_xlfn.LET(_xlpm.s,_xlfn.TEXTSPLIT($BP$28,","),_xlpm.k,FIND(":",_xlpm.s),INDEX(TRIM(LEFT(_xlpm.s,_xlpm.k-1)),_xlfn.XMATCH(($BM$28+5),_xlfn.SCAN(0,--MID(_xlpm.s,_xlpm.k+1,9),_xlfn.LAMBDA(_xlpm.a,_xlpm.v,_xlpm.a+_xlpm.v)),1))),""),IF(($BM$28+5)&lt;=$BQ$28,$BP$28,""))))</f>
        <v/>
      </c>
    </row>
    <row r="161" spans="2:82" hidden="1" x14ac:dyDescent="0.45">
      <c r="B161" s="6"/>
      <c r="C161" s="9" t="str">
        <f>IF(CA161="","",CA161&amp;"-"&amp;TEXT(COUNTIF($CA$72:$CA$95,CA161)+COUNTIF($CB$72:$CB$95,CA161)+COUNTIF($CC$72:$CC$95,CA161)+COUNTIF($CD$72:$CD$95,CA161)+COUNTIF($CA$100:$CA$123,CA161)+COUNTIF($CB$100:$CB$123,CA161)+COUNTIF($CC$100:$CC$123,CA161)+COUNTIF($CD$100:$CD$123,CA161)+COUNTIF($CA$128:$CA$151,CA161)+COUNTIF($CB$128:$CB$151,CA161)+COUNTIF($CC$128:$CC$151,CA161)+COUNTIF($CD$128:$CD$151,CA161)+COUNTIF($CA$156:CA161,CA161),"000"))</f>
        <v/>
      </c>
      <c r="D161" s="9" t="str">
        <f>IF(AND($BN$25&lt;&gt;"",($BM$25+6)&lt;=$BO$25),$BN$25,"")</f>
        <v/>
      </c>
      <c r="E161" s="9" t="str">
        <f>IF(AND($BN$25&lt;&gt;"",($BM$25+6)&lt;=$BO$25),TEXT(($BM$25+6),"00"),"")</f>
        <v/>
      </c>
      <c r="F161" s="9" t="str">
        <f>IF(AND($BN$25&lt;&gt;"",($BM$25+6)&lt;=$BO$25),$BN$25&amp;"-"&amp;TEXT(($BM$25+6),"00"),"")</f>
        <v/>
      </c>
      <c r="H161" s="6"/>
      <c r="I161" s="9" t="str">
        <f>IF(CB161="","",CB161&amp;"-"&amp;TEXT(COUNTIF($CA$72:$CA$95,CB161)+COUNTIF($CB$72:$CB$95,CB161)+COUNTIF($CC$72:$CC$95,CB161)+COUNTIF($CD$72:$CD$95,CB161)+COUNTIF($CA$100:$CA$123,CB161)+COUNTIF($CB$100:$CB$123,CB161)+COUNTIF($CC$100:$CC$123,CB161)+COUNTIF($CD$100:$CD$123,CB161)+COUNTIF($CA$128:$CA$151,CB161)+COUNTIF($CB$128:$CB$151,CB161)+COUNTIF($CC$128:$CC$151,CB161)+COUNTIF($CD$128:$CD$151,CB161)+COUNTIF($CA$156:$CA$179,CB161)+COUNTIF($CB$156:CB161,CB161),"000"))</f>
        <v/>
      </c>
      <c r="J161" s="9" t="str">
        <f>IF(AND($BN$26&lt;&gt;"",($BM$26+6)&lt;=$BO$26),$BN$26,"")</f>
        <v/>
      </c>
      <c r="K161" s="9" t="str">
        <f>IF(AND($BN$26&lt;&gt;"",($BM$26+6)&lt;=$BO$26),TEXT(($BM$26+6),"00"),"")</f>
        <v/>
      </c>
      <c r="L161" s="9" t="str">
        <f>IF(AND($BN$26&lt;&gt;"",($BM$26+6)&lt;=$BO$26),$BN$26&amp;"-"&amp;TEXT(($BM$26+6),"00"),"")</f>
        <v/>
      </c>
      <c r="N161" s="6"/>
      <c r="O161" s="9" t="str">
        <f>IF(CC161="","",CC161&amp;"-"&amp;TEXT(COUNTIF($CA$72:$CA$95,CC161)+COUNTIF($CB$72:$CB$95,CC161)+COUNTIF($CC$72:$CC$95,CC161)+COUNTIF($CD$72:$CD$95,CC161)+COUNTIF($CA$100:$CA$123,CC161)+COUNTIF($CB$100:$CB$123,CC161)+COUNTIF($CC$100:$CC$123,CC161)+COUNTIF($CD$100:$CD$123,CC161)+COUNTIF($CA$128:$CA$151,CC161)+COUNTIF($CB$128:$CB$151,CC161)+COUNTIF($CC$128:$CC$151,CC161)+COUNTIF($CD$128:$CD$151,CC161)+COUNTIF($CA$156:$CA$179,CC161)+COUNTIF($CB$156:$CB$179,CC161)+COUNTIF($CC$156:CC161,CC161),"000"))</f>
        <v/>
      </c>
      <c r="P161" s="9" t="str">
        <f>IF(AND($BN$27&lt;&gt;"",($BM$27+6)&lt;=$BO$27),$BN$27,"")</f>
        <v/>
      </c>
      <c r="Q161" s="9" t="str">
        <f>IF(AND($BN$27&lt;&gt;"",($BM$27+6)&lt;=$BO$27),TEXT(($BM$27+6),"00"),"")</f>
        <v/>
      </c>
      <c r="R161" s="9" t="str">
        <f>IF(AND($BN$27&lt;&gt;"",($BM$27+6)&lt;=$BO$27),$BN$27&amp;"-"&amp;TEXT(($BM$27+6),"00"),"")</f>
        <v/>
      </c>
      <c r="T161" s="6"/>
      <c r="U161" s="9" t="str">
        <f>IF(CD161="","",CD161&amp;"-"&amp;TEXT(COUNTIF($CA$72:$CA$95,CD161)+COUNTIF($CB$72:$CB$95,CD161)+COUNTIF($CC$72:$CC$95,CD161)+COUNTIF($CD$72:$CD$95,CD161)+COUNTIF($CA$100:$CA$123,CD161)+COUNTIF($CB$100:$CB$123,CD161)+COUNTIF($CC$100:$CC$123,CD161)+COUNTIF($CD$100:$CD$123,CD161)+COUNTIF($CA$128:$CA$151,CD161)+COUNTIF($CB$128:$CB$151,CD161)+COUNTIF($CC$128:$CC$151,CD161)+COUNTIF($CD$128:$CD$151,CD161)+COUNTIF($CA$156:$CA$179,CD161)+COUNTIF($CB$156:$CB$179,CD161)+COUNTIF($CC$156:$CC$179,CD161)+COUNTIF($CD$156:CD161,CD161),"000"))</f>
        <v/>
      </c>
      <c r="V161" s="9" t="str">
        <f>IF(AND($BN$28&lt;&gt;"",($BM$28+6)&lt;=$BO$28),$BN$28,"")</f>
        <v/>
      </c>
      <c r="W161" s="9" t="str">
        <f>IF(AND($BN$28&lt;&gt;"",($BM$28+6)&lt;=$BO$28),TEXT(($BM$28+6),"00"),"")</f>
        <v/>
      </c>
      <c r="X161" s="9" t="str">
        <f>IF(AND($BN$28&lt;&gt;"",($BM$28+6)&lt;=$BO$28),$BN$28&amp;"-"&amp;TEXT(($BM$28+6),"00"),"")</f>
        <v/>
      </c>
      <c r="CA161" t="str" cm="1">
        <f t="array" ref="CA161">IF(NOT(AND($BN$25&lt;&gt;"",($BM$25+6)&lt;=$BO$25)),"",IF(B161&lt;&gt;"",IF(B161="-","",B161),IF(ISNUMBER(SEARCH(":",$BP$25)),IFERROR(_xlfn.LET(_xlpm.s,_xlfn.TEXTSPLIT($BP$25,","),_xlpm.k,FIND(":",_xlpm.s),INDEX(TRIM(LEFT(_xlpm.s,_xlpm.k-1)),_xlfn.XMATCH(($BM$25+6),_xlfn.SCAN(0,--MID(_xlpm.s,_xlpm.k+1,9),_xlfn.LAMBDA(_xlpm.a,_xlpm.v,_xlpm.a+_xlpm.v)),1))),""),IF(($BM$25+6)&lt;=$BQ$25,$BP$25,""))))</f>
        <v/>
      </c>
      <c r="CB161" t="str" cm="1">
        <f t="array" ref="CB161">IF(NOT(AND($BN$26&lt;&gt;"",($BM$26+6)&lt;=$BO$26)),"",IF(H161&lt;&gt;"",IF(H161="-","",H161),IF(ISNUMBER(SEARCH(":",$BP$26)),IFERROR(_xlfn.LET(_xlpm.s,_xlfn.TEXTSPLIT($BP$26,","),_xlpm.k,FIND(":",_xlpm.s),INDEX(TRIM(LEFT(_xlpm.s,_xlpm.k-1)),_xlfn.XMATCH(($BM$26+6),_xlfn.SCAN(0,--MID(_xlpm.s,_xlpm.k+1,9),_xlfn.LAMBDA(_xlpm.a,_xlpm.v,_xlpm.a+_xlpm.v)),1))),""),IF(($BM$26+6)&lt;=$BQ$26,$BP$26,""))))</f>
        <v/>
      </c>
      <c r="CC161" t="str" cm="1">
        <f t="array" ref="CC161">IF(NOT(AND($BN$27&lt;&gt;"",($BM$27+6)&lt;=$BO$27)),"",IF(N161&lt;&gt;"",IF(N161="-","",N161),IF(ISNUMBER(SEARCH(":",$BP$27)),IFERROR(_xlfn.LET(_xlpm.s,_xlfn.TEXTSPLIT($BP$27,","),_xlpm.k,FIND(":",_xlpm.s),INDEX(TRIM(LEFT(_xlpm.s,_xlpm.k-1)),_xlfn.XMATCH(($BM$27+6),_xlfn.SCAN(0,--MID(_xlpm.s,_xlpm.k+1,9),_xlfn.LAMBDA(_xlpm.a,_xlpm.v,_xlpm.a+_xlpm.v)),1))),""),IF(($BM$27+6)&lt;=$BQ$27,$BP$27,""))))</f>
        <v/>
      </c>
      <c r="CD161" t="str" cm="1">
        <f t="array" ref="CD161">IF(NOT(AND($BN$28&lt;&gt;"",($BM$28+6)&lt;=$BO$28)),"",IF(T161&lt;&gt;"",IF(T161="-","",T161),IF(ISNUMBER(SEARCH(":",$BP$28)),IFERROR(_xlfn.LET(_xlpm.s,_xlfn.TEXTSPLIT($BP$28,","),_xlpm.k,FIND(":",_xlpm.s),INDEX(TRIM(LEFT(_xlpm.s,_xlpm.k-1)),_xlfn.XMATCH(($BM$28+6),_xlfn.SCAN(0,--MID(_xlpm.s,_xlpm.k+1,9),_xlfn.LAMBDA(_xlpm.a,_xlpm.v,_xlpm.a+_xlpm.v)),1))),""),IF(($BM$28+6)&lt;=$BQ$28,$BP$28,""))))</f>
        <v/>
      </c>
    </row>
    <row r="162" spans="2:82" hidden="1" x14ac:dyDescent="0.45">
      <c r="B162" s="6"/>
      <c r="C162" s="9" t="str">
        <f>IF(CA162="","",CA162&amp;"-"&amp;TEXT(COUNTIF($CA$72:$CA$95,CA162)+COUNTIF($CB$72:$CB$95,CA162)+COUNTIF($CC$72:$CC$95,CA162)+COUNTIF($CD$72:$CD$95,CA162)+COUNTIF($CA$100:$CA$123,CA162)+COUNTIF($CB$100:$CB$123,CA162)+COUNTIF($CC$100:$CC$123,CA162)+COUNTIF($CD$100:$CD$123,CA162)+COUNTIF($CA$128:$CA$151,CA162)+COUNTIF($CB$128:$CB$151,CA162)+COUNTIF($CC$128:$CC$151,CA162)+COUNTIF($CD$128:$CD$151,CA162)+COUNTIF($CA$156:CA162,CA162),"000"))</f>
        <v/>
      </c>
      <c r="D162" s="9" t="str">
        <f>IF(AND($BN$25&lt;&gt;"",($BM$25+7)&lt;=$BO$25),$BN$25,"")</f>
        <v/>
      </c>
      <c r="E162" s="9" t="str">
        <f>IF(AND($BN$25&lt;&gt;"",($BM$25+7)&lt;=$BO$25),TEXT(($BM$25+7),"00"),"")</f>
        <v/>
      </c>
      <c r="F162" s="9" t="str">
        <f>IF(AND($BN$25&lt;&gt;"",($BM$25+7)&lt;=$BO$25),$BN$25&amp;"-"&amp;TEXT(($BM$25+7),"00"),"")</f>
        <v/>
      </c>
      <c r="H162" s="6"/>
      <c r="I162" s="9" t="str">
        <f>IF(CB162="","",CB162&amp;"-"&amp;TEXT(COUNTIF($CA$72:$CA$95,CB162)+COUNTIF($CB$72:$CB$95,CB162)+COUNTIF($CC$72:$CC$95,CB162)+COUNTIF($CD$72:$CD$95,CB162)+COUNTIF($CA$100:$CA$123,CB162)+COUNTIF($CB$100:$CB$123,CB162)+COUNTIF($CC$100:$CC$123,CB162)+COUNTIF($CD$100:$CD$123,CB162)+COUNTIF($CA$128:$CA$151,CB162)+COUNTIF($CB$128:$CB$151,CB162)+COUNTIF($CC$128:$CC$151,CB162)+COUNTIF($CD$128:$CD$151,CB162)+COUNTIF($CA$156:$CA$179,CB162)+COUNTIF($CB$156:CB162,CB162),"000"))</f>
        <v/>
      </c>
      <c r="J162" s="9" t="str">
        <f>IF(AND($BN$26&lt;&gt;"",($BM$26+7)&lt;=$BO$26),$BN$26,"")</f>
        <v/>
      </c>
      <c r="K162" s="9" t="str">
        <f>IF(AND($BN$26&lt;&gt;"",($BM$26+7)&lt;=$BO$26),TEXT(($BM$26+7),"00"),"")</f>
        <v/>
      </c>
      <c r="L162" s="9" t="str">
        <f>IF(AND($BN$26&lt;&gt;"",($BM$26+7)&lt;=$BO$26),$BN$26&amp;"-"&amp;TEXT(($BM$26+7),"00"),"")</f>
        <v/>
      </c>
      <c r="N162" s="6"/>
      <c r="O162" s="9" t="str">
        <f>IF(CC162="","",CC162&amp;"-"&amp;TEXT(COUNTIF($CA$72:$CA$95,CC162)+COUNTIF($CB$72:$CB$95,CC162)+COUNTIF($CC$72:$CC$95,CC162)+COUNTIF($CD$72:$CD$95,CC162)+COUNTIF($CA$100:$CA$123,CC162)+COUNTIF($CB$100:$CB$123,CC162)+COUNTIF($CC$100:$CC$123,CC162)+COUNTIF($CD$100:$CD$123,CC162)+COUNTIF($CA$128:$CA$151,CC162)+COUNTIF($CB$128:$CB$151,CC162)+COUNTIF($CC$128:$CC$151,CC162)+COUNTIF($CD$128:$CD$151,CC162)+COUNTIF($CA$156:$CA$179,CC162)+COUNTIF($CB$156:$CB$179,CC162)+COUNTIF($CC$156:CC162,CC162),"000"))</f>
        <v/>
      </c>
      <c r="P162" s="9" t="str">
        <f>IF(AND($BN$27&lt;&gt;"",($BM$27+7)&lt;=$BO$27),$BN$27,"")</f>
        <v/>
      </c>
      <c r="Q162" s="9" t="str">
        <f>IF(AND($BN$27&lt;&gt;"",($BM$27+7)&lt;=$BO$27),TEXT(($BM$27+7),"00"),"")</f>
        <v/>
      </c>
      <c r="R162" s="9" t="str">
        <f>IF(AND($BN$27&lt;&gt;"",($BM$27+7)&lt;=$BO$27),$BN$27&amp;"-"&amp;TEXT(($BM$27+7),"00"),"")</f>
        <v/>
      </c>
      <c r="T162" s="6"/>
      <c r="U162" s="9" t="str">
        <f>IF(CD162="","",CD162&amp;"-"&amp;TEXT(COUNTIF($CA$72:$CA$95,CD162)+COUNTIF($CB$72:$CB$95,CD162)+COUNTIF($CC$72:$CC$95,CD162)+COUNTIF($CD$72:$CD$95,CD162)+COUNTIF($CA$100:$CA$123,CD162)+COUNTIF($CB$100:$CB$123,CD162)+COUNTIF($CC$100:$CC$123,CD162)+COUNTIF($CD$100:$CD$123,CD162)+COUNTIF($CA$128:$CA$151,CD162)+COUNTIF($CB$128:$CB$151,CD162)+COUNTIF($CC$128:$CC$151,CD162)+COUNTIF($CD$128:$CD$151,CD162)+COUNTIF($CA$156:$CA$179,CD162)+COUNTIF($CB$156:$CB$179,CD162)+COUNTIF($CC$156:$CC$179,CD162)+COUNTIF($CD$156:CD162,CD162),"000"))</f>
        <v/>
      </c>
      <c r="V162" s="9" t="str">
        <f>IF(AND($BN$28&lt;&gt;"",($BM$28+7)&lt;=$BO$28),$BN$28,"")</f>
        <v/>
      </c>
      <c r="W162" s="9" t="str">
        <f>IF(AND($BN$28&lt;&gt;"",($BM$28+7)&lt;=$BO$28),TEXT(($BM$28+7),"00"),"")</f>
        <v/>
      </c>
      <c r="X162" s="9" t="str">
        <f>IF(AND($BN$28&lt;&gt;"",($BM$28+7)&lt;=$BO$28),$BN$28&amp;"-"&amp;TEXT(($BM$28+7),"00"),"")</f>
        <v/>
      </c>
      <c r="CA162" t="str" cm="1">
        <f t="array" ref="CA162">IF(NOT(AND($BN$25&lt;&gt;"",($BM$25+7)&lt;=$BO$25)),"",IF(B162&lt;&gt;"",IF(B162="-","",B162),IF(ISNUMBER(SEARCH(":",$BP$25)),IFERROR(_xlfn.LET(_xlpm.s,_xlfn.TEXTSPLIT($BP$25,","),_xlpm.k,FIND(":",_xlpm.s),INDEX(TRIM(LEFT(_xlpm.s,_xlpm.k-1)),_xlfn.XMATCH(($BM$25+7),_xlfn.SCAN(0,--MID(_xlpm.s,_xlpm.k+1,9),_xlfn.LAMBDA(_xlpm.a,_xlpm.v,_xlpm.a+_xlpm.v)),1))),""),IF(($BM$25+7)&lt;=$BQ$25,$BP$25,""))))</f>
        <v/>
      </c>
      <c r="CB162" t="str" cm="1">
        <f t="array" ref="CB162">IF(NOT(AND($BN$26&lt;&gt;"",($BM$26+7)&lt;=$BO$26)),"",IF(H162&lt;&gt;"",IF(H162="-","",H162),IF(ISNUMBER(SEARCH(":",$BP$26)),IFERROR(_xlfn.LET(_xlpm.s,_xlfn.TEXTSPLIT($BP$26,","),_xlpm.k,FIND(":",_xlpm.s),INDEX(TRIM(LEFT(_xlpm.s,_xlpm.k-1)),_xlfn.XMATCH(($BM$26+7),_xlfn.SCAN(0,--MID(_xlpm.s,_xlpm.k+1,9),_xlfn.LAMBDA(_xlpm.a,_xlpm.v,_xlpm.a+_xlpm.v)),1))),""),IF(($BM$26+7)&lt;=$BQ$26,$BP$26,""))))</f>
        <v/>
      </c>
      <c r="CC162" t="str" cm="1">
        <f t="array" ref="CC162">IF(NOT(AND($BN$27&lt;&gt;"",($BM$27+7)&lt;=$BO$27)),"",IF(N162&lt;&gt;"",IF(N162="-","",N162),IF(ISNUMBER(SEARCH(":",$BP$27)),IFERROR(_xlfn.LET(_xlpm.s,_xlfn.TEXTSPLIT($BP$27,","),_xlpm.k,FIND(":",_xlpm.s),INDEX(TRIM(LEFT(_xlpm.s,_xlpm.k-1)),_xlfn.XMATCH(($BM$27+7),_xlfn.SCAN(0,--MID(_xlpm.s,_xlpm.k+1,9),_xlfn.LAMBDA(_xlpm.a,_xlpm.v,_xlpm.a+_xlpm.v)),1))),""),IF(($BM$27+7)&lt;=$BQ$27,$BP$27,""))))</f>
        <v/>
      </c>
      <c r="CD162" t="str" cm="1">
        <f t="array" ref="CD162">IF(NOT(AND($BN$28&lt;&gt;"",($BM$28+7)&lt;=$BO$28)),"",IF(T162&lt;&gt;"",IF(T162="-","",T162),IF(ISNUMBER(SEARCH(":",$BP$28)),IFERROR(_xlfn.LET(_xlpm.s,_xlfn.TEXTSPLIT($BP$28,","),_xlpm.k,FIND(":",_xlpm.s),INDEX(TRIM(LEFT(_xlpm.s,_xlpm.k-1)),_xlfn.XMATCH(($BM$28+7),_xlfn.SCAN(0,--MID(_xlpm.s,_xlpm.k+1,9),_xlfn.LAMBDA(_xlpm.a,_xlpm.v,_xlpm.a+_xlpm.v)),1))),""),IF(($BM$28+7)&lt;=$BQ$28,$BP$28,""))))</f>
        <v/>
      </c>
    </row>
    <row r="163" spans="2:82" hidden="1" x14ac:dyDescent="0.45">
      <c r="B163" s="6"/>
      <c r="C163" s="9" t="str">
        <f>IF(CA163="","",CA163&amp;"-"&amp;TEXT(COUNTIF($CA$72:$CA$95,CA163)+COUNTIF($CB$72:$CB$95,CA163)+COUNTIF($CC$72:$CC$95,CA163)+COUNTIF($CD$72:$CD$95,CA163)+COUNTIF($CA$100:$CA$123,CA163)+COUNTIF($CB$100:$CB$123,CA163)+COUNTIF($CC$100:$CC$123,CA163)+COUNTIF($CD$100:$CD$123,CA163)+COUNTIF($CA$128:$CA$151,CA163)+COUNTIF($CB$128:$CB$151,CA163)+COUNTIF($CC$128:$CC$151,CA163)+COUNTIF($CD$128:$CD$151,CA163)+COUNTIF($CA$156:CA163,CA163),"000"))</f>
        <v/>
      </c>
      <c r="D163" s="9" t="str">
        <f>IF(AND($BN$25&lt;&gt;"",($BM$25+8)&lt;=$BO$25),$BN$25,"")</f>
        <v/>
      </c>
      <c r="E163" s="9" t="str">
        <f>IF(AND($BN$25&lt;&gt;"",($BM$25+8)&lt;=$BO$25),TEXT(($BM$25+8),"00"),"")</f>
        <v/>
      </c>
      <c r="F163" s="9" t="str">
        <f>IF(AND($BN$25&lt;&gt;"",($BM$25+8)&lt;=$BO$25),$BN$25&amp;"-"&amp;TEXT(($BM$25+8),"00"),"")</f>
        <v/>
      </c>
      <c r="H163" s="6"/>
      <c r="I163" s="9" t="str">
        <f>IF(CB163="","",CB163&amp;"-"&amp;TEXT(COUNTIF($CA$72:$CA$95,CB163)+COUNTIF($CB$72:$CB$95,CB163)+COUNTIF($CC$72:$CC$95,CB163)+COUNTIF($CD$72:$CD$95,CB163)+COUNTIF($CA$100:$CA$123,CB163)+COUNTIF($CB$100:$CB$123,CB163)+COUNTIF($CC$100:$CC$123,CB163)+COUNTIF($CD$100:$CD$123,CB163)+COUNTIF($CA$128:$CA$151,CB163)+COUNTIF($CB$128:$CB$151,CB163)+COUNTIF($CC$128:$CC$151,CB163)+COUNTIF($CD$128:$CD$151,CB163)+COUNTIF($CA$156:$CA$179,CB163)+COUNTIF($CB$156:CB163,CB163),"000"))</f>
        <v/>
      </c>
      <c r="J163" s="9" t="str">
        <f>IF(AND($BN$26&lt;&gt;"",($BM$26+8)&lt;=$BO$26),$BN$26,"")</f>
        <v/>
      </c>
      <c r="K163" s="9" t="str">
        <f>IF(AND($BN$26&lt;&gt;"",($BM$26+8)&lt;=$BO$26),TEXT(($BM$26+8),"00"),"")</f>
        <v/>
      </c>
      <c r="L163" s="9" t="str">
        <f>IF(AND($BN$26&lt;&gt;"",($BM$26+8)&lt;=$BO$26),$BN$26&amp;"-"&amp;TEXT(($BM$26+8),"00"),"")</f>
        <v/>
      </c>
      <c r="N163" s="6"/>
      <c r="O163" s="9" t="str">
        <f>IF(CC163="","",CC163&amp;"-"&amp;TEXT(COUNTIF($CA$72:$CA$95,CC163)+COUNTIF($CB$72:$CB$95,CC163)+COUNTIF($CC$72:$CC$95,CC163)+COUNTIF($CD$72:$CD$95,CC163)+COUNTIF($CA$100:$CA$123,CC163)+COUNTIF($CB$100:$CB$123,CC163)+COUNTIF($CC$100:$CC$123,CC163)+COUNTIF($CD$100:$CD$123,CC163)+COUNTIF($CA$128:$CA$151,CC163)+COUNTIF($CB$128:$CB$151,CC163)+COUNTIF($CC$128:$CC$151,CC163)+COUNTIF($CD$128:$CD$151,CC163)+COUNTIF($CA$156:$CA$179,CC163)+COUNTIF($CB$156:$CB$179,CC163)+COUNTIF($CC$156:CC163,CC163),"000"))</f>
        <v/>
      </c>
      <c r="P163" s="9" t="str">
        <f>IF(AND($BN$27&lt;&gt;"",($BM$27+8)&lt;=$BO$27),$BN$27,"")</f>
        <v/>
      </c>
      <c r="Q163" s="9" t="str">
        <f>IF(AND($BN$27&lt;&gt;"",($BM$27+8)&lt;=$BO$27),TEXT(($BM$27+8),"00"),"")</f>
        <v/>
      </c>
      <c r="R163" s="9" t="str">
        <f>IF(AND($BN$27&lt;&gt;"",($BM$27+8)&lt;=$BO$27),$BN$27&amp;"-"&amp;TEXT(($BM$27+8),"00"),"")</f>
        <v/>
      </c>
      <c r="T163" s="6"/>
      <c r="U163" s="9" t="str">
        <f>IF(CD163="","",CD163&amp;"-"&amp;TEXT(COUNTIF($CA$72:$CA$95,CD163)+COUNTIF($CB$72:$CB$95,CD163)+COUNTIF($CC$72:$CC$95,CD163)+COUNTIF($CD$72:$CD$95,CD163)+COUNTIF($CA$100:$CA$123,CD163)+COUNTIF($CB$100:$CB$123,CD163)+COUNTIF($CC$100:$CC$123,CD163)+COUNTIF($CD$100:$CD$123,CD163)+COUNTIF($CA$128:$CA$151,CD163)+COUNTIF($CB$128:$CB$151,CD163)+COUNTIF($CC$128:$CC$151,CD163)+COUNTIF($CD$128:$CD$151,CD163)+COUNTIF($CA$156:$CA$179,CD163)+COUNTIF($CB$156:$CB$179,CD163)+COUNTIF($CC$156:$CC$179,CD163)+COUNTIF($CD$156:CD163,CD163),"000"))</f>
        <v/>
      </c>
      <c r="V163" s="9" t="str">
        <f>IF(AND($BN$28&lt;&gt;"",($BM$28+8)&lt;=$BO$28),$BN$28,"")</f>
        <v/>
      </c>
      <c r="W163" s="9" t="str">
        <f>IF(AND($BN$28&lt;&gt;"",($BM$28+8)&lt;=$BO$28),TEXT(($BM$28+8),"00"),"")</f>
        <v/>
      </c>
      <c r="X163" s="9" t="str">
        <f>IF(AND($BN$28&lt;&gt;"",($BM$28+8)&lt;=$BO$28),$BN$28&amp;"-"&amp;TEXT(($BM$28+8),"00"),"")</f>
        <v/>
      </c>
      <c r="CA163" t="str" cm="1">
        <f t="array" ref="CA163">IF(NOT(AND($BN$25&lt;&gt;"",($BM$25+8)&lt;=$BO$25)),"",IF(B163&lt;&gt;"",IF(B163="-","",B163),IF(ISNUMBER(SEARCH(":",$BP$25)),IFERROR(_xlfn.LET(_xlpm.s,_xlfn.TEXTSPLIT($BP$25,","),_xlpm.k,FIND(":",_xlpm.s),INDEX(TRIM(LEFT(_xlpm.s,_xlpm.k-1)),_xlfn.XMATCH(($BM$25+8),_xlfn.SCAN(0,--MID(_xlpm.s,_xlpm.k+1,9),_xlfn.LAMBDA(_xlpm.a,_xlpm.v,_xlpm.a+_xlpm.v)),1))),""),IF(($BM$25+8)&lt;=$BQ$25,$BP$25,""))))</f>
        <v/>
      </c>
      <c r="CB163" t="str" cm="1">
        <f t="array" ref="CB163">IF(NOT(AND($BN$26&lt;&gt;"",($BM$26+8)&lt;=$BO$26)),"",IF(H163&lt;&gt;"",IF(H163="-","",H163),IF(ISNUMBER(SEARCH(":",$BP$26)),IFERROR(_xlfn.LET(_xlpm.s,_xlfn.TEXTSPLIT($BP$26,","),_xlpm.k,FIND(":",_xlpm.s),INDEX(TRIM(LEFT(_xlpm.s,_xlpm.k-1)),_xlfn.XMATCH(($BM$26+8),_xlfn.SCAN(0,--MID(_xlpm.s,_xlpm.k+1,9),_xlfn.LAMBDA(_xlpm.a,_xlpm.v,_xlpm.a+_xlpm.v)),1))),""),IF(($BM$26+8)&lt;=$BQ$26,$BP$26,""))))</f>
        <v/>
      </c>
      <c r="CC163" t="str" cm="1">
        <f t="array" ref="CC163">IF(NOT(AND($BN$27&lt;&gt;"",($BM$27+8)&lt;=$BO$27)),"",IF(N163&lt;&gt;"",IF(N163="-","",N163),IF(ISNUMBER(SEARCH(":",$BP$27)),IFERROR(_xlfn.LET(_xlpm.s,_xlfn.TEXTSPLIT($BP$27,","),_xlpm.k,FIND(":",_xlpm.s),INDEX(TRIM(LEFT(_xlpm.s,_xlpm.k-1)),_xlfn.XMATCH(($BM$27+8),_xlfn.SCAN(0,--MID(_xlpm.s,_xlpm.k+1,9),_xlfn.LAMBDA(_xlpm.a,_xlpm.v,_xlpm.a+_xlpm.v)),1))),""),IF(($BM$27+8)&lt;=$BQ$27,$BP$27,""))))</f>
        <v/>
      </c>
      <c r="CD163" t="str" cm="1">
        <f t="array" ref="CD163">IF(NOT(AND($BN$28&lt;&gt;"",($BM$28+8)&lt;=$BO$28)),"",IF(T163&lt;&gt;"",IF(T163="-","",T163),IF(ISNUMBER(SEARCH(":",$BP$28)),IFERROR(_xlfn.LET(_xlpm.s,_xlfn.TEXTSPLIT($BP$28,","),_xlpm.k,FIND(":",_xlpm.s),INDEX(TRIM(LEFT(_xlpm.s,_xlpm.k-1)),_xlfn.XMATCH(($BM$28+8),_xlfn.SCAN(0,--MID(_xlpm.s,_xlpm.k+1,9),_xlfn.LAMBDA(_xlpm.a,_xlpm.v,_xlpm.a+_xlpm.v)),1))),""),IF(($BM$28+8)&lt;=$BQ$28,$BP$28,""))))</f>
        <v/>
      </c>
    </row>
    <row r="164" spans="2:82" hidden="1" x14ac:dyDescent="0.45">
      <c r="B164" s="6"/>
      <c r="C164" s="9" t="str">
        <f>IF(CA164="","",CA164&amp;"-"&amp;TEXT(COUNTIF($CA$72:$CA$95,CA164)+COUNTIF($CB$72:$CB$95,CA164)+COUNTIF($CC$72:$CC$95,CA164)+COUNTIF($CD$72:$CD$95,CA164)+COUNTIF($CA$100:$CA$123,CA164)+COUNTIF($CB$100:$CB$123,CA164)+COUNTIF($CC$100:$CC$123,CA164)+COUNTIF($CD$100:$CD$123,CA164)+COUNTIF($CA$128:$CA$151,CA164)+COUNTIF($CB$128:$CB$151,CA164)+COUNTIF($CC$128:$CC$151,CA164)+COUNTIF($CD$128:$CD$151,CA164)+COUNTIF($CA$156:CA164,CA164),"000"))</f>
        <v/>
      </c>
      <c r="D164" s="9" t="str">
        <f>IF(AND($BN$25&lt;&gt;"",($BM$25+9)&lt;=$BO$25),$BN$25,"")</f>
        <v/>
      </c>
      <c r="E164" s="9" t="str">
        <f>IF(AND($BN$25&lt;&gt;"",($BM$25+9)&lt;=$BO$25),TEXT(($BM$25+9),"00"),"")</f>
        <v/>
      </c>
      <c r="F164" s="9" t="str">
        <f>IF(AND($BN$25&lt;&gt;"",($BM$25+9)&lt;=$BO$25),$BN$25&amp;"-"&amp;TEXT(($BM$25+9),"00"),"")</f>
        <v/>
      </c>
      <c r="H164" s="6"/>
      <c r="I164" s="9" t="str">
        <f>IF(CB164="","",CB164&amp;"-"&amp;TEXT(COUNTIF($CA$72:$CA$95,CB164)+COUNTIF($CB$72:$CB$95,CB164)+COUNTIF($CC$72:$CC$95,CB164)+COUNTIF($CD$72:$CD$95,CB164)+COUNTIF($CA$100:$CA$123,CB164)+COUNTIF($CB$100:$CB$123,CB164)+COUNTIF($CC$100:$CC$123,CB164)+COUNTIF($CD$100:$CD$123,CB164)+COUNTIF($CA$128:$CA$151,CB164)+COUNTIF($CB$128:$CB$151,CB164)+COUNTIF($CC$128:$CC$151,CB164)+COUNTIF($CD$128:$CD$151,CB164)+COUNTIF($CA$156:$CA$179,CB164)+COUNTIF($CB$156:CB164,CB164),"000"))</f>
        <v/>
      </c>
      <c r="J164" s="9" t="str">
        <f>IF(AND($BN$26&lt;&gt;"",($BM$26+9)&lt;=$BO$26),$BN$26,"")</f>
        <v/>
      </c>
      <c r="K164" s="9" t="str">
        <f>IF(AND($BN$26&lt;&gt;"",($BM$26+9)&lt;=$BO$26),TEXT(($BM$26+9),"00"),"")</f>
        <v/>
      </c>
      <c r="L164" s="9" t="str">
        <f>IF(AND($BN$26&lt;&gt;"",($BM$26+9)&lt;=$BO$26),$BN$26&amp;"-"&amp;TEXT(($BM$26+9),"00"),"")</f>
        <v/>
      </c>
      <c r="N164" s="6"/>
      <c r="O164" s="9" t="str">
        <f>IF(CC164="","",CC164&amp;"-"&amp;TEXT(COUNTIF($CA$72:$CA$95,CC164)+COUNTIF($CB$72:$CB$95,CC164)+COUNTIF($CC$72:$CC$95,CC164)+COUNTIF($CD$72:$CD$95,CC164)+COUNTIF($CA$100:$CA$123,CC164)+COUNTIF($CB$100:$CB$123,CC164)+COUNTIF($CC$100:$CC$123,CC164)+COUNTIF($CD$100:$CD$123,CC164)+COUNTIF($CA$128:$CA$151,CC164)+COUNTIF($CB$128:$CB$151,CC164)+COUNTIF($CC$128:$CC$151,CC164)+COUNTIF($CD$128:$CD$151,CC164)+COUNTIF($CA$156:$CA$179,CC164)+COUNTIF($CB$156:$CB$179,CC164)+COUNTIF($CC$156:CC164,CC164),"000"))</f>
        <v/>
      </c>
      <c r="P164" s="9" t="str">
        <f>IF(AND($BN$27&lt;&gt;"",($BM$27+9)&lt;=$BO$27),$BN$27,"")</f>
        <v/>
      </c>
      <c r="Q164" s="9" t="str">
        <f>IF(AND($BN$27&lt;&gt;"",($BM$27+9)&lt;=$BO$27),TEXT(($BM$27+9),"00"),"")</f>
        <v/>
      </c>
      <c r="R164" s="9" t="str">
        <f>IF(AND($BN$27&lt;&gt;"",($BM$27+9)&lt;=$BO$27),$BN$27&amp;"-"&amp;TEXT(($BM$27+9),"00"),"")</f>
        <v/>
      </c>
      <c r="T164" s="6"/>
      <c r="U164" s="9" t="str">
        <f>IF(CD164="","",CD164&amp;"-"&amp;TEXT(COUNTIF($CA$72:$CA$95,CD164)+COUNTIF($CB$72:$CB$95,CD164)+COUNTIF($CC$72:$CC$95,CD164)+COUNTIF($CD$72:$CD$95,CD164)+COUNTIF($CA$100:$CA$123,CD164)+COUNTIF($CB$100:$CB$123,CD164)+COUNTIF($CC$100:$CC$123,CD164)+COUNTIF($CD$100:$CD$123,CD164)+COUNTIF($CA$128:$CA$151,CD164)+COUNTIF($CB$128:$CB$151,CD164)+COUNTIF($CC$128:$CC$151,CD164)+COUNTIF($CD$128:$CD$151,CD164)+COUNTIF($CA$156:$CA$179,CD164)+COUNTIF($CB$156:$CB$179,CD164)+COUNTIF($CC$156:$CC$179,CD164)+COUNTIF($CD$156:CD164,CD164),"000"))</f>
        <v/>
      </c>
      <c r="V164" s="9" t="str">
        <f>IF(AND($BN$28&lt;&gt;"",($BM$28+9)&lt;=$BO$28),$BN$28,"")</f>
        <v/>
      </c>
      <c r="W164" s="9" t="str">
        <f>IF(AND($BN$28&lt;&gt;"",($BM$28+9)&lt;=$BO$28),TEXT(($BM$28+9),"00"),"")</f>
        <v/>
      </c>
      <c r="X164" s="9" t="str">
        <f>IF(AND($BN$28&lt;&gt;"",($BM$28+9)&lt;=$BO$28),$BN$28&amp;"-"&amp;TEXT(($BM$28+9),"00"),"")</f>
        <v/>
      </c>
      <c r="CA164" t="str" cm="1">
        <f t="array" ref="CA164">IF(NOT(AND($BN$25&lt;&gt;"",($BM$25+9)&lt;=$BO$25)),"",IF(B164&lt;&gt;"",IF(B164="-","",B164),IF(ISNUMBER(SEARCH(":",$BP$25)),IFERROR(_xlfn.LET(_xlpm.s,_xlfn.TEXTSPLIT($BP$25,","),_xlpm.k,FIND(":",_xlpm.s),INDEX(TRIM(LEFT(_xlpm.s,_xlpm.k-1)),_xlfn.XMATCH(($BM$25+9),_xlfn.SCAN(0,--MID(_xlpm.s,_xlpm.k+1,9),_xlfn.LAMBDA(_xlpm.a,_xlpm.v,_xlpm.a+_xlpm.v)),1))),""),IF(($BM$25+9)&lt;=$BQ$25,$BP$25,""))))</f>
        <v/>
      </c>
      <c r="CB164" t="str" cm="1">
        <f t="array" ref="CB164">IF(NOT(AND($BN$26&lt;&gt;"",($BM$26+9)&lt;=$BO$26)),"",IF(H164&lt;&gt;"",IF(H164="-","",H164),IF(ISNUMBER(SEARCH(":",$BP$26)),IFERROR(_xlfn.LET(_xlpm.s,_xlfn.TEXTSPLIT($BP$26,","),_xlpm.k,FIND(":",_xlpm.s),INDEX(TRIM(LEFT(_xlpm.s,_xlpm.k-1)),_xlfn.XMATCH(($BM$26+9),_xlfn.SCAN(0,--MID(_xlpm.s,_xlpm.k+1,9),_xlfn.LAMBDA(_xlpm.a,_xlpm.v,_xlpm.a+_xlpm.v)),1))),""),IF(($BM$26+9)&lt;=$BQ$26,$BP$26,""))))</f>
        <v/>
      </c>
      <c r="CC164" t="str" cm="1">
        <f t="array" ref="CC164">IF(NOT(AND($BN$27&lt;&gt;"",($BM$27+9)&lt;=$BO$27)),"",IF(N164&lt;&gt;"",IF(N164="-","",N164),IF(ISNUMBER(SEARCH(":",$BP$27)),IFERROR(_xlfn.LET(_xlpm.s,_xlfn.TEXTSPLIT($BP$27,","),_xlpm.k,FIND(":",_xlpm.s),INDEX(TRIM(LEFT(_xlpm.s,_xlpm.k-1)),_xlfn.XMATCH(($BM$27+9),_xlfn.SCAN(0,--MID(_xlpm.s,_xlpm.k+1,9),_xlfn.LAMBDA(_xlpm.a,_xlpm.v,_xlpm.a+_xlpm.v)),1))),""),IF(($BM$27+9)&lt;=$BQ$27,$BP$27,""))))</f>
        <v/>
      </c>
      <c r="CD164" t="str" cm="1">
        <f t="array" ref="CD164">IF(NOT(AND($BN$28&lt;&gt;"",($BM$28+9)&lt;=$BO$28)),"",IF(T164&lt;&gt;"",IF(T164="-","",T164),IF(ISNUMBER(SEARCH(":",$BP$28)),IFERROR(_xlfn.LET(_xlpm.s,_xlfn.TEXTSPLIT($BP$28,","),_xlpm.k,FIND(":",_xlpm.s),INDEX(TRIM(LEFT(_xlpm.s,_xlpm.k-1)),_xlfn.XMATCH(($BM$28+9),_xlfn.SCAN(0,--MID(_xlpm.s,_xlpm.k+1,9),_xlfn.LAMBDA(_xlpm.a,_xlpm.v,_xlpm.a+_xlpm.v)),1))),""),IF(($BM$28+9)&lt;=$BQ$28,$BP$28,""))))</f>
        <v/>
      </c>
    </row>
    <row r="165" spans="2:82" hidden="1" x14ac:dyDescent="0.45">
      <c r="B165" s="6"/>
      <c r="C165" s="9" t="str">
        <f>IF(CA165="","",CA165&amp;"-"&amp;TEXT(COUNTIF($CA$72:$CA$95,CA165)+COUNTIF($CB$72:$CB$95,CA165)+COUNTIF($CC$72:$CC$95,CA165)+COUNTIF($CD$72:$CD$95,CA165)+COUNTIF($CA$100:$CA$123,CA165)+COUNTIF($CB$100:$CB$123,CA165)+COUNTIF($CC$100:$CC$123,CA165)+COUNTIF($CD$100:$CD$123,CA165)+COUNTIF($CA$128:$CA$151,CA165)+COUNTIF($CB$128:$CB$151,CA165)+COUNTIF($CC$128:$CC$151,CA165)+COUNTIF($CD$128:$CD$151,CA165)+COUNTIF($CA$156:CA165,CA165),"000"))</f>
        <v/>
      </c>
      <c r="D165" s="9" t="str">
        <f>IF(AND($BN$25&lt;&gt;"",($BM$25+10)&lt;=$BO$25),$BN$25,"")</f>
        <v/>
      </c>
      <c r="E165" s="9" t="str">
        <f>IF(AND($BN$25&lt;&gt;"",($BM$25+10)&lt;=$BO$25),TEXT(($BM$25+10),"00"),"")</f>
        <v/>
      </c>
      <c r="F165" s="9" t="str">
        <f>IF(AND($BN$25&lt;&gt;"",($BM$25+10)&lt;=$BO$25),$BN$25&amp;"-"&amp;TEXT(($BM$25+10),"00"),"")</f>
        <v/>
      </c>
      <c r="H165" s="6"/>
      <c r="I165" s="9" t="str">
        <f>IF(CB165="","",CB165&amp;"-"&amp;TEXT(COUNTIF($CA$72:$CA$95,CB165)+COUNTIF($CB$72:$CB$95,CB165)+COUNTIF($CC$72:$CC$95,CB165)+COUNTIF($CD$72:$CD$95,CB165)+COUNTIF($CA$100:$CA$123,CB165)+COUNTIF($CB$100:$CB$123,CB165)+COUNTIF($CC$100:$CC$123,CB165)+COUNTIF($CD$100:$CD$123,CB165)+COUNTIF($CA$128:$CA$151,CB165)+COUNTIF($CB$128:$CB$151,CB165)+COUNTIF($CC$128:$CC$151,CB165)+COUNTIF($CD$128:$CD$151,CB165)+COUNTIF($CA$156:$CA$179,CB165)+COUNTIF($CB$156:CB165,CB165),"000"))</f>
        <v/>
      </c>
      <c r="J165" s="9" t="str">
        <f>IF(AND($BN$26&lt;&gt;"",($BM$26+10)&lt;=$BO$26),$BN$26,"")</f>
        <v/>
      </c>
      <c r="K165" s="9" t="str">
        <f>IF(AND($BN$26&lt;&gt;"",($BM$26+10)&lt;=$BO$26),TEXT(($BM$26+10),"00"),"")</f>
        <v/>
      </c>
      <c r="L165" s="9" t="str">
        <f>IF(AND($BN$26&lt;&gt;"",($BM$26+10)&lt;=$BO$26),$BN$26&amp;"-"&amp;TEXT(($BM$26+10),"00"),"")</f>
        <v/>
      </c>
      <c r="N165" s="6"/>
      <c r="O165" s="9" t="str">
        <f>IF(CC165="","",CC165&amp;"-"&amp;TEXT(COUNTIF($CA$72:$CA$95,CC165)+COUNTIF($CB$72:$CB$95,CC165)+COUNTIF($CC$72:$CC$95,CC165)+COUNTIF($CD$72:$CD$95,CC165)+COUNTIF($CA$100:$CA$123,CC165)+COUNTIF($CB$100:$CB$123,CC165)+COUNTIF($CC$100:$CC$123,CC165)+COUNTIF($CD$100:$CD$123,CC165)+COUNTIF($CA$128:$CA$151,CC165)+COUNTIF($CB$128:$CB$151,CC165)+COUNTIF($CC$128:$CC$151,CC165)+COUNTIF($CD$128:$CD$151,CC165)+COUNTIF($CA$156:$CA$179,CC165)+COUNTIF($CB$156:$CB$179,CC165)+COUNTIF($CC$156:CC165,CC165),"000"))</f>
        <v/>
      </c>
      <c r="P165" s="9" t="str">
        <f>IF(AND($BN$27&lt;&gt;"",($BM$27+10)&lt;=$BO$27),$BN$27,"")</f>
        <v/>
      </c>
      <c r="Q165" s="9" t="str">
        <f>IF(AND($BN$27&lt;&gt;"",($BM$27+10)&lt;=$BO$27),TEXT(($BM$27+10),"00"),"")</f>
        <v/>
      </c>
      <c r="R165" s="9" t="str">
        <f>IF(AND($BN$27&lt;&gt;"",($BM$27+10)&lt;=$BO$27),$BN$27&amp;"-"&amp;TEXT(($BM$27+10),"00"),"")</f>
        <v/>
      </c>
      <c r="T165" s="6"/>
      <c r="U165" s="9" t="str">
        <f>IF(CD165="","",CD165&amp;"-"&amp;TEXT(COUNTIF($CA$72:$CA$95,CD165)+COUNTIF($CB$72:$CB$95,CD165)+COUNTIF($CC$72:$CC$95,CD165)+COUNTIF($CD$72:$CD$95,CD165)+COUNTIF($CA$100:$CA$123,CD165)+COUNTIF($CB$100:$CB$123,CD165)+COUNTIF($CC$100:$CC$123,CD165)+COUNTIF($CD$100:$CD$123,CD165)+COUNTIF($CA$128:$CA$151,CD165)+COUNTIF($CB$128:$CB$151,CD165)+COUNTIF($CC$128:$CC$151,CD165)+COUNTIF($CD$128:$CD$151,CD165)+COUNTIF($CA$156:$CA$179,CD165)+COUNTIF($CB$156:$CB$179,CD165)+COUNTIF($CC$156:$CC$179,CD165)+COUNTIF($CD$156:CD165,CD165),"000"))</f>
        <v/>
      </c>
      <c r="V165" s="9" t="str">
        <f>IF(AND($BN$28&lt;&gt;"",($BM$28+10)&lt;=$BO$28),$BN$28,"")</f>
        <v/>
      </c>
      <c r="W165" s="9" t="str">
        <f>IF(AND($BN$28&lt;&gt;"",($BM$28+10)&lt;=$BO$28),TEXT(($BM$28+10),"00"),"")</f>
        <v/>
      </c>
      <c r="X165" s="9" t="str">
        <f>IF(AND($BN$28&lt;&gt;"",($BM$28+10)&lt;=$BO$28),$BN$28&amp;"-"&amp;TEXT(($BM$28+10),"00"),"")</f>
        <v/>
      </c>
      <c r="CA165" t="str" cm="1">
        <f t="array" ref="CA165">IF(NOT(AND($BN$25&lt;&gt;"",($BM$25+10)&lt;=$BO$25)),"",IF(B165&lt;&gt;"",IF(B165="-","",B165),IF(ISNUMBER(SEARCH(":",$BP$25)),IFERROR(_xlfn.LET(_xlpm.s,_xlfn.TEXTSPLIT($BP$25,","),_xlpm.k,FIND(":",_xlpm.s),INDEX(TRIM(LEFT(_xlpm.s,_xlpm.k-1)),_xlfn.XMATCH(($BM$25+10),_xlfn.SCAN(0,--MID(_xlpm.s,_xlpm.k+1,9),_xlfn.LAMBDA(_xlpm.a,_xlpm.v,_xlpm.a+_xlpm.v)),1))),""),IF(($BM$25+10)&lt;=$BQ$25,$BP$25,""))))</f>
        <v/>
      </c>
      <c r="CB165" t="str" cm="1">
        <f t="array" ref="CB165">IF(NOT(AND($BN$26&lt;&gt;"",($BM$26+10)&lt;=$BO$26)),"",IF(H165&lt;&gt;"",IF(H165="-","",H165),IF(ISNUMBER(SEARCH(":",$BP$26)),IFERROR(_xlfn.LET(_xlpm.s,_xlfn.TEXTSPLIT($BP$26,","),_xlpm.k,FIND(":",_xlpm.s),INDEX(TRIM(LEFT(_xlpm.s,_xlpm.k-1)),_xlfn.XMATCH(($BM$26+10),_xlfn.SCAN(0,--MID(_xlpm.s,_xlpm.k+1,9),_xlfn.LAMBDA(_xlpm.a,_xlpm.v,_xlpm.a+_xlpm.v)),1))),""),IF(($BM$26+10)&lt;=$BQ$26,$BP$26,""))))</f>
        <v/>
      </c>
      <c r="CC165" t="str" cm="1">
        <f t="array" ref="CC165">IF(NOT(AND($BN$27&lt;&gt;"",($BM$27+10)&lt;=$BO$27)),"",IF(N165&lt;&gt;"",IF(N165="-","",N165),IF(ISNUMBER(SEARCH(":",$BP$27)),IFERROR(_xlfn.LET(_xlpm.s,_xlfn.TEXTSPLIT($BP$27,","),_xlpm.k,FIND(":",_xlpm.s),INDEX(TRIM(LEFT(_xlpm.s,_xlpm.k-1)),_xlfn.XMATCH(($BM$27+10),_xlfn.SCAN(0,--MID(_xlpm.s,_xlpm.k+1,9),_xlfn.LAMBDA(_xlpm.a,_xlpm.v,_xlpm.a+_xlpm.v)),1))),""),IF(($BM$27+10)&lt;=$BQ$27,$BP$27,""))))</f>
        <v/>
      </c>
      <c r="CD165" t="str" cm="1">
        <f t="array" ref="CD165">IF(NOT(AND($BN$28&lt;&gt;"",($BM$28+10)&lt;=$BO$28)),"",IF(T165&lt;&gt;"",IF(T165="-","",T165),IF(ISNUMBER(SEARCH(":",$BP$28)),IFERROR(_xlfn.LET(_xlpm.s,_xlfn.TEXTSPLIT($BP$28,","),_xlpm.k,FIND(":",_xlpm.s),INDEX(TRIM(LEFT(_xlpm.s,_xlpm.k-1)),_xlfn.XMATCH(($BM$28+10),_xlfn.SCAN(0,--MID(_xlpm.s,_xlpm.k+1,9),_xlfn.LAMBDA(_xlpm.a,_xlpm.v,_xlpm.a+_xlpm.v)),1))),""),IF(($BM$28+10)&lt;=$BQ$28,$BP$28,""))))</f>
        <v/>
      </c>
    </row>
    <row r="166" spans="2:82" hidden="1" x14ac:dyDescent="0.45">
      <c r="B166" s="6"/>
      <c r="C166" s="9" t="str">
        <f>IF(CA166="","",CA166&amp;"-"&amp;TEXT(COUNTIF($CA$72:$CA$95,CA166)+COUNTIF($CB$72:$CB$95,CA166)+COUNTIF($CC$72:$CC$95,CA166)+COUNTIF($CD$72:$CD$95,CA166)+COUNTIF($CA$100:$CA$123,CA166)+COUNTIF($CB$100:$CB$123,CA166)+COUNTIF($CC$100:$CC$123,CA166)+COUNTIF($CD$100:$CD$123,CA166)+COUNTIF($CA$128:$CA$151,CA166)+COUNTIF($CB$128:$CB$151,CA166)+COUNTIF($CC$128:$CC$151,CA166)+COUNTIF($CD$128:$CD$151,CA166)+COUNTIF($CA$156:CA166,CA166),"000"))</f>
        <v/>
      </c>
      <c r="D166" s="9" t="str">
        <f>IF(AND($BN$25&lt;&gt;"",($BM$25+11)&lt;=$BO$25),$BN$25,"")</f>
        <v/>
      </c>
      <c r="E166" s="9" t="str">
        <f>IF(AND($BN$25&lt;&gt;"",($BM$25+11)&lt;=$BO$25),TEXT(($BM$25+11),"00"),"")</f>
        <v/>
      </c>
      <c r="F166" s="9" t="str">
        <f>IF(AND($BN$25&lt;&gt;"",($BM$25+11)&lt;=$BO$25),$BN$25&amp;"-"&amp;TEXT(($BM$25+11),"00"),"")</f>
        <v/>
      </c>
      <c r="H166" s="6"/>
      <c r="I166" s="9" t="str">
        <f>IF(CB166="","",CB166&amp;"-"&amp;TEXT(COUNTIF($CA$72:$CA$95,CB166)+COUNTIF($CB$72:$CB$95,CB166)+COUNTIF($CC$72:$CC$95,CB166)+COUNTIF($CD$72:$CD$95,CB166)+COUNTIF($CA$100:$CA$123,CB166)+COUNTIF($CB$100:$CB$123,CB166)+COUNTIF($CC$100:$CC$123,CB166)+COUNTIF($CD$100:$CD$123,CB166)+COUNTIF($CA$128:$CA$151,CB166)+COUNTIF($CB$128:$CB$151,CB166)+COUNTIF($CC$128:$CC$151,CB166)+COUNTIF($CD$128:$CD$151,CB166)+COUNTIF($CA$156:$CA$179,CB166)+COUNTIF($CB$156:CB166,CB166),"000"))</f>
        <v/>
      </c>
      <c r="J166" s="9" t="str">
        <f>IF(AND($BN$26&lt;&gt;"",($BM$26+11)&lt;=$BO$26),$BN$26,"")</f>
        <v/>
      </c>
      <c r="K166" s="9" t="str">
        <f>IF(AND($BN$26&lt;&gt;"",($BM$26+11)&lt;=$BO$26),TEXT(($BM$26+11),"00"),"")</f>
        <v/>
      </c>
      <c r="L166" s="9" t="str">
        <f>IF(AND($BN$26&lt;&gt;"",($BM$26+11)&lt;=$BO$26),$BN$26&amp;"-"&amp;TEXT(($BM$26+11),"00"),"")</f>
        <v/>
      </c>
      <c r="N166" s="6"/>
      <c r="O166" s="9" t="str">
        <f>IF(CC166="","",CC166&amp;"-"&amp;TEXT(COUNTIF($CA$72:$CA$95,CC166)+COUNTIF($CB$72:$CB$95,CC166)+COUNTIF($CC$72:$CC$95,CC166)+COUNTIF($CD$72:$CD$95,CC166)+COUNTIF($CA$100:$CA$123,CC166)+COUNTIF($CB$100:$CB$123,CC166)+COUNTIF($CC$100:$CC$123,CC166)+COUNTIF($CD$100:$CD$123,CC166)+COUNTIF($CA$128:$CA$151,CC166)+COUNTIF($CB$128:$CB$151,CC166)+COUNTIF($CC$128:$CC$151,CC166)+COUNTIF($CD$128:$CD$151,CC166)+COUNTIF($CA$156:$CA$179,CC166)+COUNTIF($CB$156:$CB$179,CC166)+COUNTIF($CC$156:CC166,CC166),"000"))</f>
        <v/>
      </c>
      <c r="P166" s="9" t="str">
        <f>IF(AND($BN$27&lt;&gt;"",($BM$27+11)&lt;=$BO$27),$BN$27,"")</f>
        <v/>
      </c>
      <c r="Q166" s="9" t="str">
        <f>IF(AND($BN$27&lt;&gt;"",($BM$27+11)&lt;=$BO$27),TEXT(($BM$27+11),"00"),"")</f>
        <v/>
      </c>
      <c r="R166" s="9" t="str">
        <f>IF(AND($BN$27&lt;&gt;"",($BM$27+11)&lt;=$BO$27),$BN$27&amp;"-"&amp;TEXT(($BM$27+11),"00"),"")</f>
        <v/>
      </c>
      <c r="T166" s="6"/>
      <c r="U166" s="9" t="str">
        <f>IF(CD166="","",CD166&amp;"-"&amp;TEXT(COUNTIF($CA$72:$CA$95,CD166)+COUNTIF($CB$72:$CB$95,CD166)+COUNTIF($CC$72:$CC$95,CD166)+COUNTIF($CD$72:$CD$95,CD166)+COUNTIF($CA$100:$CA$123,CD166)+COUNTIF($CB$100:$CB$123,CD166)+COUNTIF($CC$100:$CC$123,CD166)+COUNTIF($CD$100:$CD$123,CD166)+COUNTIF($CA$128:$CA$151,CD166)+COUNTIF($CB$128:$CB$151,CD166)+COUNTIF($CC$128:$CC$151,CD166)+COUNTIF($CD$128:$CD$151,CD166)+COUNTIF($CA$156:$CA$179,CD166)+COUNTIF($CB$156:$CB$179,CD166)+COUNTIF($CC$156:$CC$179,CD166)+COUNTIF($CD$156:CD166,CD166),"000"))</f>
        <v/>
      </c>
      <c r="V166" s="9" t="str">
        <f>IF(AND($BN$28&lt;&gt;"",($BM$28+11)&lt;=$BO$28),$BN$28,"")</f>
        <v/>
      </c>
      <c r="W166" s="9" t="str">
        <f>IF(AND($BN$28&lt;&gt;"",($BM$28+11)&lt;=$BO$28),TEXT(($BM$28+11),"00"),"")</f>
        <v/>
      </c>
      <c r="X166" s="9" t="str">
        <f>IF(AND($BN$28&lt;&gt;"",($BM$28+11)&lt;=$BO$28),$BN$28&amp;"-"&amp;TEXT(($BM$28+11),"00"),"")</f>
        <v/>
      </c>
      <c r="CA166" t="str" cm="1">
        <f t="array" ref="CA166">IF(NOT(AND($BN$25&lt;&gt;"",($BM$25+11)&lt;=$BO$25)),"",IF(B166&lt;&gt;"",IF(B166="-","",B166),IF(ISNUMBER(SEARCH(":",$BP$25)),IFERROR(_xlfn.LET(_xlpm.s,_xlfn.TEXTSPLIT($BP$25,","),_xlpm.k,FIND(":",_xlpm.s),INDEX(TRIM(LEFT(_xlpm.s,_xlpm.k-1)),_xlfn.XMATCH(($BM$25+11),_xlfn.SCAN(0,--MID(_xlpm.s,_xlpm.k+1,9),_xlfn.LAMBDA(_xlpm.a,_xlpm.v,_xlpm.a+_xlpm.v)),1))),""),IF(($BM$25+11)&lt;=$BQ$25,$BP$25,""))))</f>
        <v/>
      </c>
      <c r="CB166" t="str" cm="1">
        <f t="array" ref="CB166">IF(NOT(AND($BN$26&lt;&gt;"",($BM$26+11)&lt;=$BO$26)),"",IF(H166&lt;&gt;"",IF(H166="-","",H166),IF(ISNUMBER(SEARCH(":",$BP$26)),IFERROR(_xlfn.LET(_xlpm.s,_xlfn.TEXTSPLIT($BP$26,","),_xlpm.k,FIND(":",_xlpm.s),INDEX(TRIM(LEFT(_xlpm.s,_xlpm.k-1)),_xlfn.XMATCH(($BM$26+11),_xlfn.SCAN(0,--MID(_xlpm.s,_xlpm.k+1,9),_xlfn.LAMBDA(_xlpm.a,_xlpm.v,_xlpm.a+_xlpm.v)),1))),""),IF(($BM$26+11)&lt;=$BQ$26,$BP$26,""))))</f>
        <v/>
      </c>
      <c r="CC166" t="str" cm="1">
        <f t="array" ref="CC166">IF(NOT(AND($BN$27&lt;&gt;"",($BM$27+11)&lt;=$BO$27)),"",IF(N166&lt;&gt;"",IF(N166="-","",N166),IF(ISNUMBER(SEARCH(":",$BP$27)),IFERROR(_xlfn.LET(_xlpm.s,_xlfn.TEXTSPLIT($BP$27,","),_xlpm.k,FIND(":",_xlpm.s),INDEX(TRIM(LEFT(_xlpm.s,_xlpm.k-1)),_xlfn.XMATCH(($BM$27+11),_xlfn.SCAN(0,--MID(_xlpm.s,_xlpm.k+1,9),_xlfn.LAMBDA(_xlpm.a,_xlpm.v,_xlpm.a+_xlpm.v)),1))),""),IF(($BM$27+11)&lt;=$BQ$27,$BP$27,""))))</f>
        <v/>
      </c>
      <c r="CD166" t="str" cm="1">
        <f t="array" ref="CD166">IF(NOT(AND($BN$28&lt;&gt;"",($BM$28+11)&lt;=$BO$28)),"",IF(T166&lt;&gt;"",IF(T166="-","",T166),IF(ISNUMBER(SEARCH(":",$BP$28)),IFERROR(_xlfn.LET(_xlpm.s,_xlfn.TEXTSPLIT($BP$28,","),_xlpm.k,FIND(":",_xlpm.s),INDEX(TRIM(LEFT(_xlpm.s,_xlpm.k-1)),_xlfn.XMATCH(($BM$28+11),_xlfn.SCAN(0,--MID(_xlpm.s,_xlpm.k+1,9),_xlfn.LAMBDA(_xlpm.a,_xlpm.v,_xlpm.a+_xlpm.v)),1))),""),IF(($BM$28+11)&lt;=$BQ$28,$BP$28,""))))</f>
        <v/>
      </c>
    </row>
    <row r="167" spans="2:82" hidden="1" x14ac:dyDescent="0.45">
      <c r="B167" s="6"/>
      <c r="C167" s="9" t="str">
        <f>IF(CA167="","",CA167&amp;"-"&amp;TEXT(COUNTIF($CA$72:$CA$95,CA167)+COUNTIF($CB$72:$CB$95,CA167)+COUNTIF($CC$72:$CC$95,CA167)+COUNTIF($CD$72:$CD$95,CA167)+COUNTIF($CA$100:$CA$123,CA167)+COUNTIF($CB$100:$CB$123,CA167)+COUNTIF($CC$100:$CC$123,CA167)+COUNTIF($CD$100:$CD$123,CA167)+COUNTIF($CA$128:$CA$151,CA167)+COUNTIF($CB$128:$CB$151,CA167)+COUNTIF($CC$128:$CC$151,CA167)+COUNTIF($CD$128:$CD$151,CA167)+COUNTIF($CA$156:CA167,CA167),"000"))</f>
        <v/>
      </c>
      <c r="D167" s="9" t="str">
        <f>IF(AND($BN$25&lt;&gt;"",($BM$25+12)&lt;=$BO$25),$BN$25,"")</f>
        <v/>
      </c>
      <c r="E167" s="9" t="str">
        <f>IF(AND($BN$25&lt;&gt;"",($BM$25+12)&lt;=$BO$25),TEXT(($BM$25+12),"00"),"")</f>
        <v/>
      </c>
      <c r="F167" s="9" t="str">
        <f>IF(AND($BN$25&lt;&gt;"",($BM$25+12)&lt;=$BO$25),$BN$25&amp;"-"&amp;TEXT(($BM$25+12),"00"),"")</f>
        <v/>
      </c>
      <c r="H167" s="6"/>
      <c r="I167" s="9" t="str">
        <f>IF(CB167="","",CB167&amp;"-"&amp;TEXT(COUNTIF($CA$72:$CA$95,CB167)+COUNTIF($CB$72:$CB$95,CB167)+COUNTIF($CC$72:$CC$95,CB167)+COUNTIF($CD$72:$CD$95,CB167)+COUNTIF($CA$100:$CA$123,CB167)+COUNTIF($CB$100:$CB$123,CB167)+COUNTIF($CC$100:$CC$123,CB167)+COUNTIF($CD$100:$CD$123,CB167)+COUNTIF($CA$128:$CA$151,CB167)+COUNTIF($CB$128:$CB$151,CB167)+COUNTIF($CC$128:$CC$151,CB167)+COUNTIF($CD$128:$CD$151,CB167)+COUNTIF($CA$156:$CA$179,CB167)+COUNTIF($CB$156:CB167,CB167),"000"))</f>
        <v/>
      </c>
      <c r="J167" s="9" t="str">
        <f>IF(AND($BN$26&lt;&gt;"",($BM$26+12)&lt;=$BO$26),$BN$26,"")</f>
        <v/>
      </c>
      <c r="K167" s="9" t="str">
        <f>IF(AND($BN$26&lt;&gt;"",($BM$26+12)&lt;=$BO$26),TEXT(($BM$26+12),"00"),"")</f>
        <v/>
      </c>
      <c r="L167" s="9" t="str">
        <f>IF(AND($BN$26&lt;&gt;"",($BM$26+12)&lt;=$BO$26),$BN$26&amp;"-"&amp;TEXT(($BM$26+12),"00"),"")</f>
        <v/>
      </c>
      <c r="N167" s="6"/>
      <c r="O167" s="9" t="str">
        <f>IF(CC167="","",CC167&amp;"-"&amp;TEXT(COUNTIF($CA$72:$CA$95,CC167)+COUNTIF($CB$72:$CB$95,CC167)+COUNTIF($CC$72:$CC$95,CC167)+COUNTIF($CD$72:$CD$95,CC167)+COUNTIF($CA$100:$CA$123,CC167)+COUNTIF($CB$100:$CB$123,CC167)+COUNTIF($CC$100:$CC$123,CC167)+COUNTIF($CD$100:$CD$123,CC167)+COUNTIF($CA$128:$CA$151,CC167)+COUNTIF($CB$128:$CB$151,CC167)+COUNTIF($CC$128:$CC$151,CC167)+COUNTIF($CD$128:$CD$151,CC167)+COUNTIF($CA$156:$CA$179,CC167)+COUNTIF($CB$156:$CB$179,CC167)+COUNTIF($CC$156:CC167,CC167),"000"))</f>
        <v/>
      </c>
      <c r="P167" s="9" t="str">
        <f>IF(AND($BN$27&lt;&gt;"",($BM$27+12)&lt;=$BO$27),$BN$27,"")</f>
        <v/>
      </c>
      <c r="Q167" s="9" t="str">
        <f>IF(AND($BN$27&lt;&gt;"",($BM$27+12)&lt;=$BO$27),TEXT(($BM$27+12),"00"),"")</f>
        <v/>
      </c>
      <c r="R167" s="9" t="str">
        <f>IF(AND($BN$27&lt;&gt;"",($BM$27+12)&lt;=$BO$27),$BN$27&amp;"-"&amp;TEXT(($BM$27+12),"00"),"")</f>
        <v/>
      </c>
      <c r="T167" s="6"/>
      <c r="U167" s="9" t="str">
        <f>IF(CD167="","",CD167&amp;"-"&amp;TEXT(COUNTIF($CA$72:$CA$95,CD167)+COUNTIF($CB$72:$CB$95,CD167)+COUNTIF($CC$72:$CC$95,CD167)+COUNTIF($CD$72:$CD$95,CD167)+COUNTIF($CA$100:$CA$123,CD167)+COUNTIF($CB$100:$CB$123,CD167)+COUNTIF($CC$100:$CC$123,CD167)+COUNTIF($CD$100:$CD$123,CD167)+COUNTIF($CA$128:$CA$151,CD167)+COUNTIF($CB$128:$CB$151,CD167)+COUNTIF($CC$128:$CC$151,CD167)+COUNTIF($CD$128:$CD$151,CD167)+COUNTIF($CA$156:$CA$179,CD167)+COUNTIF($CB$156:$CB$179,CD167)+COUNTIF($CC$156:$CC$179,CD167)+COUNTIF($CD$156:CD167,CD167),"000"))</f>
        <v/>
      </c>
      <c r="V167" s="9" t="str">
        <f>IF(AND($BN$28&lt;&gt;"",($BM$28+12)&lt;=$BO$28),$BN$28,"")</f>
        <v/>
      </c>
      <c r="W167" s="9" t="str">
        <f>IF(AND($BN$28&lt;&gt;"",($BM$28+12)&lt;=$BO$28),TEXT(($BM$28+12),"00"),"")</f>
        <v/>
      </c>
      <c r="X167" s="9" t="str">
        <f>IF(AND($BN$28&lt;&gt;"",($BM$28+12)&lt;=$BO$28),$BN$28&amp;"-"&amp;TEXT(($BM$28+12),"00"),"")</f>
        <v/>
      </c>
      <c r="CA167" t="str" cm="1">
        <f t="array" ref="CA167">IF(NOT(AND($BN$25&lt;&gt;"",($BM$25+12)&lt;=$BO$25)),"",IF(B167&lt;&gt;"",IF(B167="-","",B167),IF(ISNUMBER(SEARCH(":",$BP$25)),IFERROR(_xlfn.LET(_xlpm.s,_xlfn.TEXTSPLIT($BP$25,","),_xlpm.k,FIND(":",_xlpm.s),INDEX(TRIM(LEFT(_xlpm.s,_xlpm.k-1)),_xlfn.XMATCH(($BM$25+12),_xlfn.SCAN(0,--MID(_xlpm.s,_xlpm.k+1,9),_xlfn.LAMBDA(_xlpm.a,_xlpm.v,_xlpm.a+_xlpm.v)),1))),""),IF(($BM$25+12)&lt;=$BQ$25,$BP$25,""))))</f>
        <v/>
      </c>
      <c r="CB167" t="str" cm="1">
        <f t="array" ref="CB167">IF(NOT(AND($BN$26&lt;&gt;"",($BM$26+12)&lt;=$BO$26)),"",IF(H167&lt;&gt;"",IF(H167="-","",H167),IF(ISNUMBER(SEARCH(":",$BP$26)),IFERROR(_xlfn.LET(_xlpm.s,_xlfn.TEXTSPLIT($BP$26,","),_xlpm.k,FIND(":",_xlpm.s),INDEX(TRIM(LEFT(_xlpm.s,_xlpm.k-1)),_xlfn.XMATCH(($BM$26+12),_xlfn.SCAN(0,--MID(_xlpm.s,_xlpm.k+1,9),_xlfn.LAMBDA(_xlpm.a,_xlpm.v,_xlpm.a+_xlpm.v)),1))),""),IF(($BM$26+12)&lt;=$BQ$26,$BP$26,""))))</f>
        <v/>
      </c>
      <c r="CC167" t="str" cm="1">
        <f t="array" ref="CC167">IF(NOT(AND($BN$27&lt;&gt;"",($BM$27+12)&lt;=$BO$27)),"",IF(N167&lt;&gt;"",IF(N167="-","",N167),IF(ISNUMBER(SEARCH(":",$BP$27)),IFERROR(_xlfn.LET(_xlpm.s,_xlfn.TEXTSPLIT($BP$27,","),_xlpm.k,FIND(":",_xlpm.s),INDEX(TRIM(LEFT(_xlpm.s,_xlpm.k-1)),_xlfn.XMATCH(($BM$27+12),_xlfn.SCAN(0,--MID(_xlpm.s,_xlpm.k+1,9),_xlfn.LAMBDA(_xlpm.a,_xlpm.v,_xlpm.a+_xlpm.v)),1))),""),IF(($BM$27+12)&lt;=$BQ$27,$BP$27,""))))</f>
        <v/>
      </c>
      <c r="CD167" t="str" cm="1">
        <f t="array" ref="CD167">IF(NOT(AND($BN$28&lt;&gt;"",($BM$28+12)&lt;=$BO$28)),"",IF(T167&lt;&gt;"",IF(T167="-","",T167),IF(ISNUMBER(SEARCH(":",$BP$28)),IFERROR(_xlfn.LET(_xlpm.s,_xlfn.TEXTSPLIT($BP$28,","),_xlpm.k,FIND(":",_xlpm.s),INDEX(TRIM(LEFT(_xlpm.s,_xlpm.k-1)),_xlfn.XMATCH(($BM$28+12),_xlfn.SCAN(0,--MID(_xlpm.s,_xlpm.k+1,9),_xlfn.LAMBDA(_xlpm.a,_xlpm.v,_xlpm.a+_xlpm.v)),1))),""),IF(($BM$28+12)&lt;=$BQ$28,$BP$28,""))))</f>
        <v/>
      </c>
    </row>
    <row r="168" spans="2:82" hidden="1" x14ac:dyDescent="0.45">
      <c r="B168" s="6"/>
      <c r="C168" s="9" t="str">
        <f>IF(CA168="","",CA168&amp;"-"&amp;TEXT(COUNTIF($CA$72:$CA$95,CA168)+COUNTIF($CB$72:$CB$95,CA168)+COUNTIF($CC$72:$CC$95,CA168)+COUNTIF($CD$72:$CD$95,CA168)+COUNTIF($CA$100:$CA$123,CA168)+COUNTIF($CB$100:$CB$123,CA168)+COUNTIF($CC$100:$CC$123,CA168)+COUNTIF($CD$100:$CD$123,CA168)+COUNTIF($CA$128:$CA$151,CA168)+COUNTIF($CB$128:$CB$151,CA168)+COUNTIF($CC$128:$CC$151,CA168)+COUNTIF($CD$128:$CD$151,CA168)+COUNTIF($CA$156:CA168,CA168),"000"))</f>
        <v/>
      </c>
      <c r="D168" s="9" t="str">
        <f>IF(AND($BN$25&lt;&gt;"",($BM$25+13)&lt;=$BO$25),$BN$25,"")</f>
        <v/>
      </c>
      <c r="E168" s="9" t="str">
        <f>IF(AND($BN$25&lt;&gt;"",($BM$25+13)&lt;=$BO$25),TEXT(($BM$25+13),"00"),"")</f>
        <v/>
      </c>
      <c r="F168" s="9" t="str">
        <f>IF(AND($BN$25&lt;&gt;"",($BM$25+13)&lt;=$BO$25),$BN$25&amp;"-"&amp;TEXT(($BM$25+13),"00"),"")</f>
        <v/>
      </c>
      <c r="H168" s="6"/>
      <c r="I168" s="9" t="str">
        <f>IF(CB168="","",CB168&amp;"-"&amp;TEXT(COUNTIF($CA$72:$CA$95,CB168)+COUNTIF($CB$72:$CB$95,CB168)+COUNTIF($CC$72:$CC$95,CB168)+COUNTIF($CD$72:$CD$95,CB168)+COUNTIF($CA$100:$CA$123,CB168)+COUNTIF($CB$100:$CB$123,CB168)+COUNTIF($CC$100:$CC$123,CB168)+COUNTIF($CD$100:$CD$123,CB168)+COUNTIF($CA$128:$CA$151,CB168)+COUNTIF($CB$128:$CB$151,CB168)+COUNTIF($CC$128:$CC$151,CB168)+COUNTIF($CD$128:$CD$151,CB168)+COUNTIF($CA$156:$CA$179,CB168)+COUNTIF($CB$156:CB168,CB168),"000"))</f>
        <v/>
      </c>
      <c r="J168" s="9" t="str">
        <f>IF(AND($BN$26&lt;&gt;"",($BM$26+13)&lt;=$BO$26),$BN$26,"")</f>
        <v/>
      </c>
      <c r="K168" s="9" t="str">
        <f>IF(AND($BN$26&lt;&gt;"",($BM$26+13)&lt;=$BO$26),TEXT(($BM$26+13),"00"),"")</f>
        <v/>
      </c>
      <c r="L168" s="9" t="str">
        <f>IF(AND($BN$26&lt;&gt;"",($BM$26+13)&lt;=$BO$26),$BN$26&amp;"-"&amp;TEXT(($BM$26+13),"00"),"")</f>
        <v/>
      </c>
      <c r="N168" s="6"/>
      <c r="O168" s="9" t="str">
        <f>IF(CC168="","",CC168&amp;"-"&amp;TEXT(COUNTIF($CA$72:$CA$95,CC168)+COUNTIF($CB$72:$CB$95,CC168)+COUNTIF($CC$72:$CC$95,CC168)+COUNTIF($CD$72:$CD$95,CC168)+COUNTIF($CA$100:$CA$123,CC168)+COUNTIF($CB$100:$CB$123,CC168)+COUNTIF($CC$100:$CC$123,CC168)+COUNTIF($CD$100:$CD$123,CC168)+COUNTIF($CA$128:$CA$151,CC168)+COUNTIF($CB$128:$CB$151,CC168)+COUNTIF($CC$128:$CC$151,CC168)+COUNTIF($CD$128:$CD$151,CC168)+COUNTIF($CA$156:$CA$179,CC168)+COUNTIF($CB$156:$CB$179,CC168)+COUNTIF($CC$156:CC168,CC168),"000"))</f>
        <v/>
      </c>
      <c r="P168" s="9" t="str">
        <f>IF(AND($BN$27&lt;&gt;"",($BM$27+13)&lt;=$BO$27),$BN$27,"")</f>
        <v/>
      </c>
      <c r="Q168" s="9" t="str">
        <f>IF(AND($BN$27&lt;&gt;"",($BM$27+13)&lt;=$BO$27),TEXT(($BM$27+13),"00"),"")</f>
        <v/>
      </c>
      <c r="R168" s="9" t="str">
        <f>IF(AND($BN$27&lt;&gt;"",($BM$27+13)&lt;=$BO$27),$BN$27&amp;"-"&amp;TEXT(($BM$27+13),"00"),"")</f>
        <v/>
      </c>
      <c r="T168" s="6"/>
      <c r="U168" s="9" t="str">
        <f>IF(CD168="","",CD168&amp;"-"&amp;TEXT(COUNTIF($CA$72:$CA$95,CD168)+COUNTIF($CB$72:$CB$95,CD168)+COUNTIF($CC$72:$CC$95,CD168)+COUNTIF($CD$72:$CD$95,CD168)+COUNTIF($CA$100:$CA$123,CD168)+COUNTIF($CB$100:$CB$123,CD168)+COUNTIF($CC$100:$CC$123,CD168)+COUNTIF($CD$100:$CD$123,CD168)+COUNTIF($CA$128:$CA$151,CD168)+COUNTIF($CB$128:$CB$151,CD168)+COUNTIF($CC$128:$CC$151,CD168)+COUNTIF($CD$128:$CD$151,CD168)+COUNTIF($CA$156:$CA$179,CD168)+COUNTIF($CB$156:$CB$179,CD168)+COUNTIF($CC$156:$CC$179,CD168)+COUNTIF($CD$156:CD168,CD168),"000"))</f>
        <v/>
      </c>
      <c r="V168" s="9" t="str">
        <f>IF(AND($BN$28&lt;&gt;"",($BM$28+13)&lt;=$BO$28),$BN$28,"")</f>
        <v/>
      </c>
      <c r="W168" s="9" t="str">
        <f>IF(AND($BN$28&lt;&gt;"",($BM$28+13)&lt;=$BO$28),TEXT(($BM$28+13),"00"),"")</f>
        <v/>
      </c>
      <c r="X168" s="9" t="str">
        <f>IF(AND($BN$28&lt;&gt;"",($BM$28+13)&lt;=$BO$28),$BN$28&amp;"-"&amp;TEXT(($BM$28+13),"00"),"")</f>
        <v/>
      </c>
      <c r="CA168" t="str" cm="1">
        <f t="array" ref="CA168">IF(NOT(AND($BN$25&lt;&gt;"",($BM$25+13)&lt;=$BO$25)),"",IF(B168&lt;&gt;"",IF(B168="-","",B168),IF(ISNUMBER(SEARCH(":",$BP$25)),IFERROR(_xlfn.LET(_xlpm.s,_xlfn.TEXTSPLIT($BP$25,","),_xlpm.k,FIND(":",_xlpm.s),INDEX(TRIM(LEFT(_xlpm.s,_xlpm.k-1)),_xlfn.XMATCH(($BM$25+13),_xlfn.SCAN(0,--MID(_xlpm.s,_xlpm.k+1,9),_xlfn.LAMBDA(_xlpm.a,_xlpm.v,_xlpm.a+_xlpm.v)),1))),""),IF(($BM$25+13)&lt;=$BQ$25,$BP$25,""))))</f>
        <v/>
      </c>
      <c r="CB168" t="str" cm="1">
        <f t="array" ref="CB168">IF(NOT(AND($BN$26&lt;&gt;"",($BM$26+13)&lt;=$BO$26)),"",IF(H168&lt;&gt;"",IF(H168="-","",H168),IF(ISNUMBER(SEARCH(":",$BP$26)),IFERROR(_xlfn.LET(_xlpm.s,_xlfn.TEXTSPLIT($BP$26,","),_xlpm.k,FIND(":",_xlpm.s),INDEX(TRIM(LEFT(_xlpm.s,_xlpm.k-1)),_xlfn.XMATCH(($BM$26+13),_xlfn.SCAN(0,--MID(_xlpm.s,_xlpm.k+1,9),_xlfn.LAMBDA(_xlpm.a,_xlpm.v,_xlpm.a+_xlpm.v)),1))),""),IF(($BM$26+13)&lt;=$BQ$26,$BP$26,""))))</f>
        <v/>
      </c>
      <c r="CC168" t="str" cm="1">
        <f t="array" ref="CC168">IF(NOT(AND($BN$27&lt;&gt;"",($BM$27+13)&lt;=$BO$27)),"",IF(N168&lt;&gt;"",IF(N168="-","",N168),IF(ISNUMBER(SEARCH(":",$BP$27)),IFERROR(_xlfn.LET(_xlpm.s,_xlfn.TEXTSPLIT($BP$27,","),_xlpm.k,FIND(":",_xlpm.s),INDEX(TRIM(LEFT(_xlpm.s,_xlpm.k-1)),_xlfn.XMATCH(($BM$27+13),_xlfn.SCAN(0,--MID(_xlpm.s,_xlpm.k+1,9),_xlfn.LAMBDA(_xlpm.a,_xlpm.v,_xlpm.a+_xlpm.v)),1))),""),IF(($BM$27+13)&lt;=$BQ$27,$BP$27,""))))</f>
        <v/>
      </c>
      <c r="CD168" t="str" cm="1">
        <f t="array" ref="CD168">IF(NOT(AND($BN$28&lt;&gt;"",($BM$28+13)&lt;=$BO$28)),"",IF(T168&lt;&gt;"",IF(T168="-","",T168),IF(ISNUMBER(SEARCH(":",$BP$28)),IFERROR(_xlfn.LET(_xlpm.s,_xlfn.TEXTSPLIT($BP$28,","),_xlpm.k,FIND(":",_xlpm.s),INDEX(TRIM(LEFT(_xlpm.s,_xlpm.k-1)),_xlfn.XMATCH(($BM$28+13),_xlfn.SCAN(0,--MID(_xlpm.s,_xlpm.k+1,9),_xlfn.LAMBDA(_xlpm.a,_xlpm.v,_xlpm.a+_xlpm.v)),1))),""),IF(($BM$28+13)&lt;=$BQ$28,$BP$28,""))))</f>
        <v/>
      </c>
    </row>
    <row r="169" spans="2:82" hidden="1" x14ac:dyDescent="0.45">
      <c r="B169" s="6"/>
      <c r="C169" s="9" t="str">
        <f>IF(CA169="","",CA169&amp;"-"&amp;TEXT(COUNTIF($CA$72:$CA$95,CA169)+COUNTIF($CB$72:$CB$95,CA169)+COUNTIF($CC$72:$CC$95,CA169)+COUNTIF($CD$72:$CD$95,CA169)+COUNTIF($CA$100:$CA$123,CA169)+COUNTIF($CB$100:$CB$123,CA169)+COUNTIF($CC$100:$CC$123,CA169)+COUNTIF($CD$100:$CD$123,CA169)+COUNTIF($CA$128:$CA$151,CA169)+COUNTIF($CB$128:$CB$151,CA169)+COUNTIF($CC$128:$CC$151,CA169)+COUNTIF($CD$128:$CD$151,CA169)+COUNTIF($CA$156:CA169,CA169),"000"))</f>
        <v/>
      </c>
      <c r="D169" s="9" t="str">
        <f>IF(AND($BN$25&lt;&gt;"",($BM$25+14)&lt;=$BO$25),$BN$25,"")</f>
        <v/>
      </c>
      <c r="E169" s="9" t="str">
        <f>IF(AND($BN$25&lt;&gt;"",($BM$25+14)&lt;=$BO$25),TEXT(($BM$25+14),"00"),"")</f>
        <v/>
      </c>
      <c r="F169" s="9" t="str">
        <f>IF(AND($BN$25&lt;&gt;"",($BM$25+14)&lt;=$BO$25),$BN$25&amp;"-"&amp;TEXT(($BM$25+14),"00"),"")</f>
        <v/>
      </c>
      <c r="H169" s="6"/>
      <c r="I169" s="9" t="str">
        <f>IF(CB169="","",CB169&amp;"-"&amp;TEXT(COUNTIF($CA$72:$CA$95,CB169)+COUNTIF($CB$72:$CB$95,CB169)+COUNTIF($CC$72:$CC$95,CB169)+COUNTIF($CD$72:$CD$95,CB169)+COUNTIF($CA$100:$CA$123,CB169)+COUNTIF($CB$100:$CB$123,CB169)+COUNTIF($CC$100:$CC$123,CB169)+COUNTIF($CD$100:$CD$123,CB169)+COUNTIF($CA$128:$CA$151,CB169)+COUNTIF($CB$128:$CB$151,CB169)+COUNTIF($CC$128:$CC$151,CB169)+COUNTIF($CD$128:$CD$151,CB169)+COUNTIF($CA$156:$CA$179,CB169)+COUNTIF($CB$156:CB169,CB169),"000"))</f>
        <v/>
      </c>
      <c r="J169" s="9" t="str">
        <f>IF(AND($BN$26&lt;&gt;"",($BM$26+14)&lt;=$BO$26),$BN$26,"")</f>
        <v/>
      </c>
      <c r="K169" s="9" t="str">
        <f>IF(AND($BN$26&lt;&gt;"",($BM$26+14)&lt;=$BO$26),TEXT(($BM$26+14),"00"),"")</f>
        <v/>
      </c>
      <c r="L169" s="9" t="str">
        <f>IF(AND($BN$26&lt;&gt;"",($BM$26+14)&lt;=$BO$26),$BN$26&amp;"-"&amp;TEXT(($BM$26+14),"00"),"")</f>
        <v/>
      </c>
      <c r="N169" s="6"/>
      <c r="O169" s="9" t="str">
        <f>IF(CC169="","",CC169&amp;"-"&amp;TEXT(COUNTIF($CA$72:$CA$95,CC169)+COUNTIF($CB$72:$CB$95,CC169)+COUNTIF($CC$72:$CC$95,CC169)+COUNTIF($CD$72:$CD$95,CC169)+COUNTIF($CA$100:$CA$123,CC169)+COUNTIF($CB$100:$CB$123,CC169)+COUNTIF($CC$100:$CC$123,CC169)+COUNTIF($CD$100:$CD$123,CC169)+COUNTIF($CA$128:$CA$151,CC169)+COUNTIF($CB$128:$CB$151,CC169)+COUNTIF($CC$128:$CC$151,CC169)+COUNTIF($CD$128:$CD$151,CC169)+COUNTIF($CA$156:$CA$179,CC169)+COUNTIF($CB$156:$CB$179,CC169)+COUNTIF($CC$156:CC169,CC169),"000"))</f>
        <v/>
      </c>
      <c r="P169" s="9" t="str">
        <f>IF(AND($BN$27&lt;&gt;"",($BM$27+14)&lt;=$BO$27),$BN$27,"")</f>
        <v/>
      </c>
      <c r="Q169" s="9" t="str">
        <f>IF(AND($BN$27&lt;&gt;"",($BM$27+14)&lt;=$BO$27),TEXT(($BM$27+14),"00"),"")</f>
        <v/>
      </c>
      <c r="R169" s="9" t="str">
        <f>IF(AND($BN$27&lt;&gt;"",($BM$27+14)&lt;=$BO$27),$BN$27&amp;"-"&amp;TEXT(($BM$27+14),"00"),"")</f>
        <v/>
      </c>
      <c r="T169" s="6"/>
      <c r="U169" s="9" t="str">
        <f>IF(CD169="","",CD169&amp;"-"&amp;TEXT(COUNTIF($CA$72:$CA$95,CD169)+COUNTIF($CB$72:$CB$95,CD169)+COUNTIF($CC$72:$CC$95,CD169)+COUNTIF($CD$72:$CD$95,CD169)+COUNTIF($CA$100:$CA$123,CD169)+COUNTIF($CB$100:$CB$123,CD169)+COUNTIF($CC$100:$CC$123,CD169)+COUNTIF($CD$100:$CD$123,CD169)+COUNTIF($CA$128:$CA$151,CD169)+COUNTIF($CB$128:$CB$151,CD169)+COUNTIF($CC$128:$CC$151,CD169)+COUNTIF($CD$128:$CD$151,CD169)+COUNTIF($CA$156:$CA$179,CD169)+COUNTIF($CB$156:$CB$179,CD169)+COUNTIF($CC$156:$CC$179,CD169)+COUNTIF($CD$156:CD169,CD169),"000"))</f>
        <v/>
      </c>
      <c r="V169" s="9" t="str">
        <f>IF(AND($BN$28&lt;&gt;"",($BM$28+14)&lt;=$BO$28),$BN$28,"")</f>
        <v/>
      </c>
      <c r="W169" s="9" t="str">
        <f>IF(AND($BN$28&lt;&gt;"",($BM$28+14)&lt;=$BO$28),TEXT(($BM$28+14),"00"),"")</f>
        <v/>
      </c>
      <c r="X169" s="9" t="str">
        <f>IF(AND($BN$28&lt;&gt;"",($BM$28+14)&lt;=$BO$28),$BN$28&amp;"-"&amp;TEXT(($BM$28+14),"00"),"")</f>
        <v/>
      </c>
      <c r="CA169" t="str" cm="1">
        <f t="array" ref="CA169">IF(NOT(AND($BN$25&lt;&gt;"",($BM$25+14)&lt;=$BO$25)),"",IF(B169&lt;&gt;"",IF(B169="-","",B169),IF(ISNUMBER(SEARCH(":",$BP$25)),IFERROR(_xlfn.LET(_xlpm.s,_xlfn.TEXTSPLIT($BP$25,","),_xlpm.k,FIND(":",_xlpm.s),INDEX(TRIM(LEFT(_xlpm.s,_xlpm.k-1)),_xlfn.XMATCH(($BM$25+14),_xlfn.SCAN(0,--MID(_xlpm.s,_xlpm.k+1,9),_xlfn.LAMBDA(_xlpm.a,_xlpm.v,_xlpm.a+_xlpm.v)),1))),""),IF(($BM$25+14)&lt;=$BQ$25,$BP$25,""))))</f>
        <v/>
      </c>
      <c r="CB169" t="str" cm="1">
        <f t="array" ref="CB169">IF(NOT(AND($BN$26&lt;&gt;"",($BM$26+14)&lt;=$BO$26)),"",IF(H169&lt;&gt;"",IF(H169="-","",H169),IF(ISNUMBER(SEARCH(":",$BP$26)),IFERROR(_xlfn.LET(_xlpm.s,_xlfn.TEXTSPLIT($BP$26,","),_xlpm.k,FIND(":",_xlpm.s),INDEX(TRIM(LEFT(_xlpm.s,_xlpm.k-1)),_xlfn.XMATCH(($BM$26+14),_xlfn.SCAN(0,--MID(_xlpm.s,_xlpm.k+1,9),_xlfn.LAMBDA(_xlpm.a,_xlpm.v,_xlpm.a+_xlpm.v)),1))),""),IF(($BM$26+14)&lt;=$BQ$26,$BP$26,""))))</f>
        <v/>
      </c>
      <c r="CC169" t="str" cm="1">
        <f t="array" ref="CC169">IF(NOT(AND($BN$27&lt;&gt;"",($BM$27+14)&lt;=$BO$27)),"",IF(N169&lt;&gt;"",IF(N169="-","",N169),IF(ISNUMBER(SEARCH(":",$BP$27)),IFERROR(_xlfn.LET(_xlpm.s,_xlfn.TEXTSPLIT($BP$27,","),_xlpm.k,FIND(":",_xlpm.s),INDEX(TRIM(LEFT(_xlpm.s,_xlpm.k-1)),_xlfn.XMATCH(($BM$27+14),_xlfn.SCAN(0,--MID(_xlpm.s,_xlpm.k+1,9),_xlfn.LAMBDA(_xlpm.a,_xlpm.v,_xlpm.a+_xlpm.v)),1))),""),IF(($BM$27+14)&lt;=$BQ$27,$BP$27,""))))</f>
        <v/>
      </c>
      <c r="CD169" t="str" cm="1">
        <f t="array" ref="CD169">IF(NOT(AND($BN$28&lt;&gt;"",($BM$28+14)&lt;=$BO$28)),"",IF(T169&lt;&gt;"",IF(T169="-","",T169),IF(ISNUMBER(SEARCH(":",$BP$28)),IFERROR(_xlfn.LET(_xlpm.s,_xlfn.TEXTSPLIT($BP$28,","),_xlpm.k,FIND(":",_xlpm.s),INDEX(TRIM(LEFT(_xlpm.s,_xlpm.k-1)),_xlfn.XMATCH(($BM$28+14),_xlfn.SCAN(0,--MID(_xlpm.s,_xlpm.k+1,9),_xlfn.LAMBDA(_xlpm.a,_xlpm.v,_xlpm.a+_xlpm.v)),1))),""),IF(($BM$28+14)&lt;=$BQ$28,$BP$28,""))))</f>
        <v/>
      </c>
    </row>
    <row r="170" spans="2:82" hidden="1" x14ac:dyDescent="0.45">
      <c r="B170" s="6"/>
      <c r="C170" s="9" t="str">
        <f>IF(CA170="","",CA170&amp;"-"&amp;TEXT(COUNTIF($CA$72:$CA$95,CA170)+COUNTIF($CB$72:$CB$95,CA170)+COUNTIF($CC$72:$CC$95,CA170)+COUNTIF($CD$72:$CD$95,CA170)+COUNTIF($CA$100:$CA$123,CA170)+COUNTIF($CB$100:$CB$123,CA170)+COUNTIF($CC$100:$CC$123,CA170)+COUNTIF($CD$100:$CD$123,CA170)+COUNTIF($CA$128:$CA$151,CA170)+COUNTIF($CB$128:$CB$151,CA170)+COUNTIF($CC$128:$CC$151,CA170)+COUNTIF($CD$128:$CD$151,CA170)+COUNTIF($CA$156:CA170,CA170),"000"))</f>
        <v/>
      </c>
      <c r="D170" s="9" t="str">
        <f>IF(AND($BN$25&lt;&gt;"",($BM$25+15)&lt;=$BO$25),$BN$25,"")</f>
        <v/>
      </c>
      <c r="E170" s="9" t="str">
        <f>IF(AND($BN$25&lt;&gt;"",($BM$25+15)&lt;=$BO$25),TEXT(($BM$25+15),"00"),"")</f>
        <v/>
      </c>
      <c r="F170" s="9" t="str">
        <f>IF(AND($BN$25&lt;&gt;"",($BM$25+15)&lt;=$BO$25),$BN$25&amp;"-"&amp;TEXT(($BM$25+15),"00"),"")</f>
        <v/>
      </c>
      <c r="H170" s="6"/>
      <c r="I170" s="9" t="str">
        <f>IF(CB170="","",CB170&amp;"-"&amp;TEXT(COUNTIF($CA$72:$CA$95,CB170)+COUNTIF($CB$72:$CB$95,CB170)+COUNTIF($CC$72:$CC$95,CB170)+COUNTIF($CD$72:$CD$95,CB170)+COUNTIF($CA$100:$CA$123,CB170)+COUNTIF($CB$100:$CB$123,CB170)+COUNTIF($CC$100:$CC$123,CB170)+COUNTIF($CD$100:$CD$123,CB170)+COUNTIF($CA$128:$CA$151,CB170)+COUNTIF($CB$128:$CB$151,CB170)+COUNTIF($CC$128:$CC$151,CB170)+COUNTIF($CD$128:$CD$151,CB170)+COUNTIF($CA$156:$CA$179,CB170)+COUNTIF($CB$156:CB170,CB170),"000"))</f>
        <v/>
      </c>
      <c r="J170" s="9" t="str">
        <f>IF(AND($BN$26&lt;&gt;"",($BM$26+15)&lt;=$BO$26),$BN$26,"")</f>
        <v/>
      </c>
      <c r="K170" s="9" t="str">
        <f>IF(AND($BN$26&lt;&gt;"",($BM$26+15)&lt;=$BO$26),TEXT(($BM$26+15),"00"),"")</f>
        <v/>
      </c>
      <c r="L170" s="9" t="str">
        <f>IF(AND($BN$26&lt;&gt;"",($BM$26+15)&lt;=$BO$26),$BN$26&amp;"-"&amp;TEXT(($BM$26+15),"00"),"")</f>
        <v/>
      </c>
      <c r="N170" s="6"/>
      <c r="O170" s="9" t="str">
        <f>IF(CC170="","",CC170&amp;"-"&amp;TEXT(COUNTIF($CA$72:$CA$95,CC170)+COUNTIF($CB$72:$CB$95,CC170)+COUNTIF($CC$72:$CC$95,CC170)+COUNTIF($CD$72:$CD$95,CC170)+COUNTIF($CA$100:$CA$123,CC170)+COUNTIF($CB$100:$CB$123,CC170)+COUNTIF($CC$100:$CC$123,CC170)+COUNTIF($CD$100:$CD$123,CC170)+COUNTIF($CA$128:$CA$151,CC170)+COUNTIF($CB$128:$CB$151,CC170)+COUNTIF($CC$128:$CC$151,CC170)+COUNTIF($CD$128:$CD$151,CC170)+COUNTIF($CA$156:$CA$179,CC170)+COUNTIF($CB$156:$CB$179,CC170)+COUNTIF($CC$156:CC170,CC170),"000"))</f>
        <v/>
      </c>
      <c r="P170" s="9" t="str">
        <f>IF(AND($BN$27&lt;&gt;"",($BM$27+15)&lt;=$BO$27),$BN$27,"")</f>
        <v/>
      </c>
      <c r="Q170" s="9" t="str">
        <f>IF(AND($BN$27&lt;&gt;"",($BM$27+15)&lt;=$BO$27),TEXT(($BM$27+15),"00"),"")</f>
        <v/>
      </c>
      <c r="R170" s="9" t="str">
        <f>IF(AND($BN$27&lt;&gt;"",($BM$27+15)&lt;=$BO$27),$BN$27&amp;"-"&amp;TEXT(($BM$27+15),"00"),"")</f>
        <v/>
      </c>
      <c r="T170" s="6"/>
      <c r="U170" s="9" t="str">
        <f>IF(CD170="","",CD170&amp;"-"&amp;TEXT(COUNTIF($CA$72:$CA$95,CD170)+COUNTIF($CB$72:$CB$95,CD170)+COUNTIF($CC$72:$CC$95,CD170)+COUNTIF($CD$72:$CD$95,CD170)+COUNTIF($CA$100:$CA$123,CD170)+COUNTIF($CB$100:$CB$123,CD170)+COUNTIF($CC$100:$CC$123,CD170)+COUNTIF($CD$100:$CD$123,CD170)+COUNTIF($CA$128:$CA$151,CD170)+COUNTIF($CB$128:$CB$151,CD170)+COUNTIF($CC$128:$CC$151,CD170)+COUNTIF($CD$128:$CD$151,CD170)+COUNTIF($CA$156:$CA$179,CD170)+COUNTIF($CB$156:$CB$179,CD170)+COUNTIF($CC$156:$CC$179,CD170)+COUNTIF($CD$156:CD170,CD170),"000"))</f>
        <v/>
      </c>
      <c r="V170" s="9" t="str">
        <f>IF(AND($BN$28&lt;&gt;"",($BM$28+15)&lt;=$BO$28),$BN$28,"")</f>
        <v/>
      </c>
      <c r="W170" s="9" t="str">
        <f>IF(AND($BN$28&lt;&gt;"",($BM$28+15)&lt;=$BO$28),TEXT(($BM$28+15),"00"),"")</f>
        <v/>
      </c>
      <c r="X170" s="9" t="str">
        <f>IF(AND($BN$28&lt;&gt;"",($BM$28+15)&lt;=$BO$28),$BN$28&amp;"-"&amp;TEXT(($BM$28+15),"00"),"")</f>
        <v/>
      </c>
      <c r="CA170" t="str" cm="1">
        <f t="array" ref="CA170">IF(NOT(AND($BN$25&lt;&gt;"",($BM$25+15)&lt;=$BO$25)),"",IF(B170&lt;&gt;"",IF(B170="-","",B170),IF(ISNUMBER(SEARCH(":",$BP$25)),IFERROR(_xlfn.LET(_xlpm.s,_xlfn.TEXTSPLIT($BP$25,","),_xlpm.k,FIND(":",_xlpm.s),INDEX(TRIM(LEFT(_xlpm.s,_xlpm.k-1)),_xlfn.XMATCH(($BM$25+15),_xlfn.SCAN(0,--MID(_xlpm.s,_xlpm.k+1,9),_xlfn.LAMBDA(_xlpm.a,_xlpm.v,_xlpm.a+_xlpm.v)),1))),""),IF(($BM$25+15)&lt;=$BQ$25,$BP$25,""))))</f>
        <v/>
      </c>
      <c r="CB170" t="str" cm="1">
        <f t="array" ref="CB170">IF(NOT(AND($BN$26&lt;&gt;"",($BM$26+15)&lt;=$BO$26)),"",IF(H170&lt;&gt;"",IF(H170="-","",H170),IF(ISNUMBER(SEARCH(":",$BP$26)),IFERROR(_xlfn.LET(_xlpm.s,_xlfn.TEXTSPLIT($BP$26,","),_xlpm.k,FIND(":",_xlpm.s),INDEX(TRIM(LEFT(_xlpm.s,_xlpm.k-1)),_xlfn.XMATCH(($BM$26+15),_xlfn.SCAN(0,--MID(_xlpm.s,_xlpm.k+1,9),_xlfn.LAMBDA(_xlpm.a,_xlpm.v,_xlpm.a+_xlpm.v)),1))),""),IF(($BM$26+15)&lt;=$BQ$26,$BP$26,""))))</f>
        <v/>
      </c>
      <c r="CC170" t="str" cm="1">
        <f t="array" ref="CC170">IF(NOT(AND($BN$27&lt;&gt;"",($BM$27+15)&lt;=$BO$27)),"",IF(N170&lt;&gt;"",IF(N170="-","",N170),IF(ISNUMBER(SEARCH(":",$BP$27)),IFERROR(_xlfn.LET(_xlpm.s,_xlfn.TEXTSPLIT($BP$27,","),_xlpm.k,FIND(":",_xlpm.s),INDEX(TRIM(LEFT(_xlpm.s,_xlpm.k-1)),_xlfn.XMATCH(($BM$27+15),_xlfn.SCAN(0,--MID(_xlpm.s,_xlpm.k+1,9),_xlfn.LAMBDA(_xlpm.a,_xlpm.v,_xlpm.a+_xlpm.v)),1))),""),IF(($BM$27+15)&lt;=$BQ$27,$BP$27,""))))</f>
        <v/>
      </c>
      <c r="CD170" t="str" cm="1">
        <f t="array" ref="CD170">IF(NOT(AND($BN$28&lt;&gt;"",($BM$28+15)&lt;=$BO$28)),"",IF(T170&lt;&gt;"",IF(T170="-","",T170),IF(ISNUMBER(SEARCH(":",$BP$28)),IFERROR(_xlfn.LET(_xlpm.s,_xlfn.TEXTSPLIT($BP$28,","),_xlpm.k,FIND(":",_xlpm.s),INDEX(TRIM(LEFT(_xlpm.s,_xlpm.k-1)),_xlfn.XMATCH(($BM$28+15),_xlfn.SCAN(0,--MID(_xlpm.s,_xlpm.k+1,9),_xlfn.LAMBDA(_xlpm.a,_xlpm.v,_xlpm.a+_xlpm.v)),1))),""),IF(($BM$28+15)&lt;=$BQ$28,$BP$28,""))))</f>
        <v/>
      </c>
    </row>
    <row r="171" spans="2:82" hidden="1" x14ac:dyDescent="0.45">
      <c r="B171" s="6"/>
      <c r="C171" s="9" t="str">
        <f>IF(CA171="","",CA171&amp;"-"&amp;TEXT(COUNTIF($CA$72:$CA$95,CA171)+COUNTIF($CB$72:$CB$95,CA171)+COUNTIF($CC$72:$CC$95,CA171)+COUNTIF($CD$72:$CD$95,CA171)+COUNTIF($CA$100:$CA$123,CA171)+COUNTIF($CB$100:$CB$123,CA171)+COUNTIF($CC$100:$CC$123,CA171)+COUNTIF($CD$100:$CD$123,CA171)+COUNTIF($CA$128:$CA$151,CA171)+COUNTIF($CB$128:$CB$151,CA171)+COUNTIF($CC$128:$CC$151,CA171)+COUNTIF($CD$128:$CD$151,CA171)+COUNTIF($CA$156:CA171,CA171),"000"))</f>
        <v/>
      </c>
      <c r="D171" s="9" t="str">
        <f>IF(AND($BN$25&lt;&gt;"",($BM$25+16)&lt;=$BO$25),$BN$25,"")</f>
        <v/>
      </c>
      <c r="E171" s="9" t="str">
        <f>IF(AND($BN$25&lt;&gt;"",($BM$25+16)&lt;=$BO$25),TEXT(($BM$25+16),"00"),"")</f>
        <v/>
      </c>
      <c r="F171" s="9" t="str">
        <f>IF(AND($BN$25&lt;&gt;"",($BM$25+16)&lt;=$BO$25),$BN$25&amp;"-"&amp;TEXT(($BM$25+16),"00"),"")</f>
        <v/>
      </c>
      <c r="H171" s="6"/>
      <c r="I171" s="9" t="str">
        <f>IF(CB171="","",CB171&amp;"-"&amp;TEXT(COUNTIF($CA$72:$CA$95,CB171)+COUNTIF($CB$72:$CB$95,CB171)+COUNTIF($CC$72:$CC$95,CB171)+COUNTIF($CD$72:$CD$95,CB171)+COUNTIF($CA$100:$CA$123,CB171)+COUNTIF($CB$100:$CB$123,CB171)+COUNTIF($CC$100:$CC$123,CB171)+COUNTIF($CD$100:$CD$123,CB171)+COUNTIF($CA$128:$CA$151,CB171)+COUNTIF($CB$128:$CB$151,CB171)+COUNTIF($CC$128:$CC$151,CB171)+COUNTIF($CD$128:$CD$151,CB171)+COUNTIF($CA$156:$CA$179,CB171)+COUNTIF($CB$156:CB171,CB171),"000"))</f>
        <v/>
      </c>
      <c r="J171" s="9" t="str">
        <f>IF(AND($BN$26&lt;&gt;"",($BM$26+16)&lt;=$BO$26),$BN$26,"")</f>
        <v/>
      </c>
      <c r="K171" s="9" t="str">
        <f>IF(AND($BN$26&lt;&gt;"",($BM$26+16)&lt;=$BO$26),TEXT(($BM$26+16),"00"),"")</f>
        <v/>
      </c>
      <c r="L171" s="9" t="str">
        <f>IF(AND($BN$26&lt;&gt;"",($BM$26+16)&lt;=$BO$26),$BN$26&amp;"-"&amp;TEXT(($BM$26+16),"00"),"")</f>
        <v/>
      </c>
      <c r="N171" s="6"/>
      <c r="O171" s="9" t="str">
        <f>IF(CC171="","",CC171&amp;"-"&amp;TEXT(COUNTIF($CA$72:$CA$95,CC171)+COUNTIF($CB$72:$CB$95,CC171)+COUNTIF($CC$72:$CC$95,CC171)+COUNTIF($CD$72:$CD$95,CC171)+COUNTIF($CA$100:$CA$123,CC171)+COUNTIF($CB$100:$CB$123,CC171)+COUNTIF($CC$100:$CC$123,CC171)+COUNTIF($CD$100:$CD$123,CC171)+COUNTIF($CA$128:$CA$151,CC171)+COUNTIF($CB$128:$CB$151,CC171)+COUNTIF($CC$128:$CC$151,CC171)+COUNTIF($CD$128:$CD$151,CC171)+COUNTIF($CA$156:$CA$179,CC171)+COUNTIF($CB$156:$CB$179,CC171)+COUNTIF($CC$156:CC171,CC171),"000"))</f>
        <v/>
      </c>
      <c r="P171" s="9" t="str">
        <f>IF(AND($BN$27&lt;&gt;"",($BM$27+16)&lt;=$BO$27),$BN$27,"")</f>
        <v/>
      </c>
      <c r="Q171" s="9" t="str">
        <f>IF(AND($BN$27&lt;&gt;"",($BM$27+16)&lt;=$BO$27),TEXT(($BM$27+16),"00"),"")</f>
        <v/>
      </c>
      <c r="R171" s="9" t="str">
        <f>IF(AND($BN$27&lt;&gt;"",($BM$27+16)&lt;=$BO$27),$BN$27&amp;"-"&amp;TEXT(($BM$27+16),"00"),"")</f>
        <v/>
      </c>
      <c r="T171" s="6"/>
      <c r="U171" s="9" t="str">
        <f>IF(CD171="","",CD171&amp;"-"&amp;TEXT(COUNTIF($CA$72:$CA$95,CD171)+COUNTIF($CB$72:$CB$95,CD171)+COUNTIF($CC$72:$CC$95,CD171)+COUNTIF($CD$72:$CD$95,CD171)+COUNTIF($CA$100:$CA$123,CD171)+COUNTIF($CB$100:$CB$123,CD171)+COUNTIF($CC$100:$CC$123,CD171)+COUNTIF($CD$100:$CD$123,CD171)+COUNTIF($CA$128:$CA$151,CD171)+COUNTIF($CB$128:$CB$151,CD171)+COUNTIF($CC$128:$CC$151,CD171)+COUNTIF($CD$128:$CD$151,CD171)+COUNTIF($CA$156:$CA$179,CD171)+COUNTIF($CB$156:$CB$179,CD171)+COUNTIF($CC$156:$CC$179,CD171)+COUNTIF($CD$156:CD171,CD171),"000"))</f>
        <v/>
      </c>
      <c r="V171" s="9" t="str">
        <f>IF(AND($BN$28&lt;&gt;"",($BM$28+16)&lt;=$BO$28),$BN$28,"")</f>
        <v/>
      </c>
      <c r="W171" s="9" t="str">
        <f>IF(AND($BN$28&lt;&gt;"",($BM$28+16)&lt;=$BO$28),TEXT(($BM$28+16),"00"),"")</f>
        <v/>
      </c>
      <c r="X171" s="9" t="str">
        <f>IF(AND($BN$28&lt;&gt;"",($BM$28+16)&lt;=$BO$28),$BN$28&amp;"-"&amp;TEXT(($BM$28+16),"00"),"")</f>
        <v/>
      </c>
      <c r="CA171" t="str" cm="1">
        <f t="array" ref="CA171">IF(NOT(AND($BN$25&lt;&gt;"",($BM$25+16)&lt;=$BO$25)),"",IF(B171&lt;&gt;"",IF(B171="-","",B171),IF(ISNUMBER(SEARCH(":",$BP$25)),IFERROR(_xlfn.LET(_xlpm.s,_xlfn.TEXTSPLIT($BP$25,","),_xlpm.k,FIND(":",_xlpm.s),INDEX(TRIM(LEFT(_xlpm.s,_xlpm.k-1)),_xlfn.XMATCH(($BM$25+16),_xlfn.SCAN(0,--MID(_xlpm.s,_xlpm.k+1,9),_xlfn.LAMBDA(_xlpm.a,_xlpm.v,_xlpm.a+_xlpm.v)),1))),""),IF(($BM$25+16)&lt;=$BQ$25,$BP$25,""))))</f>
        <v/>
      </c>
      <c r="CB171" t="str" cm="1">
        <f t="array" ref="CB171">IF(NOT(AND($BN$26&lt;&gt;"",($BM$26+16)&lt;=$BO$26)),"",IF(H171&lt;&gt;"",IF(H171="-","",H171),IF(ISNUMBER(SEARCH(":",$BP$26)),IFERROR(_xlfn.LET(_xlpm.s,_xlfn.TEXTSPLIT($BP$26,","),_xlpm.k,FIND(":",_xlpm.s),INDEX(TRIM(LEFT(_xlpm.s,_xlpm.k-1)),_xlfn.XMATCH(($BM$26+16),_xlfn.SCAN(0,--MID(_xlpm.s,_xlpm.k+1,9),_xlfn.LAMBDA(_xlpm.a,_xlpm.v,_xlpm.a+_xlpm.v)),1))),""),IF(($BM$26+16)&lt;=$BQ$26,$BP$26,""))))</f>
        <v/>
      </c>
      <c r="CC171" t="str" cm="1">
        <f t="array" ref="CC171">IF(NOT(AND($BN$27&lt;&gt;"",($BM$27+16)&lt;=$BO$27)),"",IF(N171&lt;&gt;"",IF(N171="-","",N171),IF(ISNUMBER(SEARCH(":",$BP$27)),IFERROR(_xlfn.LET(_xlpm.s,_xlfn.TEXTSPLIT($BP$27,","),_xlpm.k,FIND(":",_xlpm.s),INDEX(TRIM(LEFT(_xlpm.s,_xlpm.k-1)),_xlfn.XMATCH(($BM$27+16),_xlfn.SCAN(0,--MID(_xlpm.s,_xlpm.k+1,9),_xlfn.LAMBDA(_xlpm.a,_xlpm.v,_xlpm.a+_xlpm.v)),1))),""),IF(($BM$27+16)&lt;=$BQ$27,$BP$27,""))))</f>
        <v/>
      </c>
      <c r="CD171" t="str" cm="1">
        <f t="array" ref="CD171">IF(NOT(AND($BN$28&lt;&gt;"",($BM$28+16)&lt;=$BO$28)),"",IF(T171&lt;&gt;"",IF(T171="-","",T171),IF(ISNUMBER(SEARCH(":",$BP$28)),IFERROR(_xlfn.LET(_xlpm.s,_xlfn.TEXTSPLIT($BP$28,","),_xlpm.k,FIND(":",_xlpm.s),INDEX(TRIM(LEFT(_xlpm.s,_xlpm.k-1)),_xlfn.XMATCH(($BM$28+16),_xlfn.SCAN(0,--MID(_xlpm.s,_xlpm.k+1,9),_xlfn.LAMBDA(_xlpm.a,_xlpm.v,_xlpm.a+_xlpm.v)),1))),""),IF(($BM$28+16)&lt;=$BQ$28,$BP$28,""))))</f>
        <v/>
      </c>
    </row>
    <row r="172" spans="2:82" hidden="1" x14ac:dyDescent="0.45">
      <c r="B172" s="6"/>
      <c r="C172" s="9" t="str">
        <f>IF(CA172="","",CA172&amp;"-"&amp;TEXT(COUNTIF($CA$72:$CA$95,CA172)+COUNTIF($CB$72:$CB$95,CA172)+COUNTIF($CC$72:$CC$95,CA172)+COUNTIF($CD$72:$CD$95,CA172)+COUNTIF($CA$100:$CA$123,CA172)+COUNTIF($CB$100:$CB$123,CA172)+COUNTIF($CC$100:$CC$123,CA172)+COUNTIF($CD$100:$CD$123,CA172)+COUNTIF($CA$128:$CA$151,CA172)+COUNTIF($CB$128:$CB$151,CA172)+COUNTIF($CC$128:$CC$151,CA172)+COUNTIF($CD$128:$CD$151,CA172)+COUNTIF($CA$156:CA172,CA172),"000"))</f>
        <v/>
      </c>
      <c r="D172" s="9" t="str">
        <f>IF(AND($BN$25&lt;&gt;"",($BM$25+17)&lt;=$BO$25),$BN$25,"")</f>
        <v/>
      </c>
      <c r="E172" s="9" t="str">
        <f>IF(AND($BN$25&lt;&gt;"",($BM$25+17)&lt;=$BO$25),TEXT(($BM$25+17),"00"),"")</f>
        <v/>
      </c>
      <c r="F172" s="9" t="str">
        <f>IF(AND($BN$25&lt;&gt;"",($BM$25+17)&lt;=$BO$25),$BN$25&amp;"-"&amp;TEXT(($BM$25+17),"00"),"")</f>
        <v/>
      </c>
      <c r="H172" s="6"/>
      <c r="I172" s="9" t="str">
        <f>IF(CB172="","",CB172&amp;"-"&amp;TEXT(COUNTIF($CA$72:$CA$95,CB172)+COUNTIF($CB$72:$CB$95,CB172)+COUNTIF($CC$72:$CC$95,CB172)+COUNTIF($CD$72:$CD$95,CB172)+COUNTIF($CA$100:$CA$123,CB172)+COUNTIF($CB$100:$CB$123,CB172)+COUNTIF($CC$100:$CC$123,CB172)+COUNTIF($CD$100:$CD$123,CB172)+COUNTIF($CA$128:$CA$151,CB172)+COUNTIF($CB$128:$CB$151,CB172)+COUNTIF($CC$128:$CC$151,CB172)+COUNTIF($CD$128:$CD$151,CB172)+COUNTIF($CA$156:$CA$179,CB172)+COUNTIF($CB$156:CB172,CB172),"000"))</f>
        <v/>
      </c>
      <c r="J172" s="9" t="str">
        <f>IF(AND($BN$26&lt;&gt;"",($BM$26+17)&lt;=$BO$26),$BN$26,"")</f>
        <v/>
      </c>
      <c r="K172" s="9" t="str">
        <f>IF(AND($BN$26&lt;&gt;"",($BM$26+17)&lt;=$BO$26),TEXT(($BM$26+17),"00"),"")</f>
        <v/>
      </c>
      <c r="L172" s="9" t="str">
        <f>IF(AND($BN$26&lt;&gt;"",($BM$26+17)&lt;=$BO$26),$BN$26&amp;"-"&amp;TEXT(($BM$26+17),"00"),"")</f>
        <v/>
      </c>
      <c r="N172" s="6"/>
      <c r="O172" s="9" t="str">
        <f>IF(CC172="","",CC172&amp;"-"&amp;TEXT(COUNTIF($CA$72:$CA$95,CC172)+COUNTIF($CB$72:$CB$95,CC172)+COUNTIF($CC$72:$CC$95,CC172)+COUNTIF($CD$72:$CD$95,CC172)+COUNTIF($CA$100:$CA$123,CC172)+COUNTIF($CB$100:$CB$123,CC172)+COUNTIF($CC$100:$CC$123,CC172)+COUNTIF($CD$100:$CD$123,CC172)+COUNTIF($CA$128:$CA$151,CC172)+COUNTIF($CB$128:$CB$151,CC172)+COUNTIF($CC$128:$CC$151,CC172)+COUNTIF($CD$128:$CD$151,CC172)+COUNTIF($CA$156:$CA$179,CC172)+COUNTIF($CB$156:$CB$179,CC172)+COUNTIF($CC$156:CC172,CC172),"000"))</f>
        <v/>
      </c>
      <c r="P172" s="9" t="str">
        <f>IF(AND($BN$27&lt;&gt;"",($BM$27+17)&lt;=$BO$27),$BN$27,"")</f>
        <v/>
      </c>
      <c r="Q172" s="9" t="str">
        <f>IF(AND($BN$27&lt;&gt;"",($BM$27+17)&lt;=$BO$27),TEXT(($BM$27+17),"00"),"")</f>
        <v/>
      </c>
      <c r="R172" s="9" t="str">
        <f>IF(AND($BN$27&lt;&gt;"",($BM$27+17)&lt;=$BO$27),$BN$27&amp;"-"&amp;TEXT(($BM$27+17),"00"),"")</f>
        <v/>
      </c>
      <c r="T172" s="6"/>
      <c r="U172" s="9" t="str">
        <f>IF(CD172="","",CD172&amp;"-"&amp;TEXT(COUNTIF($CA$72:$CA$95,CD172)+COUNTIF($CB$72:$CB$95,CD172)+COUNTIF($CC$72:$CC$95,CD172)+COUNTIF($CD$72:$CD$95,CD172)+COUNTIF($CA$100:$CA$123,CD172)+COUNTIF($CB$100:$CB$123,CD172)+COUNTIF($CC$100:$CC$123,CD172)+COUNTIF($CD$100:$CD$123,CD172)+COUNTIF($CA$128:$CA$151,CD172)+COUNTIF($CB$128:$CB$151,CD172)+COUNTIF($CC$128:$CC$151,CD172)+COUNTIF($CD$128:$CD$151,CD172)+COUNTIF($CA$156:$CA$179,CD172)+COUNTIF($CB$156:$CB$179,CD172)+COUNTIF($CC$156:$CC$179,CD172)+COUNTIF($CD$156:CD172,CD172),"000"))</f>
        <v/>
      </c>
      <c r="V172" s="9" t="str">
        <f>IF(AND($BN$28&lt;&gt;"",($BM$28+17)&lt;=$BO$28),$BN$28,"")</f>
        <v/>
      </c>
      <c r="W172" s="9" t="str">
        <f>IF(AND($BN$28&lt;&gt;"",($BM$28+17)&lt;=$BO$28),TEXT(($BM$28+17),"00"),"")</f>
        <v/>
      </c>
      <c r="X172" s="9" t="str">
        <f>IF(AND($BN$28&lt;&gt;"",($BM$28+17)&lt;=$BO$28),$BN$28&amp;"-"&amp;TEXT(($BM$28+17),"00"),"")</f>
        <v/>
      </c>
      <c r="CA172" t="str" cm="1">
        <f t="array" ref="CA172">IF(NOT(AND($BN$25&lt;&gt;"",($BM$25+17)&lt;=$BO$25)),"",IF(B172&lt;&gt;"",IF(B172="-","",B172),IF(ISNUMBER(SEARCH(":",$BP$25)),IFERROR(_xlfn.LET(_xlpm.s,_xlfn.TEXTSPLIT($BP$25,","),_xlpm.k,FIND(":",_xlpm.s),INDEX(TRIM(LEFT(_xlpm.s,_xlpm.k-1)),_xlfn.XMATCH(($BM$25+17),_xlfn.SCAN(0,--MID(_xlpm.s,_xlpm.k+1,9),_xlfn.LAMBDA(_xlpm.a,_xlpm.v,_xlpm.a+_xlpm.v)),1))),""),IF(($BM$25+17)&lt;=$BQ$25,$BP$25,""))))</f>
        <v/>
      </c>
      <c r="CB172" t="str" cm="1">
        <f t="array" ref="CB172">IF(NOT(AND($BN$26&lt;&gt;"",($BM$26+17)&lt;=$BO$26)),"",IF(H172&lt;&gt;"",IF(H172="-","",H172),IF(ISNUMBER(SEARCH(":",$BP$26)),IFERROR(_xlfn.LET(_xlpm.s,_xlfn.TEXTSPLIT($BP$26,","),_xlpm.k,FIND(":",_xlpm.s),INDEX(TRIM(LEFT(_xlpm.s,_xlpm.k-1)),_xlfn.XMATCH(($BM$26+17),_xlfn.SCAN(0,--MID(_xlpm.s,_xlpm.k+1,9),_xlfn.LAMBDA(_xlpm.a,_xlpm.v,_xlpm.a+_xlpm.v)),1))),""),IF(($BM$26+17)&lt;=$BQ$26,$BP$26,""))))</f>
        <v/>
      </c>
      <c r="CC172" t="str" cm="1">
        <f t="array" ref="CC172">IF(NOT(AND($BN$27&lt;&gt;"",($BM$27+17)&lt;=$BO$27)),"",IF(N172&lt;&gt;"",IF(N172="-","",N172),IF(ISNUMBER(SEARCH(":",$BP$27)),IFERROR(_xlfn.LET(_xlpm.s,_xlfn.TEXTSPLIT($BP$27,","),_xlpm.k,FIND(":",_xlpm.s),INDEX(TRIM(LEFT(_xlpm.s,_xlpm.k-1)),_xlfn.XMATCH(($BM$27+17),_xlfn.SCAN(0,--MID(_xlpm.s,_xlpm.k+1,9),_xlfn.LAMBDA(_xlpm.a,_xlpm.v,_xlpm.a+_xlpm.v)),1))),""),IF(($BM$27+17)&lt;=$BQ$27,$BP$27,""))))</f>
        <v/>
      </c>
      <c r="CD172" t="str" cm="1">
        <f t="array" ref="CD172">IF(NOT(AND($BN$28&lt;&gt;"",($BM$28+17)&lt;=$BO$28)),"",IF(T172&lt;&gt;"",IF(T172="-","",T172),IF(ISNUMBER(SEARCH(":",$BP$28)),IFERROR(_xlfn.LET(_xlpm.s,_xlfn.TEXTSPLIT($BP$28,","),_xlpm.k,FIND(":",_xlpm.s),INDEX(TRIM(LEFT(_xlpm.s,_xlpm.k-1)),_xlfn.XMATCH(($BM$28+17),_xlfn.SCAN(0,--MID(_xlpm.s,_xlpm.k+1,9),_xlfn.LAMBDA(_xlpm.a,_xlpm.v,_xlpm.a+_xlpm.v)),1))),""),IF(($BM$28+17)&lt;=$BQ$28,$BP$28,""))))</f>
        <v/>
      </c>
    </row>
    <row r="173" spans="2:82" hidden="1" x14ac:dyDescent="0.45">
      <c r="B173" s="6"/>
      <c r="C173" s="9" t="str">
        <f>IF(CA173="","",CA173&amp;"-"&amp;TEXT(COUNTIF($CA$72:$CA$95,CA173)+COUNTIF($CB$72:$CB$95,CA173)+COUNTIF($CC$72:$CC$95,CA173)+COUNTIF($CD$72:$CD$95,CA173)+COUNTIF($CA$100:$CA$123,CA173)+COUNTIF($CB$100:$CB$123,CA173)+COUNTIF($CC$100:$CC$123,CA173)+COUNTIF($CD$100:$CD$123,CA173)+COUNTIF($CA$128:$CA$151,CA173)+COUNTIF($CB$128:$CB$151,CA173)+COUNTIF($CC$128:$CC$151,CA173)+COUNTIF($CD$128:$CD$151,CA173)+COUNTIF($CA$156:CA173,CA173),"000"))</f>
        <v/>
      </c>
      <c r="D173" s="9" t="str">
        <f>IF(AND($BN$25&lt;&gt;"",($BM$25+18)&lt;=$BO$25),$BN$25,"")</f>
        <v/>
      </c>
      <c r="E173" s="9" t="str">
        <f>IF(AND($BN$25&lt;&gt;"",($BM$25+18)&lt;=$BO$25),TEXT(($BM$25+18),"00"),"")</f>
        <v/>
      </c>
      <c r="F173" s="9" t="str">
        <f>IF(AND($BN$25&lt;&gt;"",($BM$25+18)&lt;=$BO$25),$BN$25&amp;"-"&amp;TEXT(($BM$25+18),"00"),"")</f>
        <v/>
      </c>
      <c r="H173" s="6"/>
      <c r="I173" s="9" t="str">
        <f>IF(CB173="","",CB173&amp;"-"&amp;TEXT(COUNTIF($CA$72:$CA$95,CB173)+COUNTIF($CB$72:$CB$95,CB173)+COUNTIF($CC$72:$CC$95,CB173)+COUNTIF($CD$72:$CD$95,CB173)+COUNTIF($CA$100:$CA$123,CB173)+COUNTIF($CB$100:$CB$123,CB173)+COUNTIF($CC$100:$CC$123,CB173)+COUNTIF($CD$100:$CD$123,CB173)+COUNTIF($CA$128:$CA$151,CB173)+COUNTIF($CB$128:$CB$151,CB173)+COUNTIF($CC$128:$CC$151,CB173)+COUNTIF($CD$128:$CD$151,CB173)+COUNTIF($CA$156:$CA$179,CB173)+COUNTIF($CB$156:CB173,CB173),"000"))</f>
        <v/>
      </c>
      <c r="J173" s="9" t="str">
        <f>IF(AND($BN$26&lt;&gt;"",($BM$26+18)&lt;=$BO$26),$BN$26,"")</f>
        <v/>
      </c>
      <c r="K173" s="9" t="str">
        <f>IF(AND($BN$26&lt;&gt;"",($BM$26+18)&lt;=$BO$26),TEXT(($BM$26+18),"00"),"")</f>
        <v/>
      </c>
      <c r="L173" s="9" t="str">
        <f>IF(AND($BN$26&lt;&gt;"",($BM$26+18)&lt;=$BO$26),$BN$26&amp;"-"&amp;TEXT(($BM$26+18),"00"),"")</f>
        <v/>
      </c>
      <c r="N173" s="6"/>
      <c r="O173" s="9" t="str">
        <f>IF(CC173="","",CC173&amp;"-"&amp;TEXT(COUNTIF($CA$72:$CA$95,CC173)+COUNTIF($CB$72:$CB$95,CC173)+COUNTIF($CC$72:$CC$95,CC173)+COUNTIF($CD$72:$CD$95,CC173)+COUNTIF($CA$100:$CA$123,CC173)+COUNTIF($CB$100:$CB$123,CC173)+COUNTIF($CC$100:$CC$123,CC173)+COUNTIF($CD$100:$CD$123,CC173)+COUNTIF($CA$128:$CA$151,CC173)+COUNTIF($CB$128:$CB$151,CC173)+COUNTIF($CC$128:$CC$151,CC173)+COUNTIF($CD$128:$CD$151,CC173)+COUNTIF($CA$156:$CA$179,CC173)+COUNTIF($CB$156:$CB$179,CC173)+COUNTIF($CC$156:CC173,CC173),"000"))</f>
        <v/>
      </c>
      <c r="P173" s="9" t="str">
        <f>IF(AND($BN$27&lt;&gt;"",($BM$27+18)&lt;=$BO$27),$BN$27,"")</f>
        <v/>
      </c>
      <c r="Q173" s="9" t="str">
        <f>IF(AND($BN$27&lt;&gt;"",($BM$27+18)&lt;=$BO$27),TEXT(($BM$27+18),"00"),"")</f>
        <v/>
      </c>
      <c r="R173" s="9" t="str">
        <f>IF(AND($BN$27&lt;&gt;"",($BM$27+18)&lt;=$BO$27),$BN$27&amp;"-"&amp;TEXT(($BM$27+18),"00"),"")</f>
        <v/>
      </c>
      <c r="T173" s="6"/>
      <c r="U173" s="9" t="str">
        <f>IF(CD173="","",CD173&amp;"-"&amp;TEXT(COUNTIF($CA$72:$CA$95,CD173)+COUNTIF($CB$72:$CB$95,CD173)+COUNTIF($CC$72:$CC$95,CD173)+COUNTIF($CD$72:$CD$95,CD173)+COUNTIF($CA$100:$CA$123,CD173)+COUNTIF($CB$100:$CB$123,CD173)+COUNTIF($CC$100:$CC$123,CD173)+COUNTIF($CD$100:$CD$123,CD173)+COUNTIF($CA$128:$CA$151,CD173)+COUNTIF($CB$128:$CB$151,CD173)+COUNTIF($CC$128:$CC$151,CD173)+COUNTIF($CD$128:$CD$151,CD173)+COUNTIF($CA$156:$CA$179,CD173)+COUNTIF($CB$156:$CB$179,CD173)+COUNTIF($CC$156:$CC$179,CD173)+COUNTIF($CD$156:CD173,CD173),"000"))</f>
        <v/>
      </c>
      <c r="V173" s="9" t="str">
        <f>IF(AND($BN$28&lt;&gt;"",($BM$28+18)&lt;=$BO$28),$BN$28,"")</f>
        <v/>
      </c>
      <c r="W173" s="9" t="str">
        <f>IF(AND($BN$28&lt;&gt;"",($BM$28+18)&lt;=$BO$28),TEXT(($BM$28+18),"00"),"")</f>
        <v/>
      </c>
      <c r="X173" s="9" t="str">
        <f>IF(AND($BN$28&lt;&gt;"",($BM$28+18)&lt;=$BO$28),$BN$28&amp;"-"&amp;TEXT(($BM$28+18),"00"),"")</f>
        <v/>
      </c>
      <c r="CA173" t="str" cm="1">
        <f t="array" ref="CA173">IF(NOT(AND($BN$25&lt;&gt;"",($BM$25+18)&lt;=$BO$25)),"",IF(B173&lt;&gt;"",IF(B173="-","",B173),IF(ISNUMBER(SEARCH(":",$BP$25)),IFERROR(_xlfn.LET(_xlpm.s,_xlfn.TEXTSPLIT($BP$25,","),_xlpm.k,FIND(":",_xlpm.s),INDEX(TRIM(LEFT(_xlpm.s,_xlpm.k-1)),_xlfn.XMATCH(($BM$25+18),_xlfn.SCAN(0,--MID(_xlpm.s,_xlpm.k+1,9),_xlfn.LAMBDA(_xlpm.a,_xlpm.v,_xlpm.a+_xlpm.v)),1))),""),IF(($BM$25+18)&lt;=$BQ$25,$BP$25,""))))</f>
        <v/>
      </c>
      <c r="CB173" t="str" cm="1">
        <f t="array" ref="CB173">IF(NOT(AND($BN$26&lt;&gt;"",($BM$26+18)&lt;=$BO$26)),"",IF(H173&lt;&gt;"",IF(H173="-","",H173),IF(ISNUMBER(SEARCH(":",$BP$26)),IFERROR(_xlfn.LET(_xlpm.s,_xlfn.TEXTSPLIT($BP$26,","),_xlpm.k,FIND(":",_xlpm.s),INDEX(TRIM(LEFT(_xlpm.s,_xlpm.k-1)),_xlfn.XMATCH(($BM$26+18),_xlfn.SCAN(0,--MID(_xlpm.s,_xlpm.k+1,9),_xlfn.LAMBDA(_xlpm.a,_xlpm.v,_xlpm.a+_xlpm.v)),1))),""),IF(($BM$26+18)&lt;=$BQ$26,$BP$26,""))))</f>
        <v/>
      </c>
      <c r="CC173" t="str" cm="1">
        <f t="array" ref="CC173">IF(NOT(AND($BN$27&lt;&gt;"",($BM$27+18)&lt;=$BO$27)),"",IF(N173&lt;&gt;"",IF(N173="-","",N173),IF(ISNUMBER(SEARCH(":",$BP$27)),IFERROR(_xlfn.LET(_xlpm.s,_xlfn.TEXTSPLIT($BP$27,","),_xlpm.k,FIND(":",_xlpm.s),INDEX(TRIM(LEFT(_xlpm.s,_xlpm.k-1)),_xlfn.XMATCH(($BM$27+18),_xlfn.SCAN(0,--MID(_xlpm.s,_xlpm.k+1,9),_xlfn.LAMBDA(_xlpm.a,_xlpm.v,_xlpm.a+_xlpm.v)),1))),""),IF(($BM$27+18)&lt;=$BQ$27,$BP$27,""))))</f>
        <v/>
      </c>
      <c r="CD173" t="str" cm="1">
        <f t="array" ref="CD173">IF(NOT(AND($BN$28&lt;&gt;"",($BM$28+18)&lt;=$BO$28)),"",IF(T173&lt;&gt;"",IF(T173="-","",T173),IF(ISNUMBER(SEARCH(":",$BP$28)),IFERROR(_xlfn.LET(_xlpm.s,_xlfn.TEXTSPLIT($BP$28,","),_xlpm.k,FIND(":",_xlpm.s),INDEX(TRIM(LEFT(_xlpm.s,_xlpm.k-1)),_xlfn.XMATCH(($BM$28+18),_xlfn.SCAN(0,--MID(_xlpm.s,_xlpm.k+1,9),_xlfn.LAMBDA(_xlpm.a,_xlpm.v,_xlpm.a+_xlpm.v)),1))),""),IF(($BM$28+18)&lt;=$BQ$28,$BP$28,""))))</f>
        <v/>
      </c>
    </row>
    <row r="174" spans="2:82" hidden="1" x14ac:dyDescent="0.45">
      <c r="B174" s="6"/>
      <c r="C174" s="9" t="str">
        <f>IF(CA174="","",CA174&amp;"-"&amp;TEXT(COUNTIF($CA$72:$CA$95,CA174)+COUNTIF($CB$72:$CB$95,CA174)+COUNTIF($CC$72:$CC$95,CA174)+COUNTIF($CD$72:$CD$95,CA174)+COUNTIF($CA$100:$CA$123,CA174)+COUNTIF($CB$100:$CB$123,CA174)+COUNTIF($CC$100:$CC$123,CA174)+COUNTIF($CD$100:$CD$123,CA174)+COUNTIF($CA$128:$CA$151,CA174)+COUNTIF($CB$128:$CB$151,CA174)+COUNTIF($CC$128:$CC$151,CA174)+COUNTIF($CD$128:$CD$151,CA174)+COUNTIF($CA$156:CA174,CA174),"000"))</f>
        <v/>
      </c>
      <c r="D174" s="9" t="str">
        <f>IF(AND($BN$25&lt;&gt;"",($BM$25+19)&lt;=$BO$25),$BN$25,"")</f>
        <v/>
      </c>
      <c r="E174" s="9" t="str">
        <f>IF(AND($BN$25&lt;&gt;"",($BM$25+19)&lt;=$BO$25),TEXT(($BM$25+19),"00"),"")</f>
        <v/>
      </c>
      <c r="F174" s="9" t="str">
        <f>IF(AND($BN$25&lt;&gt;"",($BM$25+19)&lt;=$BO$25),$BN$25&amp;"-"&amp;TEXT(($BM$25+19),"00"),"")</f>
        <v/>
      </c>
      <c r="H174" s="6"/>
      <c r="I174" s="9" t="str">
        <f>IF(CB174="","",CB174&amp;"-"&amp;TEXT(COUNTIF($CA$72:$CA$95,CB174)+COUNTIF($CB$72:$CB$95,CB174)+COUNTIF($CC$72:$CC$95,CB174)+COUNTIF($CD$72:$CD$95,CB174)+COUNTIF($CA$100:$CA$123,CB174)+COUNTIF($CB$100:$CB$123,CB174)+COUNTIF($CC$100:$CC$123,CB174)+COUNTIF($CD$100:$CD$123,CB174)+COUNTIF($CA$128:$CA$151,CB174)+COUNTIF($CB$128:$CB$151,CB174)+COUNTIF($CC$128:$CC$151,CB174)+COUNTIF($CD$128:$CD$151,CB174)+COUNTIF($CA$156:$CA$179,CB174)+COUNTIF($CB$156:CB174,CB174),"000"))</f>
        <v/>
      </c>
      <c r="J174" s="9" t="str">
        <f>IF(AND($BN$26&lt;&gt;"",($BM$26+19)&lt;=$BO$26),$BN$26,"")</f>
        <v/>
      </c>
      <c r="K174" s="9" t="str">
        <f>IF(AND($BN$26&lt;&gt;"",($BM$26+19)&lt;=$BO$26),TEXT(($BM$26+19),"00"),"")</f>
        <v/>
      </c>
      <c r="L174" s="9" t="str">
        <f>IF(AND($BN$26&lt;&gt;"",($BM$26+19)&lt;=$BO$26),$BN$26&amp;"-"&amp;TEXT(($BM$26+19),"00"),"")</f>
        <v/>
      </c>
      <c r="N174" s="6"/>
      <c r="O174" s="9" t="str">
        <f>IF(CC174="","",CC174&amp;"-"&amp;TEXT(COUNTIF($CA$72:$CA$95,CC174)+COUNTIF($CB$72:$CB$95,CC174)+COUNTIF($CC$72:$CC$95,CC174)+COUNTIF($CD$72:$CD$95,CC174)+COUNTIF($CA$100:$CA$123,CC174)+COUNTIF($CB$100:$CB$123,CC174)+COUNTIF($CC$100:$CC$123,CC174)+COUNTIF($CD$100:$CD$123,CC174)+COUNTIF($CA$128:$CA$151,CC174)+COUNTIF($CB$128:$CB$151,CC174)+COUNTIF($CC$128:$CC$151,CC174)+COUNTIF($CD$128:$CD$151,CC174)+COUNTIF($CA$156:$CA$179,CC174)+COUNTIF($CB$156:$CB$179,CC174)+COUNTIF($CC$156:CC174,CC174),"000"))</f>
        <v/>
      </c>
      <c r="P174" s="9" t="str">
        <f>IF(AND($BN$27&lt;&gt;"",($BM$27+19)&lt;=$BO$27),$BN$27,"")</f>
        <v/>
      </c>
      <c r="Q174" s="9" t="str">
        <f>IF(AND($BN$27&lt;&gt;"",($BM$27+19)&lt;=$BO$27),TEXT(($BM$27+19),"00"),"")</f>
        <v/>
      </c>
      <c r="R174" s="9" t="str">
        <f>IF(AND($BN$27&lt;&gt;"",($BM$27+19)&lt;=$BO$27),$BN$27&amp;"-"&amp;TEXT(($BM$27+19),"00"),"")</f>
        <v/>
      </c>
      <c r="T174" s="6"/>
      <c r="U174" s="9" t="str">
        <f>IF(CD174="","",CD174&amp;"-"&amp;TEXT(COUNTIF($CA$72:$CA$95,CD174)+COUNTIF($CB$72:$CB$95,CD174)+COUNTIF($CC$72:$CC$95,CD174)+COUNTIF($CD$72:$CD$95,CD174)+COUNTIF($CA$100:$CA$123,CD174)+COUNTIF($CB$100:$CB$123,CD174)+COUNTIF($CC$100:$CC$123,CD174)+COUNTIF($CD$100:$CD$123,CD174)+COUNTIF($CA$128:$CA$151,CD174)+COUNTIF($CB$128:$CB$151,CD174)+COUNTIF($CC$128:$CC$151,CD174)+COUNTIF($CD$128:$CD$151,CD174)+COUNTIF($CA$156:$CA$179,CD174)+COUNTIF($CB$156:$CB$179,CD174)+COUNTIF($CC$156:$CC$179,CD174)+COUNTIF($CD$156:CD174,CD174),"000"))</f>
        <v/>
      </c>
      <c r="V174" s="9" t="str">
        <f>IF(AND($BN$28&lt;&gt;"",($BM$28+19)&lt;=$BO$28),$BN$28,"")</f>
        <v/>
      </c>
      <c r="W174" s="9" t="str">
        <f>IF(AND($BN$28&lt;&gt;"",($BM$28+19)&lt;=$BO$28),TEXT(($BM$28+19),"00"),"")</f>
        <v/>
      </c>
      <c r="X174" s="9" t="str">
        <f>IF(AND($BN$28&lt;&gt;"",($BM$28+19)&lt;=$BO$28),$BN$28&amp;"-"&amp;TEXT(($BM$28+19),"00"),"")</f>
        <v/>
      </c>
      <c r="CA174" t="str" cm="1">
        <f t="array" ref="CA174">IF(NOT(AND($BN$25&lt;&gt;"",($BM$25+19)&lt;=$BO$25)),"",IF(B174&lt;&gt;"",IF(B174="-","",B174),IF(ISNUMBER(SEARCH(":",$BP$25)),IFERROR(_xlfn.LET(_xlpm.s,_xlfn.TEXTSPLIT($BP$25,","),_xlpm.k,FIND(":",_xlpm.s),INDEX(TRIM(LEFT(_xlpm.s,_xlpm.k-1)),_xlfn.XMATCH(($BM$25+19),_xlfn.SCAN(0,--MID(_xlpm.s,_xlpm.k+1,9),_xlfn.LAMBDA(_xlpm.a,_xlpm.v,_xlpm.a+_xlpm.v)),1))),""),IF(($BM$25+19)&lt;=$BQ$25,$BP$25,""))))</f>
        <v/>
      </c>
      <c r="CB174" t="str" cm="1">
        <f t="array" ref="CB174">IF(NOT(AND($BN$26&lt;&gt;"",($BM$26+19)&lt;=$BO$26)),"",IF(H174&lt;&gt;"",IF(H174="-","",H174),IF(ISNUMBER(SEARCH(":",$BP$26)),IFERROR(_xlfn.LET(_xlpm.s,_xlfn.TEXTSPLIT($BP$26,","),_xlpm.k,FIND(":",_xlpm.s),INDEX(TRIM(LEFT(_xlpm.s,_xlpm.k-1)),_xlfn.XMATCH(($BM$26+19),_xlfn.SCAN(0,--MID(_xlpm.s,_xlpm.k+1,9),_xlfn.LAMBDA(_xlpm.a,_xlpm.v,_xlpm.a+_xlpm.v)),1))),""),IF(($BM$26+19)&lt;=$BQ$26,$BP$26,""))))</f>
        <v/>
      </c>
      <c r="CC174" t="str" cm="1">
        <f t="array" ref="CC174">IF(NOT(AND($BN$27&lt;&gt;"",($BM$27+19)&lt;=$BO$27)),"",IF(N174&lt;&gt;"",IF(N174="-","",N174),IF(ISNUMBER(SEARCH(":",$BP$27)),IFERROR(_xlfn.LET(_xlpm.s,_xlfn.TEXTSPLIT($BP$27,","),_xlpm.k,FIND(":",_xlpm.s),INDEX(TRIM(LEFT(_xlpm.s,_xlpm.k-1)),_xlfn.XMATCH(($BM$27+19),_xlfn.SCAN(0,--MID(_xlpm.s,_xlpm.k+1,9),_xlfn.LAMBDA(_xlpm.a,_xlpm.v,_xlpm.a+_xlpm.v)),1))),""),IF(($BM$27+19)&lt;=$BQ$27,$BP$27,""))))</f>
        <v/>
      </c>
      <c r="CD174" t="str" cm="1">
        <f t="array" ref="CD174">IF(NOT(AND($BN$28&lt;&gt;"",($BM$28+19)&lt;=$BO$28)),"",IF(T174&lt;&gt;"",IF(T174="-","",T174),IF(ISNUMBER(SEARCH(":",$BP$28)),IFERROR(_xlfn.LET(_xlpm.s,_xlfn.TEXTSPLIT($BP$28,","),_xlpm.k,FIND(":",_xlpm.s),INDEX(TRIM(LEFT(_xlpm.s,_xlpm.k-1)),_xlfn.XMATCH(($BM$28+19),_xlfn.SCAN(0,--MID(_xlpm.s,_xlpm.k+1,9),_xlfn.LAMBDA(_xlpm.a,_xlpm.v,_xlpm.a+_xlpm.v)),1))),""),IF(($BM$28+19)&lt;=$BQ$28,$BP$28,""))))</f>
        <v/>
      </c>
    </row>
    <row r="175" spans="2:82" hidden="1" x14ac:dyDescent="0.45">
      <c r="B175" s="6"/>
      <c r="C175" s="9" t="str">
        <f>IF(CA175="","",CA175&amp;"-"&amp;TEXT(COUNTIF($CA$72:$CA$95,CA175)+COUNTIF($CB$72:$CB$95,CA175)+COUNTIF($CC$72:$CC$95,CA175)+COUNTIF($CD$72:$CD$95,CA175)+COUNTIF($CA$100:$CA$123,CA175)+COUNTIF($CB$100:$CB$123,CA175)+COUNTIF($CC$100:$CC$123,CA175)+COUNTIF($CD$100:$CD$123,CA175)+COUNTIF($CA$128:$CA$151,CA175)+COUNTIF($CB$128:$CB$151,CA175)+COUNTIF($CC$128:$CC$151,CA175)+COUNTIF($CD$128:$CD$151,CA175)+COUNTIF($CA$156:CA175,CA175),"000"))</f>
        <v/>
      </c>
      <c r="D175" s="9" t="str">
        <f>IF(AND($BN$25&lt;&gt;"",($BM$25+20)&lt;=$BO$25),$BN$25,"")</f>
        <v/>
      </c>
      <c r="E175" s="9" t="str">
        <f>IF(AND($BN$25&lt;&gt;"",($BM$25+20)&lt;=$BO$25),TEXT(($BM$25+20),"00"),"")</f>
        <v/>
      </c>
      <c r="F175" s="9" t="str">
        <f>IF(AND($BN$25&lt;&gt;"",($BM$25+20)&lt;=$BO$25),$BN$25&amp;"-"&amp;TEXT(($BM$25+20),"00"),"")</f>
        <v/>
      </c>
      <c r="H175" s="6"/>
      <c r="I175" s="9" t="str">
        <f>IF(CB175="","",CB175&amp;"-"&amp;TEXT(COUNTIF($CA$72:$CA$95,CB175)+COUNTIF($CB$72:$CB$95,CB175)+COUNTIF($CC$72:$CC$95,CB175)+COUNTIF($CD$72:$CD$95,CB175)+COUNTIF($CA$100:$CA$123,CB175)+COUNTIF($CB$100:$CB$123,CB175)+COUNTIF($CC$100:$CC$123,CB175)+COUNTIF($CD$100:$CD$123,CB175)+COUNTIF($CA$128:$CA$151,CB175)+COUNTIF($CB$128:$CB$151,CB175)+COUNTIF($CC$128:$CC$151,CB175)+COUNTIF($CD$128:$CD$151,CB175)+COUNTIF($CA$156:$CA$179,CB175)+COUNTIF($CB$156:CB175,CB175),"000"))</f>
        <v/>
      </c>
      <c r="J175" s="9" t="str">
        <f>IF(AND($BN$26&lt;&gt;"",($BM$26+20)&lt;=$BO$26),$BN$26,"")</f>
        <v/>
      </c>
      <c r="K175" s="9" t="str">
        <f>IF(AND($BN$26&lt;&gt;"",($BM$26+20)&lt;=$BO$26),TEXT(($BM$26+20),"00"),"")</f>
        <v/>
      </c>
      <c r="L175" s="9" t="str">
        <f>IF(AND($BN$26&lt;&gt;"",($BM$26+20)&lt;=$BO$26),$BN$26&amp;"-"&amp;TEXT(($BM$26+20),"00"),"")</f>
        <v/>
      </c>
      <c r="N175" s="6"/>
      <c r="O175" s="9" t="str">
        <f>IF(CC175="","",CC175&amp;"-"&amp;TEXT(COUNTIF($CA$72:$CA$95,CC175)+COUNTIF($CB$72:$CB$95,CC175)+COUNTIF($CC$72:$CC$95,CC175)+COUNTIF($CD$72:$CD$95,CC175)+COUNTIF($CA$100:$CA$123,CC175)+COUNTIF($CB$100:$CB$123,CC175)+COUNTIF($CC$100:$CC$123,CC175)+COUNTIF($CD$100:$CD$123,CC175)+COUNTIF($CA$128:$CA$151,CC175)+COUNTIF($CB$128:$CB$151,CC175)+COUNTIF($CC$128:$CC$151,CC175)+COUNTIF($CD$128:$CD$151,CC175)+COUNTIF($CA$156:$CA$179,CC175)+COUNTIF($CB$156:$CB$179,CC175)+COUNTIF($CC$156:CC175,CC175),"000"))</f>
        <v/>
      </c>
      <c r="P175" s="9" t="str">
        <f>IF(AND($BN$27&lt;&gt;"",($BM$27+20)&lt;=$BO$27),$BN$27,"")</f>
        <v/>
      </c>
      <c r="Q175" s="9" t="str">
        <f>IF(AND($BN$27&lt;&gt;"",($BM$27+20)&lt;=$BO$27),TEXT(($BM$27+20),"00"),"")</f>
        <v/>
      </c>
      <c r="R175" s="9" t="str">
        <f>IF(AND($BN$27&lt;&gt;"",($BM$27+20)&lt;=$BO$27),$BN$27&amp;"-"&amp;TEXT(($BM$27+20),"00"),"")</f>
        <v/>
      </c>
      <c r="T175" s="6"/>
      <c r="U175" s="9" t="str">
        <f>IF(CD175="","",CD175&amp;"-"&amp;TEXT(COUNTIF($CA$72:$CA$95,CD175)+COUNTIF($CB$72:$CB$95,CD175)+COUNTIF($CC$72:$CC$95,CD175)+COUNTIF($CD$72:$CD$95,CD175)+COUNTIF($CA$100:$CA$123,CD175)+COUNTIF($CB$100:$CB$123,CD175)+COUNTIF($CC$100:$CC$123,CD175)+COUNTIF($CD$100:$CD$123,CD175)+COUNTIF($CA$128:$CA$151,CD175)+COUNTIF($CB$128:$CB$151,CD175)+COUNTIF($CC$128:$CC$151,CD175)+COUNTIF($CD$128:$CD$151,CD175)+COUNTIF($CA$156:$CA$179,CD175)+COUNTIF($CB$156:$CB$179,CD175)+COUNTIF($CC$156:$CC$179,CD175)+COUNTIF($CD$156:CD175,CD175),"000"))</f>
        <v/>
      </c>
      <c r="V175" s="9" t="str">
        <f>IF(AND($BN$28&lt;&gt;"",($BM$28+20)&lt;=$BO$28),$BN$28,"")</f>
        <v/>
      </c>
      <c r="W175" s="9" t="str">
        <f>IF(AND($BN$28&lt;&gt;"",($BM$28+20)&lt;=$BO$28),TEXT(($BM$28+20),"00"),"")</f>
        <v/>
      </c>
      <c r="X175" s="9" t="str">
        <f>IF(AND($BN$28&lt;&gt;"",($BM$28+20)&lt;=$BO$28),$BN$28&amp;"-"&amp;TEXT(($BM$28+20),"00"),"")</f>
        <v/>
      </c>
      <c r="CA175" t="str" cm="1">
        <f t="array" ref="CA175">IF(NOT(AND($BN$25&lt;&gt;"",($BM$25+20)&lt;=$BO$25)),"",IF(B175&lt;&gt;"",IF(B175="-","",B175),IF(ISNUMBER(SEARCH(":",$BP$25)),IFERROR(_xlfn.LET(_xlpm.s,_xlfn.TEXTSPLIT($BP$25,","),_xlpm.k,FIND(":",_xlpm.s),INDEX(TRIM(LEFT(_xlpm.s,_xlpm.k-1)),_xlfn.XMATCH(($BM$25+20),_xlfn.SCAN(0,--MID(_xlpm.s,_xlpm.k+1,9),_xlfn.LAMBDA(_xlpm.a,_xlpm.v,_xlpm.a+_xlpm.v)),1))),""),IF(($BM$25+20)&lt;=$BQ$25,$BP$25,""))))</f>
        <v/>
      </c>
      <c r="CB175" t="str" cm="1">
        <f t="array" ref="CB175">IF(NOT(AND($BN$26&lt;&gt;"",($BM$26+20)&lt;=$BO$26)),"",IF(H175&lt;&gt;"",IF(H175="-","",H175),IF(ISNUMBER(SEARCH(":",$BP$26)),IFERROR(_xlfn.LET(_xlpm.s,_xlfn.TEXTSPLIT($BP$26,","),_xlpm.k,FIND(":",_xlpm.s),INDEX(TRIM(LEFT(_xlpm.s,_xlpm.k-1)),_xlfn.XMATCH(($BM$26+20),_xlfn.SCAN(0,--MID(_xlpm.s,_xlpm.k+1,9),_xlfn.LAMBDA(_xlpm.a,_xlpm.v,_xlpm.a+_xlpm.v)),1))),""),IF(($BM$26+20)&lt;=$BQ$26,$BP$26,""))))</f>
        <v/>
      </c>
      <c r="CC175" t="str" cm="1">
        <f t="array" ref="CC175">IF(NOT(AND($BN$27&lt;&gt;"",($BM$27+20)&lt;=$BO$27)),"",IF(N175&lt;&gt;"",IF(N175="-","",N175),IF(ISNUMBER(SEARCH(":",$BP$27)),IFERROR(_xlfn.LET(_xlpm.s,_xlfn.TEXTSPLIT($BP$27,","),_xlpm.k,FIND(":",_xlpm.s),INDEX(TRIM(LEFT(_xlpm.s,_xlpm.k-1)),_xlfn.XMATCH(($BM$27+20),_xlfn.SCAN(0,--MID(_xlpm.s,_xlpm.k+1,9),_xlfn.LAMBDA(_xlpm.a,_xlpm.v,_xlpm.a+_xlpm.v)),1))),""),IF(($BM$27+20)&lt;=$BQ$27,$BP$27,""))))</f>
        <v/>
      </c>
      <c r="CD175" t="str" cm="1">
        <f t="array" ref="CD175">IF(NOT(AND($BN$28&lt;&gt;"",($BM$28+20)&lt;=$BO$28)),"",IF(T175&lt;&gt;"",IF(T175="-","",T175),IF(ISNUMBER(SEARCH(":",$BP$28)),IFERROR(_xlfn.LET(_xlpm.s,_xlfn.TEXTSPLIT($BP$28,","),_xlpm.k,FIND(":",_xlpm.s),INDEX(TRIM(LEFT(_xlpm.s,_xlpm.k-1)),_xlfn.XMATCH(($BM$28+20),_xlfn.SCAN(0,--MID(_xlpm.s,_xlpm.k+1,9),_xlfn.LAMBDA(_xlpm.a,_xlpm.v,_xlpm.a+_xlpm.v)),1))),""),IF(($BM$28+20)&lt;=$BQ$28,$BP$28,""))))</f>
        <v/>
      </c>
    </row>
    <row r="176" spans="2:82" hidden="1" x14ac:dyDescent="0.45">
      <c r="B176" s="6"/>
      <c r="C176" s="9" t="str">
        <f>IF(CA176="","",CA176&amp;"-"&amp;TEXT(COUNTIF($CA$72:$CA$95,CA176)+COUNTIF($CB$72:$CB$95,CA176)+COUNTIF($CC$72:$CC$95,CA176)+COUNTIF($CD$72:$CD$95,CA176)+COUNTIF($CA$100:$CA$123,CA176)+COUNTIF($CB$100:$CB$123,CA176)+COUNTIF($CC$100:$CC$123,CA176)+COUNTIF($CD$100:$CD$123,CA176)+COUNTIF($CA$128:$CA$151,CA176)+COUNTIF($CB$128:$CB$151,CA176)+COUNTIF($CC$128:$CC$151,CA176)+COUNTIF($CD$128:$CD$151,CA176)+COUNTIF($CA$156:CA176,CA176),"000"))</f>
        <v/>
      </c>
      <c r="D176" s="9" t="str">
        <f>IF(AND($BN$25&lt;&gt;"",($BM$25+21)&lt;=$BO$25),$BN$25,"")</f>
        <v/>
      </c>
      <c r="E176" s="9" t="str">
        <f>IF(AND($BN$25&lt;&gt;"",($BM$25+21)&lt;=$BO$25),TEXT(($BM$25+21),"00"),"")</f>
        <v/>
      </c>
      <c r="F176" s="9" t="str">
        <f>IF(AND($BN$25&lt;&gt;"",($BM$25+21)&lt;=$BO$25),$BN$25&amp;"-"&amp;TEXT(($BM$25+21),"00"),"")</f>
        <v/>
      </c>
      <c r="H176" s="6"/>
      <c r="I176" s="9" t="str">
        <f>IF(CB176="","",CB176&amp;"-"&amp;TEXT(COUNTIF($CA$72:$CA$95,CB176)+COUNTIF($CB$72:$CB$95,CB176)+COUNTIF($CC$72:$CC$95,CB176)+COUNTIF($CD$72:$CD$95,CB176)+COUNTIF($CA$100:$CA$123,CB176)+COUNTIF($CB$100:$CB$123,CB176)+COUNTIF($CC$100:$CC$123,CB176)+COUNTIF($CD$100:$CD$123,CB176)+COUNTIF($CA$128:$CA$151,CB176)+COUNTIF($CB$128:$CB$151,CB176)+COUNTIF($CC$128:$CC$151,CB176)+COUNTIF($CD$128:$CD$151,CB176)+COUNTIF($CA$156:$CA$179,CB176)+COUNTIF($CB$156:CB176,CB176),"000"))</f>
        <v/>
      </c>
      <c r="J176" s="9" t="str">
        <f>IF(AND($BN$26&lt;&gt;"",($BM$26+21)&lt;=$BO$26),$BN$26,"")</f>
        <v/>
      </c>
      <c r="K176" s="9" t="str">
        <f>IF(AND($BN$26&lt;&gt;"",($BM$26+21)&lt;=$BO$26),TEXT(($BM$26+21),"00"),"")</f>
        <v/>
      </c>
      <c r="L176" s="9" t="str">
        <f>IF(AND($BN$26&lt;&gt;"",($BM$26+21)&lt;=$BO$26),$BN$26&amp;"-"&amp;TEXT(($BM$26+21),"00"),"")</f>
        <v/>
      </c>
      <c r="N176" s="6"/>
      <c r="O176" s="9" t="str">
        <f>IF(CC176="","",CC176&amp;"-"&amp;TEXT(COUNTIF($CA$72:$CA$95,CC176)+COUNTIF($CB$72:$CB$95,CC176)+COUNTIF($CC$72:$CC$95,CC176)+COUNTIF($CD$72:$CD$95,CC176)+COUNTIF($CA$100:$CA$123,CC176)+COUNTIF($CB$100:$CB$123,CC176)+COUNTIF($CC$100:$CC$123,CC176)+COUNTIF($CD$100:$CD$123,CC176)+COUNTIF($CA$128:$CA$151,CC176)+COUNTIF($CB$128:$CB$151,CC176)+COUNTIF($CC$128:$CC$151,CC176)+COUNTIF($CD$128:$CD$151,CC176)+COUNTIF($CA$156:$CA$179,CC176)+COUNTIF($CB$156:$CB$179,CC176)+COUNTIF($CC$156:CC176,CC176),"000"))</f>
        <v/>
      </c>
      <c r="P176" s="9" t="str">
        <f>IF(AND($BN$27&lt;&gt;"",($BM$27+21)&lt;=$BO$27),$BN$27,"")</f>
        <v/>
      </c>
      <c r="Q176" s="9" t="str">
        <f>IF(AND($BN$27&lt;&gt;"",($BM$27+21)&lt;=$BO$27),TEXT(($BM$27+21),"00"),"")</f>
        <v/>
      </c>
      <c r="R176" s="9" t="str">
        <f>IF(AND($BN$27&lt;&gt;"",($BM$27+21)&lt;=$BO$27),$BN$27&amp;"-"&amp;TEXT(($BM$27+21),"00"),"")</f>
        <v/>
      </c>
      <c r="T176" s="6"/>
      <c r="U176" s="9" t="str">
        <f>IF(CD176="","",CD176&amp;"-"&amp;TEXT(COUNTIF($CA$72:$CA$95,CD176)+COUNTIF($CB$72:$CB$95,CD176)+COUNTIF($CC$72:$CC$95,CD176)+COUNTIF($CD$72:$CD$95,CD176)+COUNTIF($CA$100:$CA$123,CD176)+COUNTIF($CB$100:$CB$123,CD176)+COUNTIF($CC$100:$CC$123,CD176)+COUNTIF($CD$100:$CD$123,CD176)+COUNTIF($CA$128:$CA$151,CD176)+COUNTIF($CB$128:$CB$151,CD176)+COUNTIF($CC$128:$CC$151,CD176)+COUNTIF($CD$128:$CD$151,CD176)+COUNTIF($CA$156:$CA$179,CD176)+COUNTIF($CB$156:$CB$179,CD176)+COUNTIF($CC$156:$CC$179,CD176)+COUNTIF($CD$156:CD176,CD176),"000"))</f>
        <v/>
      </c>
      <c r="V176" s="9" t="str">
        <f>IF(AND($BN$28&lt;&gt;"",($BM$28+21)&lt;=$BO$28),$BN$28,"")</f>
        <v/>
      </c>
      <c r="W176" s="9" t="str">
        <f>IF(AND($BN$28&lt;&gt;"",($BM$28+21)&lt;=$BO$28),TEXT(($BM$28+21),"00"),"")</f>
        <v/>
      </c>
      <c r="X176" s="9" t="str">
        <f>IF(AND($BN$28&lt;&gt;"",($BM$28+21)&lt;=$BO$28),$BN$28&amp;"-"&amp;TEXT(($BM$28+21),"00"),"")</f>
        <v/>
      </c>
      <c r="CA176" t="str" cm="1">
        <f t="array" ref="CA176">IF(NOT(AND($BN$25&lt;&gt;"",($BM$25+21)&lt;=$BO$25)),"",IF(B176&lt;&gt;"",IF(B176="-","",B176),IF(ISNUMBER(SEARCH(":",$BP$25)),IFERROR(_xlfn.LET(_xlpm.s,_xlfn.TEXTSPLIT($BP$25,","),_xlpm.k,FIND(":",_xlpm.s),INDEX(TRIM(LEFT(_xlpm.s,_xlpm.k-1)),_xlfn.XMATCH(($BM$25+21),_xlfn.SCAN(0,--MID(_xlpm.s,_xlpm.k+1,9),_xlfn.LAMBDA(_xlpm.a,_xlpm.v,_xlpm.a+_xlpm.v)),1))),""),IF(($BM$25+21)&lt;=$BQ$25,$BP$25,""))))</f>
        <v/>
      </c>
      <c r="CB176" t="str" cm="1">
        <f t="array" ref="CB176">IF(NOT(AND($BN$26&lt;&gt;"",($BM$26+21)&lt;=$BO$26)),"",IF(H176&lt;&gt;"",IF(H176="-","",H176),IF(ISNUMBER(SEARCH(":",$BP$26)),IFERROR(_xlfn.LET(_xlpm.s,_xlfn.TEXTSPLIT($BP$26,","),_xlpm.k,FIND(":",_xlpm.s),INDEX(TRIM(LEFT(_xlpm.s,_xlpm.k-1)),_xlfn.XMATCH(($BM$26+21),_xlfn.SCAN(0,--MID(_xlpm.s,_xlpm.k+1,9),_xlfn.LAMBDA(_xlpm.a,_xlpm.v,_xlpm.a+_xlpm.v)),1))),""),IF(($BM$26+21)&lt;=$BQ$26,$BP$26,""))))</f>
        <v/>
      </c>
      <c r="CC176" t="str" cm="1">
        <f t="array" ref="CC176">IF(NOT(AND($BN$27&lt;&gt;"",($BM$27+21)&lt;=$BO$27)),"",IF(N176&lt;&gt;"",IF(N176="-","",N176),IF(ISNUMBER(SEARCH(":",$BP$27)),IFERROR(_xlfn.LET(_xlpm.s,_xlfn.TEXTSPLIT($BP$27,","),_xlpm.k,FIND(":",_xlpm.s),INDEX(TRIM(LEFT(_xlpm.s,_xlpm.k-1)),_xlfn.XMATCH(($BM$27+21),_xlfn.SCAN(0,--MID(_xlpm.s,_xlpm.k+1,9),_xlfn.LAMBDA(_xlpm.a,_xlpm.v,_xlpm.a+_xlpm.v)),1))),""),IF(($BM$27+21)&lt;=$BQ$27,$BP$27,""))))</f>
        <v/>
      </c>
      <c r="CD176" t="str" cm="1">
        <f t="array" ref="CD176">IF(NOT(AND($BN$28&lt;&gt;"",($BM$28+21)&lt;=$BO$28)),"",IF(T176&lt;&gt;"",IF(T176="-","",T176),IF(ISNUMBER(SEARCH(":",$BP$28)),IFERROR(_xlfn.LET(_xlpm.s,_xlfn.TEXTSPLIT($BP$28,","),_xlpm.k,FIND(":",_xlpm.s),INDEX(TRIM(LEFT(_xlpm.s,_xlpm.k-1)),_xlfn.XMATCH(($BM$28+21),_xlfn.SCAN(0,--MID(_xlpm.s,_xlpm.k+1,9),_xlfn.LAMBDA(_xlpm.a,_xlpm.v,_xlpm.a+_xlpm.v)),1))),""),IF(($BM$28+21)&lt;=$BQ$28,$BP$28,""))))</f>
        <v/>
      </c>
    </row>
    <row r="177" spans="2:82" hidden="1" x14ac:dyDescent="0.45">
      <c r="B177" s="6"/>
      <c r="C177" s="9" t="str">
        <f>IF(CA177="","",CA177&amp;"-"&amp;TEXT(COUNTIF($CA$72:$CA$95,CA177)+COUNTIF($CB$72:$CB$95,CA177)+COUNTIF($CC$72:$CC$95,CA177)+COUNTIF($CD$72:$CD$95,CA177)+COUNTIF($CA$100:$CA$123,CA177)+COUNTIF($CB$100:$CB$123,CA177)+COUNTIF($CC$100:$CC$123,CA177)+COUNTIF($CD$100:$CD$123,CA177)+COUNTIF($CA$128:$CA$151,CA177)+COUNTIF($CB$128:$CB$151,CA177)+COUNTIF($CC$128:$CC$151,CA177)+COUNTIF($CD$128:$CD$151,CA177)+COUNTIF($CA$156:CA177,CA177),"000"))</f>
        <v/>
      </c>
      <c r="D177" s="9" t="str">
        <f>IF(AND($BN$25&lt;&gt;"",($BM$25+22)&lt;=$BO$25),$BN$25,"")</f>
        <v/>
      </c>
      <c r="E177" s="9" t="str">
        <f>IF(AND($BN$25&lt;&gt;"",($BM$25+22)&lt;=$BO$25),TEXT(($BM$25+22),"00"),"")</f>
        <v/>
      </c>
      <c r="F177" s="9" t="str">
        <f>IF(AND($BN$25&lt;&gt;"",($BM$25+22)&lt;=$BO$25),$BN$25&amp;"-"&amp;TEXT(($BM$25+22),"00"),"")</f>
        <v/>
      </c>
      <c r="H177" s="6"/>
      <c r="I177" s="9" t="str">
        <f>IF(CB177="","",CB177&amp;"-"&amp;TEXT(COUNTIF($CA$72:$CA$95,CB177)+COUNTIF($CB$72:$CB$95,CB177)+COUNTIF($CC$72:$CC$95,CB177)+COUNTIF($CD$72:$CD$95,CB177)+COUNTIF($CA$100:$CA$123,CB177)+COUNTIF($CB$100:$CB$123,CB177)+COUNTIF($CC$100:$CC$123,CB177)+COUNTIF($CD$100:$CD$123,CB177)+COUNTIF($CA$128:$CA$151,CB177)+COUNTIF($CB$128:$CB$151,CB177)+COUNTIF($CC$128:$CC$151,CB177)+COUNTIF($CD$128:$CD$151,CB177)+COUNTIF($CA$156:$CA$179,CB177)+COUNTIF($CB$156:CB177,CB177),"000"))</f>
        <v/>
      </c>
      <c r="J177" s="9" t="str">
        <f>IF(AND($BN$26&lt;&gt;"",($BM$26+22)&lt;=$BO$26),$BN$26,"")</f>
        <v/>
      </c>
      <c r="K177" s="9" t="str">
        <f>IF(AND($BN$26&lt;&gt;"",($BM$26+22)&lt;=$BO$26),TEXT(($BM$26+22),"00"),"")</f>
        <v/>
      </c>
      <c r="L177" s="9" t="str">
        <f>IF(AND($BN$26&lt;&gt;"",($BM$26+22)&lt;=$BO$26),$BN$26&amp;"-"&amp;TEXT(($BM$26+22),"00"),"")</f>
        <v/>
      </c>
      <c r="N177" s="6"/>
      <c r="O177" s="9" t="str">
        <f>IF(CC177="","",CC177&amp;"-"&amp;TEXT(COUNTIF($CA$72:$CA$95,CC177)+COUNTIF($CB$72:$CB$95,CC177)+COUNTIF($CC$72:$CC$95,CC177)+COUNTIF($CD$72:$CD$95,CC177)+COUNTIF($CA$100:$CA$123,CC177)+COUNTIF($CB$100:$CB$123,CC177)+COUNTIF($CC$100:$CC$123,CC177)+COUNTIF($CD$100:$CD$123,CC177)+COUNTIF($CA$128:$CA$151,CC177)+COUNTIF($CB$128:$CB$151,CC177)+COUNTIF($CC$128:$CC$151,CC177)+COUNTIF($CD$128:$CD$151,CC177)+COUNTIF($CA$156:$CA$179,CC177)+COUNTIF($CB$156:$CB$179,CC177)+COUNTIF($CC$156:CC177,CC177),"000"))</f>
        <v/>
      </c>
      <c r="P177" s="9" t="str">
        <f>IF(AND($BN$27&lt;&gt;"",($BM$27+22)&lt;=$BO$27),$BN$27,"")</f>
        <v/>
      </c>
      <c r="Q177" s="9" t="str">
        <f>IF(AND($BN$27&lt;&gt;"",($BM$27+22)&lt;=$BO$27),TEXT(($BM$27+22),"00"),"")</f>
        <v/>
      </c>
      <c r="R177" s="9" t="str">
        <f>IF(AND($BN$27&lt;&gt;"",($BM$27+22)&lt;=$BO$27),$BN$27&amp;"-"&amp;TEXT(($BM$27+22),"00"),"")</f>
        <v/>
      </c>
      <c r="T177" s="6"/>
      <c r="U177" s="9" t="str">
        <f>IF(CD177="","",CD177&amp;"-"&amp;TEXT(COUNTIF($CA$72:$CA$95,CD177)+COUNTIF($CB$72:$CB$95,CD177)+COUNTIF($CC$72:$CC$95,CD177)+COUNTIF($CD$72:$CD$95,CD177)+COUNTIF($CA$100:$CA$123,CD177)+COUNTIF($CB$100:$CB$123,CD177)+COUNTIF($CC$100:$CC$123,CD177)+COUNTIF($CD$100:$CD$123,CD177)+COUNTIF($CA$128:$CA$151,CD177)+COUNTIF($CB$128:$CB$151,CD177)+COUNTIF($CC$128:$CC$151,CD177)+COUNTIF($CD$128:$CD$151,CD177)+COUNTIF($CA$156:$CA$179,CD177)+COUNTIF($CB$156:$CB$179,CD177)+COUNTIF($CC$156:$CC$179,CD177)+COUNTIF($CD$156:CD177,CD177),"000"))</f>
        <v/>
      </c>
      <c r="V177" s="9" t="str">
        <f>IF(AND($BN$28&lt;&gt;"",($BM$28+22)&lt;=$BO$28),$BN$28,"")</f>
        <v/>
      </c>
      <c r="W177" s="9" t="str">
        <f>IF(AND($BN$28&lt;&gt;"",($BM$28+22)&lt;=$BO$28),TEXT(($BM$28+22),"00"),"")</f>
        <v/>
      </c>
      <c r="X177" s="9" t="str">
        <f>IF(AND($BN$28&lt;&gt;"",($BM$28+22)&lt;=$BO$28),$BN$28&amp;"-"&amp;TEXT(($BM$28+22),"00"),"")</f>
        <v/>
      </c>
      <c r="CA177" t="str" cm="1">
        <f t="array" ref="CA177">IF(NOT(AND($BN$25&lt;&gt;"",($BM$25+22)&lt;=$BO$25)),"",IF(B177&lt;&gt;"",IF(B177="-","",B177),IF(ISNUMBER(SEARCH(":",$BP$25)),IFERROR(_xlfn.LET(_xlpm.s,_xlfn.TEXTSPLIT($BP$25,","),_xlpm.k,FIND(":",_xlpm.s),INDEX(TRIM(LEFT(_xlpm.s,_xlpm.k-1)),_xlfn.XMATCH(($BM$25+22),_xlfn.SCAN(0,--MID(_xlpm.s,_xlpm.k+1,9),_xlfn.LAMBDA(_xlpm.a,_xlpm.v,_xlpm.a+_xlpm.v)),1))),""),IF(($BM$25+22)&lt;=$BQ$25,$BP$25,""))))</f>
        <v/>
      </c>
      <c r="CB177" t="str" cm="1">
        <f t="array" ref="CB177">IF(NOT(AND($BN$26&lt;&gt;"",($BM$26+22)&lt;=$BO$26)),"",IF(H177&lt;&gt;"",IF(H177="-","",H177),IF(ISNUMBER(SEARCH(":",$BP$26)),IFERROR(_xlfn.LET(_xlpm.s,_xlfn.TEXTSPLIT($BP$26,","),_xlpm.k,FIND(":",_xlpm.s),INDEX(TRIM(LEFT(_xlpm.s,_xlpm.k-1)),_xlfn.XMATCH(($BM$26+22),_xlfn.SCAN(0,--MID(_xlpm.s,_xlpm.k+1,9),_xlfn.LAMBDA(_xlpm.a,_xlpm.v,_xlpm.a+_xlpm.v)),1))),""),IF(($BM$26+22)&lt;=$BQ$26,$BP$26,""))))</f>
        <v/>
      </c>
      <c r="CC177" t="str" cm="1">
        <f t="array" ref="CC177">IF(NOT(AND($BN$27&lt;&gt;"",($BM$27+22)&lt;=$BO$27)),"",IF(N177&lt;&gt;"",IF(N177="-","",N177),IF(ISNUMBER(SEARCH(":",$BP$27)),IFERROR(_xlfn.LET(_xlpm.s,_xlfn.TEXTSPLIT($BP$27,","),_xlpm.k,FIND(":",_xlpm.s),INDEX(TRIM(LEFT(_xlpm.s,_xlpm.k-1)),_xlfn.XMATCH(($BM$27+22),_xlfn.SCAN(0,--MID(_xlpm.s,_xlpm.k+1,9),_xlfn.LAMBDA(_xlpm.a,_xlpm.v,_xlpm.a+_xlpm.v)),1))),""),IF(($BM$27+22)&lt;=$BQ$27,$BP$27,""))))</f>
        <v/>
      </c>
      <c r="CD177" t="str" cm="1">
        <f t="array" ref="CD177">IF(NOT(AND($BN$28&lt;&gt;"",($BM$28+22)&lt;=$BO$28)),"",IF(T177&lt;&gt;"",IF(T177="-","",T177),IF(ISNUMBER(SEARCH(":",$BP$28)),IFERROR(_xlfn.LET(_xlpm.s,_xlfn.TEXTSPLIT($BP$28,","),_xlpm.k,FIND(":",_xlpm.s),INDEX(TRIM(LEFT(_xlpm.s,_xlpm.k-1)),_xlfn.XMATCH(($BM$28+22),_xlfn.SCAN(0,--MID(_xlpm.s,_xlpm.k+1,9),_xlfn.LAMBDA(_xlpm.a,_xlpm.v,_xlpm.a+_xlpm.v)),1))),""),IF(($BM$28+22)&lt;=$BQ$28,$BP$28,""))))</f>
        <v/>
      </c>
    </row>
    <row r="178" spans="2:82" hidden="1" x14ac:dyDescent="0.45">
      <c r="B178" s="6"/>
      <c r="C178" s="9" t="str">
        <f>IF(CA178="","",CA178&amp;"-"&amp;TEXT(COUNTIF($CA$72:$CA$95,CA178)+COUNTIF($CB$72:$CB$95,CA178)+COUNTIF($CC$72:$CC$95,CA178)+COUNTIF($CD$72:$CD$95,CA178)+COUNTIF($CA$100:$CA$123,CA178)+COUNTIF($CB$100:$CB$123,CA178)+COUNTIF($CC$100:$CC$123,CA178)+COUNTIF($CD$100:$CD$123,CA178)+COUNTIF($CA$128:$CA$151,CA178)+COUNTIF($CB$128:$CB$151,CA178)+COUNTIF($CC$128:$CC$151,CA178)+COUNTIF($CD$128:$CD$151,CA178)+COUNTIF($CA$156:CA178,CA178),"000"))</f>
        <v/>
      </c>
      <c r="D178" s="9" t="str">
        <f>IF(AND($BN$25&lt;&gt;"",($BM$25+23)&lt;=$BO$25),$BN$25,"")</f>
        <v/>
      </c>
      <c r="E178" s="9" t="str">
        <f>IF(AND($BN$25&lt;&gt;"",($BM$25+23)&lt;=$BO$25),TEXT(($BM$25+23),"00"),"")</f>
        <v/>
      </c>
      <c r="F178" s="9" t="str">
        <f>IF(AND($BN$25&lt;&gt;"",($BM$25+23)&lt;=$BO$25),$BN$25&amp;"-"&amp;TEXT(($BM$25+23),"00"),"")</f>
        <v/>
      </c>
      <c r="H178" s="6"/>
      <c r="I178" s="9" t="str">
        <f>IF(CB178="","",CB178&amp;"-"&amp;TEXT(COUNTIF($CA$72:$CA$95,CB178)+COUNTIF($CB$72:$CB$95,CB178)+COUNTIF($CC$72:$CC$95,CB178)+COUNTIF($CD$72:$CD$95,CB178)+COUNTIF($CA$100:$CA$123,CB178)+COUNTIF($CB$100:$CB$123,CB178)+COUNTIF($CC$100:$CC$123,CB178)+COUNTIF($CD$100:$CD$123,CB178)+COUNTIF($CA$128:$CA$151,CB178)+COUNTIF($CB$128:$CB$151,CB178)+COUNTIF($CC$128:$CC$151,CB178)+COUNTIF($CD$128:$CD$151,CB178)+COUNTIF($CA$156:$CA$179,CB178)+COUNTIF($CB$156:CB178,CB178),"000"))</f>
        <v/>
      </c>
      <c r="J178" s="9" t="str">
        <f>IF(AND($BN$26&lt;&gt;"",($BM$26+23)&lt;=$BO$26),$BN$26,"")</f>
        <v/>
      </c>
      <c r="K178" s="9" t="str">
        <f>IF(AND($BN$26&lt;&gt;"",($BM$26+23)&lt;=$BO$26),TEXT(($BM$26+23),"00"),"")</f>
        <v/>
      </c>
      <c r="L178" s="9" t="str">
        <f>IF(AND($BN$26&lt;&gt;"",($BM$26+23)&lt;=$BO$26),$BN$26&amp;"-"&amp;TEXT(($BM$26+23),"00"),"")</f>
        <v/>
      </c>
      <c r="N178" s="6"/>
      <c r="O178" s="9" t="str">
        <f>IF(CC178="","",CC178&amp;"-"&amp;TEXT(COUNTIF($CA$72:$CA$95,CC178)+COUNTIF($CB$72:$CB$95,CC178)+COUNTIF($CC$72:$CC$95,CC178)+COUNTIF($CD$72:$CD$95,CC178)+COUNTIF($CA$100:$CA$123,CC178)+COUNTIF($CB$100:$CB$123,CC178)+COUNTIF($CC$100:$CC$123,CC178)+COUNTIF($CD$100:$CD$123,CC178)+COUNTIF($CA$128:$CA$151,CC178)+COUNTIF($CB$128:$CB$151,CC178)+COUNTIF($CC$128:$CC$151,CC178)+COUNTIF($CD$128:$CD$151,CC178)+COUNTIF($CA$156:$CA$179,CC178)+COUNTIF($CB$156:$CB$179,CC178)+COUNTIF($CC$156:CC178,CC178),"000"))</f>
        <v/>
      </c>
      <c r="P178" s="9" t="str">
        <f>IF(AND($BN$27&lt;&gt;"",($BM$27+23)&lt;=$BO$27),$BN$27,"")</f>
        <v/>
      </c>
      <c r="Q178" s="9" t="str">
        <f>IF(AND($BN$27&lt;&gt;"",($BM$27+23)&lt;=$BO$27),TEXT(($BM$27+23),"00"),"")</f>
        <v/>
      </c>
      <c r="R178" s="9" t="str">
        <f>IF(AND($BN$27&lt;&gt;"",($BM$27+23)&lt;=$BO$27),$BN$27&amp;"-"&amp;TEXT(($BM$27+23),"00"),"")</f>
        <v/>
      </c>
      <c r="T178" s="6"/>
      <c r="U178" s="9" t="str">
        <f>IF(CD178="","",CD178&amp;"-"&amp;TEXT(COUNTIF($CA$72:$CA$95,CD178)+COUNTIF($CB$72:$CB$95,CD178)+COUNTIF($CC$72:$CC$95,CD178)+COUNTIF($CD$72:$CD$95,CD178)+COUNTIF($CA$100:$CA$123,CD178)+COUNTIF($CB$100:$CB$123,CD178)+COUNTIF($CC$100:$CC$123,CD178)+COUNTIF($CD$100:$CD$123,CD178)+COUNTIF($CA$128:$CA$151,CD178)+COUNTIF($CB$128:$CB$151,CD178)+COUNTIF($CC$128:$CC$151,CD178)+COUNTIF($CD$128:$CD$151,CD178)+COUNTIF($CA$156:$CA$179,CD178)+COUNTIF($CB$156:$CB$179,CD178)+COUNTIF($CC$156:$CC$179,CD178)+COUNTIF($CD$156:CD178,CD178),"000"))</f>
        <v/>
      </c>
      <c r="V178" s="9" t="str">
        <f>IF(AND($BN$28&lt;&gt;"",($BM$28+23)&lt;=$BO$28),$BN$28,"")</f>
        <v/>
      </c>
      <c r="W178" s="9" t="str">
        <f>IF(AND($BN$28&lt;&gt;"",($BM$28+23)&lt;=$BO$28),TEXT(($BM$28+23),"00"),"")</f>
        <v/>
      </c>
      <c r="X178" s="9" t="str">
        <f>IF(AND($BN$28&lt;&gt;"",($BM$28+23)&lt;=$BO$28),$BN$28&amp;"-"&amp;TEXT(($BM$28+23),"00"),"")</f>
        <v/>
      </c>
      <c r="CA178" t="str" cm="1">
        <f t="array" ref="CA178">IF(NOT(AND($BN$25&lt;&gt;"",($BM$25+23)&lt;=$BO$25)),"",IF(B178&lt;&gt;"",IF(B178="-","",B178),IF(ISNUMBER(SEARCH(":",$BP$25)),IFERROR(_xlfn.LET(_xlpm.s,_xlfn.TEXTSPLIT($BP$25,","),_xlpm.k,FIND(":",_xlpm.s),INDEX(TRIM(LEFT(_xlpm.s,_xlpm.k-1)),_xlfn.XMATCH(($BM$25+23),_xlfn.SCAN(0,--MID(_xlpm.s,_xlpm.k+1,9),_xlfn.LAMBDA(_xlpm.a,_xlpm.v,_xlpm.a+_xlpm.v)),1))),""),IF(($BM$25+23)&lt;=$BQ$25,$BP$25,""))))</f>
        <v/>
      </c>
      <c r="CB178" t="str" cm="1">
        <f t="array" ref="CB178">IF(NOT(AND($BN$26&lt;&gt;"",($BM$26+23)&lt;=$BO$26)),"",IF(H178&lt;&gt;"",IF(H178="-","",H178),IF(ISNUMBER(SEARCH(":",$BP$26)),IFERROR(_xlfn.LET(_xlpm.s,_xlfn.TEXTSPLIT($BP$26,","),_xlpm.k,FIND(":",_xlpm.s),INDEX(TRIM(LEFT(_xlpm.s,_xlpm.k-1)),_xlfn.XMATCH(($BM$26+23),_xlfn.SCAN(0,--MID(_xlpm.s,_xlpm.k+1,9),_xlfn.LAMBDA(_xlpm.a,_xlpm.v,_xlpm.a+_xlpm.v)),1))),""),IF(($BM$26+23)&lt;=$BQ$26,$BP$26,""))))</f>
        <v/>
      </c>
      <c r="CC178" t="str" cm="1">
        <f t="array" ref="CC178">IF(NOT(AND($BN$27&lt;&gt;"",($BM$27+23)&lt;=$BO$27)),"",IF(N178&lt;&gt;"",IF(N178="-","",N178),IF(ISNUMBER(SEARCH(":",$BP$27)),IFERROR(_xlfn.LET(_xlpm.s,_xlfn.TEXTSPLIT($BP$27,","),_xlpm.k,FIND(":",_xlpm.s),INDEX(TRIM(LEFT(_xlpm.s,_xlpm.k-1)),_xlfn.XMATCH(($BM$27+23),_xlfn.SCAN(0,--MID(_xlpm.s,_xlpm.k+1,9),_xlfn.LAMBDA(_xlpm.a,_xlpm.v,_xlpm.a+_xlpm.v)),1))),""),IF(($BM$27+23)&lt;=$BQ$27,$BP$27,""))))</f>
        <v/>
      </c>
      <c r="CD178" t="str" cm="1">
        <f t="array" ref="CD178">IF(NOT(AND($BN$28&lt;&gt;"",($BM$28+23)&lt;=$BO$28)),"",IF(T178&lt;&gt;"",IF(T178="-","",T178),IF(ISNUMBER(SEARCH(":",$BP$28)),IFERROR(_xlfn.LET(_xlpm.s,_xlfn.TEXTSPLIT($BP$28,","),_xlpm.k,FIND(":",_xlpm.s),INDEX(TRIM(LEFT(_xlpm.s,_xlpm.k-1)),_xlfn.XMATCH(($BM$28+23),_xlfn.SCAN(0,--MID(_xlpm.s,_xlpm.k+1,9),_xlfn.LAMBDA(_xlpm.a,_xlpm.v,_xlpm.a+_xlpm.v)),1))),""),IF(($BM$28+23)&lt;=$BQ$28,$BP$28,""))))</f>
        <v/>
      </c>
    </row>
    <row r="179" spans="2:82" hidden="1" x14ac:dyDescent="0.45">
      <c r="B179" s="6"/>
      <c r="C179" s="9" t="str">
        <f>IF(CA179="","",CA179&amp;"-"&amp;TEXT(COUNTIF($CA$72:$CA$95,CA179)+COUNTIF($CB$72:$CB$95,CA179)+COUNTIF($CC$72:$CC$95,CA179)+COUNTIF($CD$72:$CD$95,CA179)+COUNTIF($CA$100:$CA$123,CA179)+COUNTIF($CB$100:$CB$123,CA179)+COUNTIF($CC$100:$CC$123,CA179)+COUNTIF($CD$100:$CD$123,CA179)+COUNTIF($CA$128:$CA$151,CA179)+COUNTIF($CB$128:$CB$151,CA179)+COUNTIF($CC$128:$CC$151,CA179)+COUNTIF($CD$128:$CD$151,CA179)+COUNTIF($CA$156:CA179,CA179),"000"))</f>
        <v/>
      </c>
      <c r="D179" s="9" t="str">
        <f>IF(AND($BN$25&lt;&gt;"",($BM$25+24)&lt;=$BO$25),$BN$25,"")</f>
        <v/>
      </c>
      <c r="E179" s="9" t="str">
        <f>IF(AND($BN$25&lt;&gt;"",($BM$25+24)&lt;=$BO$25),TEXT(($BM$25+24),"00"),"")</f>
        <v/>
      </c>
      <c r="F179" s="9" t="str">
        <f>IF(AND($BN$25&lt;&gt;"",($BM$25+24)&lt;=$BO$25),$BN$25&amp;"-"&amp;TEXT(($BM$25+24),"00"),"")</f>
        <v/>
      </c>
      <c r="H179" s="6"/>
      <c r="I179" s="9" t="str">
        <f>IF(CB179="","",CB179&amp;"-"&amp;TEXT(COUNTIF($CA$72:$CA$95,CB179)+COUNTIF($CB$72:$CB$95,CB179)+COUNTIF($CC$72:$CC$95,CB179)+COUNTIF($CD$72:$CD$95,CB179)+COUNTIF($CA$100:$CA$123,CB179)+COUNTIF($CB$100:$CB$123,CB179)+COUNTIF($CC$100:$CC$123,CB179)+COUNTIF($CD$100:$CD$123,CB179)+COUNTIF($CA$128:$CA$151,CB179)+COUNTIF($CB$128:$CB$151,CB179)+COUNTIF($CC$128:$CC$151,CB179)+COUNTIF($CD$128:$CD$151,CB179)+COUNTIF($CA$156:$CA$179,CB179)+COUNTIF($CB$156:CB179,CB179),"000"))</f>
        <v/>
      </c>
      <c r="J179" s="9" t="str">
        <f>IF(AND($BN$26&lt;&gt;"",($BM$26+24)&lt;=$BO$26),$BN$26,"")</f>
        <v/>
      </c>
      <c r="K179" s="9" t="str">
        <f>IF(AND($BN$26&lt;&gt;"",($BM$26+24)&lt;=$BO$26),TEXT(($BM$26+24),"00"),"")</f>
        <v/>
      </c>
      <c r="L179" s="9" t="str">
        <f>IF(AND($BN$26&lt;&gt;"",($BM$26+24)&lt;=$BO$26),$BN$26&amp;"-"&amp;TEXT(($BM$26+24),"00"),"")</f>
        <v/>
      </c>
      <c r="N179" s="6"/>
      <c r="O179" s="9" t="str">
        <f>IF(CC179="","",CC179&amp;"-"&amp;TEXT(COUNTIF($CA$72:$CA$95,CC179)+COUNTIF($CB$72:$CB$95,CC179)+COUNTIF($CC$72:$CC$95,CC179)+COUNTIF($CD$72:$CD$95,CC179)+COUNTIF($CA$100:$CA$123,CC179)+COUNTIF($CB$100:$CB$123,CC179)+COUNTIF($CC$100:$CC$123,CC179)+COUNTIF($CD$100:$CD$123,CC179)+COUNTIF($CA$128:$CA$151,CC179)+COUNTIF($CB$128:$CB$151,CC179)+COUNTIF($CC$128:$CC$151,CC179)+COUNTIF($CD$128:$CD$151,CC179)+COUNTIF($CA$156:$CA$179,CC179)+COUNTIF($CB$156:$CB$179,CC179)+COUNTIF($CC$156:CC179,CC179),"000"))</f>
        <v/>
      </c>
      <c r="P179" s="9" t="str">
        <f>IF(AND($BN$27&lt;&gt;"",($BM$27+24)&lt;=$BO$27),$BN$27,"")</f>
        <v/>
      </c>
      <c r="Q179" s="9" t="str">
        <f>IF(AND($BN$27&lt;&gt;"",($BM$27+24)&lt;=$BO$27),TEXT(($BM$27+24),"00"),"")</f>
        <v/>
      </c>
      <c r="R179" s="9" t="str">
        <f>IF(AND($BN$27&lt;&gt;"",($BM$27+24)&lt;=$BO$27),$BN$27&amp;"-"&amp;TEXT(($BM$27+24),"00"),"")</f>
        <v/>
      </c>
      <c r="T179" s="6"/>
      <c r="U179" s="9" t="str">
        <f>IF(CD179="","",CD179&amp;"-"&amp;TEXT(COUNTIF($CA$72:$CA$95,CD179)+COUNTIF($CB$72:$CB$95,CD179)+COUNTIF($CC$72:$CC$95,CD179)+COUNTIF($CD$72:$CD$95,CD179)+COUNTIF($CA$100:$CA$123,CD179)+COUNTIF($CB$100:$CB$123,CD179)+COUNTIF($CC$100:$CC$123,CD179)+COUNTIF($CD$100:$CD$123,CD179)+COUNTIF($CA$128:$CA$151,CD179)+COUNTIF($CB$128:$CB$151,CD179)+COUNTIF($CC$128:$CC$151,CD179)+COUNTIF($CD$128:$CD$151,CD179)+COUNTIF($CA$156:$CA$179,CD179)+COUNTIF($CB$156:$CB$179,CD179)+COUNTIF($CC$156:$CC$179,CD179)+COUNTIF($CD$156:CD179,CD179),"000"))</f>
        <v/>
      </c>
      <c r="V179" s="9" t="str">
        <f>IF(AND($BN$28&lt;&gt;"",($BM$28+24)&lt;=$BO$28),$BN$28,"")</f>
        <v/>
      </c>
      <c r="W179" s="9" t="str">
        <f>IF(AND($BN$28&lt;&gt;"",($BM$28+24)&lt;=$BO$28),TEXT(($BM$28+24),"00"),"")</f>
        <v/>
      </c>
      <c r="X179" s="9" t="str">
        <f>IF(AND($BN$28&lt;&gt;"",($BM$28+24)&lt;=$BO$28),$BN$28&amp;"-"&amp;TEXT(($BM$28+24),"00"),"")</f>
        <v/>
      </c>
      <c r="CA179" t="str" cm="1">
        <f t="array" ref="CA179">IF(NOT(AND($BN$25&lt;&gt;"",($BM$25+24)&lt;=$BO$25)),"",IF(B179&lt;&gt;"",IF(B179="-","",B179),IF(ISNUMBER(SEARCH(":",$BP$25)),IFERROR(_xlfn.LET(_xlpm.s,_xlfn.TEXTSPLIT($BP$25,","),_xlpm.k,FIND(":",_xlpm.s),INDEX(TRIM(LEFT(_xlpm.s,_xlpm.k-1)),_xlfn.XMATCH(($BM$25+24),_xlfn.SCAN(0,--MID(_xlpm.s,_xlpm.k+1,9),_xlfn.LAMBDA(_xlpm.a,_xlpm.v,_xlpm.a+_xlpm.v)),1))),""),IF(($BM$25+24)&lt;=$BQ$25,$BP$25,""))))</f>
        <v/>
      </c>
      <c r="CB179" t="str" cm="1">
        <f t="array" ref="CB179">IF(NOT(AND($BN$26&lt;&gt;"",($BM$26+24)&lt;=$BO$26)),"",IF(H179&lt;&gt;"",IF(H179="-","",H179),IF(ISNUMBER(SEARCH(":",$BP$26)),IFERROR(_xlfn.LET(_xlpm.s,_xlfn.TEXTSPLIT($BP$26,","),_xlpm.k,FIND(":",_xlpm.s),INDEX(TRIM(LEFT(_xlpm.s,_xlpm.k-1)),_xlfn.XMATCH(($BM$26+24),_xlfn.SCAN(0,--MID(_xlpm.s,_xlpm.k+1,9),_xlfn.LAMBDA(_xlpm.a,_xlpm.v,_xlpm.a+_xlpm.v)),1))),""),IF(($BM$26+24)&lt;=$BQ$26,$BP$26,""))))</f>
        <v/>
      </c>
      <c r="CC179" t="str" cm="1">
        <f t="array" ref="CC179">IF(NOT(AND($BN$27&lt;&gt;"",($BM$27+24)&lt;=$BO$27)),"",IF(N179&lt;&gt;"",IF(N179="-","",N179),IF(ISNUMBER(SEARCH(":",$BP$27)),IFERROR(_xlfn.LET(_xlpm.s,_xlfn.TEXTSPLIT($BP$27,","),_xlpm.k,FIND(":",_xlpm.s),INDEX(TRIM(LEFT(_xlpm.s,_xlpm.k-1)),_xlfn.XMATCH(($BM$27+24),_xlfn.SCAN(0,--MID(_xlpm.s,_xlpm.k+1,9),_xlfn.LAMBDA(_xlpm.a,_xlpm.v,_xlpm.a+_xlpm.v)),1))),""),IF(($BM$27+24)&lt;=$BQ$27,$BP$27,""))))</f>
        <v/>
      </c>
      <c r="CD179" t="str" cm="1">
        <f t="array" ref="CD179">IF(NOT(AND($BN$28&lt;&gt;"",($BM$28+24)&lt;=$BO$28)),"",IF(T179&lt;&gt;"",IF(T179="-","",T179),IF(ISNUMBER(SEARCH(":",$BP$28)),IFERROR(_xlfn.LET(_xlpm.s,_xlfn.TEXTSPLIT($BP$28,","),_xlpm.k,FIND(":",_xlpm.s),INDEX(TRIM(LEFT(_xlpm.s,_xlpm.k-1)),_xlfn.XMATCH(($BM$28+24),_xlfn.SCAN(0,--MID(_xlpm.s,_xlpm.k+1,9),_xlfn.LAMBDA(_xlpm.a,_xlpm.v,_xlpm.a+_xlpm.v)),1))),""),IF(($BM$28+24)&lt;=$BQ$28,$BP$28,""))))</f>
        <v/>
      </c>
    </row>
    <row r="180" spans="2:82" hidden="1" x14ac:dyDescent="0.45"/>
    <row r="181" spans="2:82" hidden="1" x14ac:dyDescent="0.45"/>
    <row r="182" spans="2:82" hidden="1" x14ac:dyDescent="0.45"/>
    <row r="183" spans="2:82" hidden="1" x14ac:dyDescent="0.45"/>
    <row r="184" spans="2:82" hidden="1" x14ac:dyDescent="0.45"/>
    <row r="185" spans="2:82" hidden="1" x14ac:dyDescent="0.45"/>
  </sheetData>
  <mergeCells count="224">
    <mergeCell ref="B65:G65"/>
    <mergeCell ref="J65:Q65"/>
    <mergeCell ref="B66:G66"/>
    <mergeCell ref="J66:Q66"/>
    <mergeCell ref="B67:G67"/>
    <mergeCell ref="J67:Q67"/>
    <mergeCell ref="B60:G60"/>
    <mergeCell ref="J60:Q60"/>
    <mergeCell ref="B61:G61"/>
    <mergeCell ref="J61:Q61"/>
    <mergeCell ref="B62:G62"/>
    <mergeCell ref="J62:Q62"/>
    <mergeCell ref="B63:G63"/>
    <mergeCell ref="J63:Q63"/>
    <mergeCell ref="B64:G64"/>
    <mergeCell ref="J64:Q64"/>
    <mergeCell ref="B7:D7"/>
    <mergeCell ref="F27:G27"/>
    <mergeCell ref="I48:J48"/>
    <mergeCell ref="P18:Q18"/>
    <mergeCell ref="F37:G37"/>
    <mergeCell ref="P42:Q42"/>
    <mergeCell ref="C29:E29"/>
    <mergeCell ref="N7:Q7"/>
    <mergeCell ref="E9:I9"/>
    <mergeCell ref="P27:Q27"/>
    <mergeCell ref="P12:Q12"/>
    <mergeCell ref="B8:D8"/>
    <mergeCell ref="P25:Q25"/>
    <mergeCell ref="E8:I8"/>
    <mergeCell ref="C12:E12"/>
    <mergeCell ref="P34:Q34"/>
    <mergeCell ref="B154:F154"/>
    <mergeCell ref="T25:V25"/>
    <mergeCell ref="N154:R154"/>
    <mergeCell ref="C41:E41"/>
    <mergeCell ref="P29:Q29"/>
    <mergeCell ref="P38:Q38"/>
    <mergeCell ref="I49:J49"/>
    <mergeCell ref="F40:G40"/>
    <mergeCell ref="P31:Q31"/>
    <mergeCell ref="L58:Q58"/>
    <mergeCell ref="P40:Q40"/>
    <mergeCell ref="C51:H51"/>
    <mergeCell ref="T70:X70"/>
    <mergeCell ref="T38:V38"/>
    <mergeCell ref="T53:V53"/>
    <mergeCell ref="H154:L154"/>
    <mergeCell ref="T98:X98"/>
    <mergeCell ref="T154:X154"/>
    <mergeCell ref="P41:Q41"/>
    <mergeCell ref="C56:H56"/>
    <mergeCell ref="T56:V56"/>
    <mergeCell ref="T54:V54"/>
    <mergeCell ref="N126:R126"/>
    <mergeCell ref="P26:Q26"/>
    <mergeCell ref="H70:L70"/>
    <mergeCell ref="T52:V52"/>
    <mergeCell ref="P17:Q17"/>
    <mergeCell ref="E6:F6"/>
    <mergeCell ref="C28:E28"/>
    <mergeCell ref="C57:H57"/>
    <mergeCell ref="C37:E37"/>
    <mergeCell ref="K8:L8"/>
    <mergeCell ref="T27:V27"/>
    <mergeCell ref="C53:H53"/>
    <mergeCell ref="T36:V36"/>
    <mergeCell ref="T18:V18"/>
    <mergeCell ref="F22:G22"/>
    <mergeCell ref="L48:Q48"/>
    <mergeCell ref="P19:Q19"/>
    <mergeCell ref="C30:E30"/>
    <mergeCell ref="T33:V33"/>
    <mergeCell ref="C14:E14"/>
    <mergeCell ref="I51:J51"/>
    <mergeCell ref="C58:H58"/>
    <mergeCell ref="T12:V12"/>
    <mergeCell ref="H6:I6"/>
    <mergeCell ref="T13:V13"/>
    <mergeCell ref="F41:G41"/>
    <mergeCell ref="P15:Q15"/>
    <mergeCell ref="P24:Q24"/>
    <mergeCell ref="P33:Q33"/>
    <mergeCell ref="C20:E20"/>
    <mergeCell ref="C25:E25"/>
    <mergeCell ref="T16:V16"/>
    <mergeCell ref="C27:E27"/>
    <mergeCell ref="P21:Q21"/>
    <mergeCell ref="R13:R57"/>
    <mergeCell ref="C17:E17"/>
    <mergeCell ref="F32:G32"/>
    <mergeCell ref="I53:J53"/>
    <mergeCell ref="F26:G26"/>
    <mergeCell ref="F19:G19"/>
    <mergeCell ref="C22:E22"/>
    <mergeCell ref="F34:G34"/>
    <mergeCell ref="T43:V43"/>
    <mergeCell ref="P23:Q23"/>
    <mergeCell ref="F35:G35"/>
    <mergeCell ref="C19:E19"/>
    <mergeCell ref="F38:G38"/>
    <mergeCell ref="I55:J55"/>
    <mergeCell ref="P16:Q16"/>
    <mergeCell ref="C49:H49"/>
    <mergeCell ref="B2:X2"/>
    <mergeCell ref="N98:R98"/>
    <mergeCell ref="F17:G17"/>
    <mergeCell ref="I56:J56"/>
    <mergeCell ref="C32:E32"/>
    <mergeCell ref="C38:E38"/>
    <mergeCell ref="C13:E13"/>
    <mergeCell ref="T19:V19"/>
    <mergeCell ref="F31:G31"/>
    <mergeCell ref="F28:G28"/>
    <mergeCell ref="P28:Q28"/>
    <mergeCell ref="P37:Q37"/>
    <mergeCell ref="T39:V39"/>
    <mergeCell ref="C15:E15"/>
    <mergeCell ref="C24:E24"/>
    <mergeCell ref="T49:V49"/>
    <mergeCell ref="F39:G39"/>
    <mergeCell ref="C33:E33"/>
    <mergeCell ref="P30:Q30"/>
    <mergeCell ref="T32:V32"/>
    <mergeCell ref="L57:Q57"/>
    <mergeCell ref="T45:V45"/>
    <mergeCell ref="K43:N43"/>
    <mergeCell ref="T42:V42"/>
    <mergeCell ref="T40:V40"/>
    <mergeCell ref="F30:G30"/>
    <mergeCell ref="F20:G20"/>
    <mergeCell ref="F18:G18"/>
    <mergeCell ref="F33:G33"/>
    <mergeCell ref="B9:D9"/>
    <mergeCell ref="C39:E39"/>
    <mergeCell ref="P36:Q36"/>
    <mergeCell ref="T17:V17"/>
    <mergeCell ref="C26:E26"/>
    <mergeCell ref="P14:Q14"/>
    <mergeCell ref="C35:E35"/>
    <mergeCell ref="T21:V21"/>
    <mergeCell ref="F21:G21"/>
    <mergeCell ref="C36:E36"/>
    <mergeCell ref="F29:G29"/>
    <mergeCell ref="F16:G16"/>
    <mergeCell ref="P20:Q20"/>
    <mergeCell ref="C31:E31"/>
    <mergeCell ref="T35:V35"/>
    <mergeCell ref="F14:G14"/>
    <mergeCell ref="F12:G12"/>
    <mergeCell ref="T15:V15"/>
    <mergeCell ref="T24:V24"/>
    <mergeCell ref="B6:D6"/>
    <mergeCell ref="I58:J58"/>
    <mergeCell ref="P39:Q39"/>
    <mergeCell ref="T34:V34"/>
    <mergeCell ref="L52:Q52"/>
    <mergeCell ref="T46:V46"/>
    <mergeCell ref="T28:V28"/>
    <mergeCell ref="L49:Q49"/>
    <mergeCell ref="T37:V37"/>
    <mergeCell ref="F23:G23"/>
    <mergeCell ref="P32:Q32"/>
    <mergeCell ref="C18:E18"/>
    <mergeCell ref="T48:V48"/>
    <mergeCell ref="F13:G13"/>
    <mergeCell ref="P13:Q13"/>
    <mergeCell ref="I52:J52"/>
    <mergeCell ref="L55:Q55"/>
    <mergeCell ref="I57:J57"/>
    <mergeCell ref="I54:J54"/>
    <mergeCell ref="L53:Q53"/>
    <mergeCell ref="T47:V47"/>
    <mergeCell ref="L7:M7"/>
    <mergeCell ref="P35:Q35"/>
    <mergeCell ref="C50:H50"/>
    <mergeCell ref="T55:V55"/>
    <mergeCell ref="F25:G25"/>
    <mergeCell ref="C40:E40"/>
    <mergeCell ref="C16:E16"/>
    <mergeCell ref="B126:F126"/>
    <mergeCell ref="T50:V50"/>
    <mergeCell ref="T126:X126"/>
    <mergeCell ref="C54:H54"/>
    <mergeCell ref="T44:V44"/>
    <mergeCell ref="H98:L98"/>
    <mergeCell ref="L56:Q56"/>
    <mergeCell ref="N70:R70"/>
    <mergeCell ref="B70:F70"/>
    <mergeCell ref="B98:F98"/>
    <mergeCell ref="H126:L126"/>
    <mergeCell ref="F42:G42"/>
    <mergeCell ref="T51:V51"/>
    <mergeCell ref="T41:V41"/>
    <mergeCell ref="T23:V23"/>
    <mergeCell ref="F36:G36"/>
    <mergeCell ref="T26:V26"/>
    <mergeCell ref="B43:G43"/>
    <mergeCell ref="I50:J50"/>
    <mergeCell ref="F24:G24"/>
    <mergeCell ref="B3:X3"/>
    <mergeCell ref="C21:E21"/>
    <mergeCell ref="L51:Q51"/>
    <mergeCell ref="P22:Q22"/>
    <mergeCell ref="L54:Q54"/>
    <mergeCell ref="F15:G15"/>
    <mergeCell ref="J6:Q6"/>
    <mergeCell ref="C23:E23"/>
    <mergeCell ref="C52:H52"/>
    <mergeCell ref="L50:Q50"/>
    <mergeCell ref="T22:V22"/>
    <mergeCell ref="C48:H48"/>
    <mergeCell ref="T31:V31"/>
    <mergeCell ref="X13:X57"/>
    <mergeCell ref="E7:I7"/>
    <mergeCell ref="P43:Q43"/>
    <mergeCell ref="C34:E34"/>
    <mergeCell ref="T30:V30"/>
    <mergeCell ref="T57:V57"/>
    <mergeCell ref="C42:E42"/>
    <mergeCell ref="T20:V20"/>
    <mergeCell ref="T14:V14"/>
    <mergeCell ref="T29:V29"/>
    <mergeCell ref="C55:H55"/>
  </mergeCells>
  <conditionalFormatting sqref="B72:F95">
    <cfRule type="expression" dxfId="171" priority="26">
      <formula>NOT(AND($BN$13&lt;&gt;"",$BM$13+ROW()-71&lt;=$BO$13))</formula>
    </cfRule>
  </conditionalFormatting>
  <conditionalFormatting sqref="B100:F123">
    <cfRule type="expression" dxfId="170" priority="30">
      <formula>NOT(AND($BN$17&lt;&gt;"",$BM$17+ROW()-99&lt;=$BO$17))</formula>
    </cfRule>
  </conditionalFormatting>
  <conditionalFormatting sqref="B128:F151">
    <cfRule type="expression" dxfId="169" priority="34">
      <formula>NOT(AND($BN$21&lt;&gt;"",$BM$21+ROW()-127&lt;=$BO$21))</formula>
    </cfRule>
  </conditionalFormatting>
  <conditionalFormatting sqref="B156:F179">
    <cfRule type="expression" dxfId="168" priority="38">
      <formula>NOT(AND($BN$25&lt;&gt;"",$BM$25+ROW()-155&lt;=$BO$25))</formula>
    </cfRule>
  </conditionalFormatting>
  <conditionalFormatting sqref="B13:L42">
    <cfRule type="expression" dxfId="167" priority="4">
      <formula>AND(ISNUMBER($K13),$K13&lt;1)</formula>
    </cfRule>
  </conditionalFormatting>
  <conditionalFormatting sqref="H72:L95">
    <cfRule type="expression" dxfId="166" priority="27">
      <formula>NOT(AND($BN$14&lt;&gt;"",$BM$14+ROW()-71&lt;=$BO$14))</formula>
    </cfRule>
  </conditionalFormatting>
  <conditionalFormatting sqref="H100:L123">
    <cfRule type="expression" dxfId="165" priority="31">
      <formula>NOT(AND($BN$18&lt;&gt;"",$BM$18+ROW()-99&lt;=$BO$18))</formula>
    </cfRule>
  </conditionalFormatting>
  <conditionalFormatting sqref="H128:L151">
    <cfRule type="expression" dxfId="164" priority="35">
      <formula>NOT(AND($BN$22&lt;&gt;"",$BM$22+ROW()-127&lt;=$BO$22))</formula>
    </cfRule>
  </conditionalFormatting>
  <conditionalFormatting sqref="H156:L179">
    <cfRule type="expression" dxfId="163" priority="39">
      <formula>NOT(AND($BN$26&lt;&gt;"",$BM$26+ROW()-155&lt;=$BO$26))</formula>
    </cfRule>
  </conditionalFormatting>
  <conditionalFormatting sqref="I43">
    <cfRule type="expression" dxfId="162" priority="3">
      <formula>$I$43&lt;0</formula>
    </cfRule>
  </conditionalFormatting>
  <conditionalFormatting sqref="J60:Q67">
    <cfRule type="expression" dxfId="161" priority="43">
      <formula>LEFT($J60,1)="✓"</formula>
    </cfRule>
    <cfRule type="expression" dxfId="160" priority="42">
      <formula>LEFT($J60,1)="⚠"</formula>
    </cfRule>
  </conditionalFormatting>
  <conditionalFormatting sqref="K43:N43">
    <cfRule type="expression" dxfId="159" priority="1" stopIfTrue="1">
      <formula>LEFT($K$43,1)="❌"</formula>
    </cfRule>
    <cfRule type="expression" dxfId="158" priority="2">
      <formula>LEFT($K$43,1)="✓"</formula>
    </cfRule>
  </conditionalFormatting>
  <conditionalFormatting sqref="N72:R95">
    <cfRule type="expression" dxfId="157" priority="28">
      <formula>NOT(AND($BN$15&lt;&gt;"",$BM$15+ROW()-71&lt;=$BO$15))</formula>
    </cfRule>
  </conditionalFormatting>
  <conditionalFormatting sqref="N100:R123">
    <cfRule type="expression" dxfId="156" priority="32">
      <formula>NOT(AND($BN$19&lt;&gt;"",$BM$19+ROW()-99&lt;=$BO$19))</formula>
    </cfRule>
  </conditionalFormatting>
  <conditionalFormatting sqref="N128:R151">
    <cfRule type="expression" dxfId="155" priority="36">
      <formula>NOT(AND($BN$23&lt;&gt;"",$BM$23+ROW()-127&lt;=$BO$23))</formula>
    </cfRule>
  </conditionalFormatting>
  <conditionalFormatting sqref="N156:R179">
    <cfRule type="expression" dxfId="154" priority="40">
      <formula>NOT(AND($BN$27&lt;&gt;"",$BM$27+ROW()-155&lt;=$BO$27))</formula>
    </cfRule>
  </conditionalFormatting>
  <conditionalFormatting sqref="R13:R57">
    <cfRule type="expression" dxfId="153" priority="24">
      <formula>AND(OR($K$8="Ambos lados",$K$8="Lado izquierdo"),$E$8&lt;&gt;"")</formula>
    </cfRule>
  </conditionalFormatting>
  <conditionalFormatting sqref="T13:V57">
    <cfRule type="expression" dxfId="152" priority="20">
      <formula>$AN13="Fuente de poder"</formula>
    </cfRule>
    <cfRule type="expression" dxfId="151" priority="21">
      <formula>$AN13="Tapa ciega"</formula>
    </cfRule>
    <cfRule type="expression" dxfId="150" priority="6">
      <formula>$AN13="Patch panel cobre"</formula>
    </cfRule>
    <cfRule type="expression" dxfId="149" priority="23">
      <formula>$AN13="Otro"</formula>
    </cfRule>
    <cfRule type="expression" dxfId="148" priority="5">
      <formula>$AN13="Fuera"</formula>
    </cfRule>
    <cfRule type="expression" dxfId="147" priority="7">
      <formula>$AN13="CCTV"</formula>
    </cfRule>
    <cfRule type="expression" dxfId="146" priority="22">
      <formula>$AN13="Bandeja"</formula>
    </cfRule>
    <cfRule type="expression" dxfId="145" priority="8">
      <formula>$AN13="Control de acceso"</formula>
    </cfRule>
    <cfRule type="expression" dxfId="144" priority="9">
      <formula>$AN13="Organizador horizontal"</formula>
    </cfRule>
    <cfRule type="expression" dxfId="143" priority="10">
      <formula>$AN13="Switch"</formula>
    </cfRule>
    <cfRule type="expression" dxfId="142" priority="11">
      <formula>$AN13="Fibra"</formula>
    </cfRule>
    <cfRule type="expression" dxfId="141" priority="12">
      <formula>$AN13="Espacio reservado"</formula>
    </cfRule>
    <cfRule type="expression" dxfId="140" priority="13">
      <formula>$AN13="Espacio libre"</formula>
    </cfRule>
    <cfRule type="expression" dxfId="139" priority="14">
      <formula>$AN13="Equipo activo"</formula>
    </cfRule>
    <cfRule type="expression" dxfId="138" priority="15">
      <formula>$AN13="Servidor"</formula>
    </cfRule>
    <cfRule type="expression" dxfId="137" priority="17">
      <formula>$AN13="PDU"</formula>
    </cfRule>
    <cfRule type="expression" dxfId="136" priority="16">
      <formula>$AN13="UPS"</formula>
    </cfRule>
    <cfRule type="expression" dxfId="135" priority="18">
      <formula>$AN13="Puesta a tierra"</formula>
    </cfRule>
    <cfRule type="expression" dxfId="134" priority="19">
      <formula>$AN13="Audio"</formula>
    </cfRule>
  </conditionalFormatting>
  <conditionalFormatting sqref="T72:X95">
    <cfRule type="expression" dxfId="133" priority="29">
      <formula>NOT(AND($BN$16&lt;&gt;"",$BM$16+ROW()-71&lt;=$BO$16))</formula>
    </cfRule>
  </conditionalFormatting>
  <conditionalFormatting sqref="T100:X123">
    <cfRule type="expression" dxfId="132" priority="33">
      <formula>NOT(AND($BN$20&lt;&gt;"",$BM$20+ROW()-99&lt;=$BO$20))</formula>
    </cfRule>
  </conditionalFormatting>
  <conditionalFormatting sqref="T128:X151">
    <cfRule type="expression" dxfId="131" priority="37">
      <formula>NOT(AND($BN$24&lt;&gt;"",$BM$24+ROW()-127&lt;=$BO$24))</formula>
    </cfRule>
  </conditionalFormatting>
  <conditionalFormatting sqref="T156:X179">
    <cfRule type="expression" dxfId="130" priority="41">
      <formula>NOT(AND($BN$28&lt;&gt;"",$BM$28+ROW()-155&lt;=$BO$28))</formula>
    </cfRule>
  </conditionalFormatting>
  <conditionalFormatting sqref="X13:X57">
    <cfRule type="expression" dxfId="129" priority="25">
      <formula>AND(OR($K$8="Ambos lados",$K$8="Lado derecho"),$E$8&lt;&gt;"")</formula>
    </cfRule>
  </conditionalFormatting>
  <dataValidations count="1">
    <dataValidation type="whole" allowBlank="1" sqref="N13:N42" xr:uid="{00000000-0002-0000-0300-000005000000}">
      <formula1>0</formula1>
      <formula2>384</formula2>
    </dataValidation>
  </dataValidations>
  <pageMargins left="0.75" right="0.75" top="1" bottom="1" header="0.5" footer="0.5"/>
  <pageSetup fitToHeight="0" orientation="portrait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xr:uid="{00000000-0002-0000-0300-000000000000}">
          <x14:formula1>
            <xm:f>listas!$C$2:$C$41</xm:f>
          </x14:formula1>
          <xm:sqref>E7</xm:sqref>
        </x14:dataValidation>
        <x14:dataValidation type="list" allowBlank="1" xr:uid="{00000000-0002-0000-0300-000001000000}">
          <x14:formula1>
            <xm:f>listas!$D$2:$D$41</xm:f>
          </x14:formula1>
          <xm:sqref>E8</xm:sqref>
        </x14:dataValidation>
        <x14:dataValidation type="list" allowBlank="1" xr:uid="{00000000-0002-0000-0300-000002000000}">
          <x14:formula1>
            <xm:f>listas!$H$2:$H$5</xm:f>
          </x14:formula1>
          <xm:sqref>K8</xm:sqref>
        </x14:dataValidation>
        <x14:dataValidation type="list" allowBlank="1" xr:uid="{00000000-0002-0000-0300-000003000000}">
          <x14:formula1>
            <xm:f>listas!$B$2:$B$121</xm:f>
          </x14:formula1>
          <xm:sqref>C13:C42</xm:sqref>
        </x14:dataValidation>
        <x14:dataValidation type="list" allowBlank="1" xr:uid="{00000000-0002-0000-0300-000006000000}">
          <x14:formula1>
            <xm:f>listas!$F$2:$F$41</xm:f>
          </x14:formula1>
          <xm:sqref>C49:C58</xm:sqref>
        </x14:dataValidation>
        <x14:dataValidation type="list" allowBlank="1" showErrorMessage="1" errorTitle="Tipo de salida" error="Use un código de la nomenclatura en la pestaña Proyecto (o &quot;-&quot;)" xr:uid="{00000000-0002-0000-0300-000007000000}">
          <x14:formula1>
            <xm:f>Proyecto!$C$16:$C$27</xm:f>
          </x14:formula1>
          <xm:sqref>B72:B95 B100:B123 B128:B151 B156:B179 H72:H95 H100:H123 H128:H151 H156:H179 N72:N95 N100:N123 N128:N151 N156:N179 T72:T95 T100:T123 T128:T151 T156:T179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ED7D31"/>
    <pageSetUpPr fitToPage="1"/>
  </sheetPr>
  <dimension ref="B2:CO181"/>
  <sheetViews>
    <sheetView showGridLines="0" topLeftCell="A47" zoomScale="55" zoomScaleNormal="55" workbookViewId="0">
      <selection activeCell="A68" sqref="A68:XFD181"/>
    </sheetView>
  </sheetViews>
  <sheetFormatPr defaultRowHeight="14.25" x14ac:dyDescent="0.45"/>
  <cols>
    <col min="1" max="1" width="2" customWidth="1"/>
    <col min="2" max="26" width="10" customWidth="1"/>
    <col min="27" max="93" width="13" hidden="1" customWidth="1"/>
  </cols>
  <sheetData>
    <row r="2" spans="2:93" ht="22.05" customHeight="1" x14ac:dyDescent="0.45">
      <c r="B2" s="41" t="s">
        <v>369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</row>
    <row r="3" spans="2:93" x14ac:dyDescent="0.45">
      <c r="B3" s="46" t="str">
        <f>Proyecto!D6&amp;""&amp;IF(Proyecto!D7&lt;&gt;"","  ·  Proyecto N.º "&amp;Proyecto!D7,"")&amp;IF(Proyecto!D8&lt;&gt;"","  ·  "&amp;Proyecto!D8,"")&amp;IF(Proyecto!D11&lt;&gt;"","  ·  Rev. "&amp;Proyecto!D11,"")&amp;IF(Proyecto!D9&lt;&gt;"","  ·  Fecha: "&amp;IF(ISNUMBER(Proyecto!D9),TEXT(Proyecto!D9,"dd/mm/yyyy"),Proyecto!D9),"")&amp;IF(Proyecto!D10&lt;&gt;"","  ·  Elaboró: "&amp;Proyecto!D10,"")</f>
        <v/>
      </c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AS3" t="str">
        <f>$E$6&amp;""</f>
        <v>1B</v>
      </c>
      <c r="AT3" t="str">
        <f>$J$6&amp;""</f>
        <v>Gabinete de piso 42RU (machote)</v>
      </c>
      <c r="AU3">
        <f>H43</f>
        <v>23</v>
      </c>
      <c r="AV3">
        <f>I43</f>
        <v>19</v>
      </c>
      <c r="AW3" t="str">
        <f>TEXT(J43,"0%")</f>
        <v>55%</v>
      </c>
      <c r="AX3">
        <f>COUNT($AE$13:$AE$42)</f>
        <v>3</v>
      </c>
      <c r="AY3">
        <f>SUM($BF$13:$BF$28)</f>
        <v>96</v>
      </c>
      <c r="AZ3">
        <f>$AQ$4</f>
        <v>96</v>
      </c>
      <c r="BA3" t="str">
        <f>IFERROR(TEXT($AZ$3/$AY$3,"0%"),"-")</f>
        <v>100%</v>
      </c>
    </row>
    <row r="4" spans="2:93" x14ac:dyDescent="0.45">
      <c r="B4" s="11" t="s">
        <v>414</v>
      </c>
      <c r="AQ4">
        <f>COUNTIF($CA$72:$CA$95,"?*")+COUNTIF($CB$72:$CB$95,"?*")+COUNTIF($CC$72:$CC$95,"?*")+COUNTIF($CD$72:$CD$95,"?*")+COUNTIF($CA$100:$CA$123,"?*")+COUNTIF($CB$100:$CB$123,"?*")+COUNTIF($CC$100:$CC$123,"?*")+COUNTIF($CD$100:$CD$123,"?*")+COUNTIF($CA$128:$CA$151,"?*")+COUNTIF($CB$128:$CB$151,"?*")+COUNTIF($CC$128:$CC$151,"?*")+COUNTIF($CD$128:$CD$151,"?*")+COUNTIF($CA$156:$CA$179,"?*")+COUNTIF($CB$156:$CB$179,"?*")+COUNTIF($CC$156:$CC$179,"?*")+COUNTIF($CD$156:$CD$179,"?*")</f>
        <v>96</v>
      </c>
    </row>
    <row r="5" spans="2:93" ht="18" customHeight="1" x14ac:dyDescent="0.45">
      <c r="B5" s="2" t="s">
        <v>371</v>
      </c>
      <c r="C5" s="2"/>
      <c r="D5" s="2"/>
      <c r="E5" s="2" t="s">
        <v>372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AR5">
        <f>IFERROR(IF(N(INDEX(Catalogo!$F$6:$F$125,MATCH($E$7,Catalogo!$C$6:$C$125,0)))=0,45,N(INDEX(Catalogo!$F$6:$F$125,MATCH($E$7,Catalogo!$C$6:$C$125,0)))),45)</f>
        <v>42</v>
      </c>
    </row>
    <row r="6" spans="2:93" x14ac:dyDescent="0.45">
      <c r="B6" s="42" t="s">
        <v>373</v>
      </c>
      <c r="C6" s="43"/>
      <c r="D6" s="44"/>
      <c r="E6" s="53" t="s">
        <v>415</v>
      </c>
      <c r="F6" s="39"/>
      <c r="H6" s="42" t="s">
        <v>60</v>
      </c>
      <c r="I6" s="44"/>
      <c r="J6" s="37" t="s">
        <v>416</v>
      </c>
      <c r="K6" s="38"/>
      <c r="L6" s="38"/>
      <c r="M6" s="38"/>
      <c r="N6" s="38"/>
      <c r="O6" s="38"/>
      <c r="P6" s="38"/>
      <c r="Q6" s="39"/>
      <c r="AR6">
        <f>SUM(H13:H42)</f>
        <v>23</v>
      </c>
      <c r="BA6">
        <f>IF(OR(Catalogo!$C6="",Catalogo!$B6="Espacio libre",Catalogo!$B6="Espacio reservado"),0,COUNTIF($C$13:$C$42,Catalogo!$C6)+IF($E$7=Catalogo!$C6,N($K$7),0)+IF($E$8=Catalogo!$C6,N($N$8),0)+IF(Proyecto!$D$12=Catalogo!$C6,$AQ$4,0)+SUMIF($C$49:$C$58,Catalogo!$C6,$K$49:$K$58))</f>
        <v>0</v>
      </c>
    </row>
    <row r="7" spans="2:93" x14ac:dyDescent="0.45">
      <c r="B7" s="42" t="s">
        <v>376</v>
      </c>
      <c r="C7" s="43"/>
      <c r="D7" s="44"/>
      <c r="E7" s="37" t="s">
        <v>309</v>
      </c>
      <c r="F7" s="38"/>
      <c r="G7" s="38"/>
      <c r="H7" s="38"/>
      <c r="I7" s="39"/>
      <c r="J7" s="5" t="s">
        <v>377</v>
      </c>
      <c r="K7" s="6">
        <v>1</v>
      </c>
      <c r="L7" s="42" t="s">
        <v>378</v>
      </c>
      <c r="M7" s="44"/>
      <c r="N7" s="52" t="str">
        <f>IFERROR(INDEX(Catalogo!$B$6:$B$125,MATCH($E$7,Catalogo!$C$6:$C$125,0))&amp;" "&amp;$AR$5&amp;"RU","")</f>
        <v>Gabinete 42RU</v>
      </c>
      <c r="O7" s="38"/>
      <c r="P7" s="38"/>
      <c r="Q7" s="39"/>
      <c r="BA7">
        <f>IF(OR(Catalogo!$C7="",Catalogo!$B7="Espacio libre",Catalogo!$B7="Espacio reservado"),0,COUNTIF($C$13:$C$42,Catalogo!$C7)+IF($E$7=Catalogo!$C7,N($K$7),0)+IF($E$8=Catalogo!$C7,N($N$8),0)+IF(Proyecto!$D$12=Catalogo!$C7,$AQ$4,0)+SUMIF($C$49:$C$58,Catalogo!$C7,$K$49:$K$58))</f>
        <v>0</v>
      </c>
    </row>
    <row r="8" spans="2:93" x14ac:dyDescent="0.45">
      <c r="B8" s="42" t="s">
        <v>79</v>
      </c>
      <c r="C8" s="43"/>
      <c r="D8" s="44"/>
      <c r="E8" s="37" t="s">
        <v>89</v>
      </c>
      <c r="F8" s="38"/>
      <c r="G8" s="38"/>
      <c r="H8" s="38"/>
      <c r="I8" s="39"/>
      <c r="J8" s="5" t="s">
        <v>5</v>
      </c>
      <c r="K8" s="53" t="s">
        <v>417</v>
      </c>
      <c r="L8" s="39"/>
      <c r="M8" s="5" t="s">
        <v>377</v>
      </c>
      <c r="N8" s="9">
        <f>IF($K$8="Ambos lados",2,IF(OR($K$8="Lado izquierdo",$K$8="Lado derecho"),1,0))*N($K$7)</f>
        <v>0</v>
      </c>
      <c r="BA8">
        <f>IF(OR(Catalogo!$C8="",Catalogo!$B8="Espacio libre",Catalogo!$B8="Espacio reservado"),0,COUNTIF($C$13:$C$42,Catalogo!$C8)+IF($E$7=Catalogo!$C8,N($K$7),0)+IF($E$8=Catalogo!$C8,N($N$8),0)+IF(Proyecto!$D$12=Catalogo!$C8,$AQ$4,0)+SUMIF($C$49:$C$58,Catalogo!$C8,$K$49:$K$58))</f>
        <v>0</v>
      </c>
    </row>
    <row r="9" spans="2:93" x14ac:dyDescent="0.45">
      <c r="B9" s="42" t="s">
        <v>380</v>
      </c>
      <c r="C9" s="43"/>
      <c r="D9" s="44"/>
      <c r="E9" s="45" t="str">
        <f>Proyecto!D12&amp;""</f>
        <v>Jack Cat 6A UTP azul (Mini-Com TX6A)</v>
      </c>
      <c r="F9" s="38"/>
      <c r="G9" s="38"/>
      <c r="H9" s="38"/>
      <c r="I9" s="39"/>
      <c r="K9" s="10" t="s">
        <v>381</v>
      </c>
      <c r="BA9">
        <f>IF(OR(Catalogo!$C9="",Catalogo!$B9="Espacio libre",Catalogo!$B9="Espacio reservado"),0,COUNTIF($C$13:$C$42,Catalogo!$C9)+IF($E$7=Catalogo!$C9,N($K$7),0)+IF($E$8=Catalogo!$C9,N($N$8),0)+IF(Proyecto!$D$12=Catalogo!$C9,$AQ$4,0)+SUMIF($C$49:$C$58,Catalogo!$C9,$K$49:$K$58))</f>
        <v>0</v>
      </c>
    </row>
    <row r="10" spans="2:93" x14ac:dyDescent="0.45">
      <c r="BA10">
        <f>IF(OR(Catalogo!$C10="",Catalogo!$B10="Espacio libre",Catalogo!$B10="Espacio reservado"),0,COUNTIF($C$13:$C$42,Catalogo!$C10)+IF($E$7=Catalogo!$C10,N($K$7),0)+IF($E$8=Catalogo!$C10,N($N$8),0)+IF(Proyecto!$D$12=Catalogo!$C10,$AQ$4,0)+SUMIF($C$49:$C$58,Catalogo!$C10,$K$49:$K$58))</f>
        <v>0</v>
      </c>
    </row>
    <row r="11" spans="2:93" ht="18" customHeight="1" x14ac:dyDescent="0.45">
      <c r="B11" s="2" t="s">
        <v>382</v>
      </c>
      <c r="C11" s="2"/>
      <c r="D11" s="2"/>
      <c r="E11" s="2" t="s">
        <v>383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 t="s">
        <v>384</v>
      </c>
      <c r="S11" s="2"/>
      <c r="T11" s="2"/>
      <c r="U11" s="2"/>
      <c r="V11" s="2"/>
      <c r="W11" s="2"/>
      <c r="X11" s="2"/>
      <c r="BA11">
        <f>IF(OR(Catalogo!$C11="",Catalogo!$B11="Espacio libre",Catalogo!$B11="Espacio reservado"),0,COUNTIF($C$13:$C$42,Catalogo!$C11)+IF($E$7=Catalogo!$C11,N($K$7),0)+IF($E$8=Catalogo!$C11,N($N$8),0)+IF(Proyecto!$D$12=Catalogo!$C11,$AQ$4,0)+SUMIF($C$49:$C$58,Catalogo!$C11,$K$49:$K$58))</f>
        <v>0</v>
      </c>
    </row>
    <row r="12" spans="2:93" ht="26.25" x14ac:dyDescent="0.45">
      <c r="B12" s="5" t="s">
        <v>385</v>
      </c>
      <c r="C12" s="42" t="s">
        <v>386</v>
      </c>
      <c r="D12" s="43"/>
      <c r="E12" s="44"/>
      <c r="F12" s="42" t="s">
        <v>61</v>
      </c>
      <c r="G12" s="44"/>
      <c r="H12" s="5" t="s">
        <v>62</v>
      </c>
      <c r="I12" s="5" t="s">
        <v>63</v>
      </c>
      <c r="J12" s="5" t="s">
        <v>387</v>
      </c>
      <c r="K12" s="5" t="s">
        <v>388</v>
      </c>
      <c r="L12" s="5" t="s">
        <v>389</v>
      </c>
      <c r="M12" s="5" t="s">
        <v>390</v>
      </c>
      <c r="N12" s="5" t="s">
        <v>391</v>
      </c>
      <c r="O12" s="5" t="s">
        <v>392</v>
      </c>
      <c r="P12" s="42" t="s">
        <v>393</v>
      </c>
      <c r="Q12" s="44"/>
      <c r="R12" s="5" t="s">
        <v>394</v>
      </c>
      <c r="S12" s="5" t="s">
        <v>62</v>
      </c>
      <c r="T12" s="42" t="s">
        <v>386</v>
      </c>
      <c r="U12" s="43"/>
      <c r="V12" s="44"/>
      <c r="W12" s="5" t="s">
        <v>62</v>
      </c>
      <c r="X12" s="5" t="s">
        <v>394</v>
      </c>
      <c r="BA12">
        <f>IF(OR(Catalogo!$C12="",Catalogo!$B12="Espacio libre",Catalogo!$B12="Espacio reservado"),0,COUNTIF($C$13:$C$42,Catalogo!$C12)+IF($E$7=Catalogo!$C12,N($K$7),0)+IF($E$8=Catalogo!$C12,N($N$8),0)+IF(Proyecto!$D$12=Catalogo!$C12,$AQ$4,0)+SUMIF($C$49:$C$58,Catalogo!$C12,$K$49:$K$58))</f>
        <v>0</v>
      </c>
      <c r="BK12">
        <f>SUM($BG$13:$BG$28)</f>
        <v>4</v>
      </c>
    </row>
    <row r="13" spans="2:93" ht="14" customHeight="1" x14ac:dyDescent="0.45">
      <c r="B13" s="9">
        <v>1</v>
      </c>
      <c r="C13" s="47" t="s">
        <v>333</v>
      </c>
      <c r="D13" s="38"/>
      <c r="E13" s="39"/>
      <c r="F13" s="48" t="str">
        <f>IF($C13="","",IFERROR(INDEX(Catalogo!$E$6:$E$125,MATCH($C13,Catalogo!$C$6:$C$125,0)),""))</f>
        <v>FMD1 + FAP12WAQDLCZ</v>
      </c>
      <c r="G13" s="39"/>
      <c r="H13" s="9">
        <f>IF($C13="","",N(IFERROR(INDEX(Catalogo!$F$6:$F$125,MATCH($C13,Catalogo!$C$6:$C$125,0)),"")))</f>
        <v>1</v>
      </c>
      <c r="I13" s="9" t="str">
        <f>IF($AD13&lt;&gt;"Patch panel cobre","",IFERROR(INDEX(Catalogo!$G$6:$G$125,MATCH($C13,Catalogo!$C$6:$C$125,0)),""))</f>
        <v/>
      </c>
      <c r="J13" s="9">
        <f>IF(OR($C13="",$H13=0),"",$AR$5-0)</f>
        <v>42</v>
      </c>
      <c r="K13" s="9">
        <f t="shared" ref="K13:K42" si="0">IF($J13="","",$J13-$H13+1)</f>
        <v>42</v>
      </c>
      <c r="L13" s="9" t="str">
        <f t="shared" ref="L13:L42" si="1">IF($AE13="","",$E$6&amp;"-"&amp;CHAR(65+INT(($AE13-1)/26))&amp;CHAR(65+MOD($AE13-1,26)))</f>
        <v/>
      </c>
      <c r="M13" s="6"/>
      <c r="N13" s="6"/>
      <c r="O13" s="12" t="str">
        <f t="shared" ref="O13:O42" si="2">IF($AE13="","",IFERROR(INDEX($BS$13:$BS$28,$AE13)/INDEX($BF$13:$BF$28,$AE13),0))</f>
        <v/>
      </c>
      <c r="P13" s="37" t="s">
        <v>395</v>
      </c>
      <c r="Q13" s="39"/>
      <c r="R13" s="50" t="str">
        <f>IF(AND(OR($K$8="Ambos lados",$K$8="Lado izquierdo"),$E$8&lt;&gt;""),"ORGANIZADOR VERTICAL  "&amp;IFERROR(INDEX(Catalogo!$E$6:$E$125,MATCH($E$8,Catalogo!$C$6:$C$125,0)),""),"")</f>
        <v/>
      </c>
      <c r="S13" s="13">
        <v>45</v>
      </c>
      <c r="T13" s="49" t="str">
        <f>IF($AM13=0,"",IF(INDEX($J$13:$J$42,$AM13)=45,INDEX($AH$13:$AH$42,$AM13),""))</f>
        <v/>
      </c>
      <c r="U13" s="38"/>
      <c r="V13" s="39"/>
      <c r="W13" s="13">
        <v>45</v>
      </c>
      <c r="X13" s="50" t="str">
        <f>IF(AND(OR($K$8="Ambos lados",$K$8="Lado derecho"),$E$8&lt;&gt;""),"ORGANIZADOR VERTICAL  "&amp;IFERROR(INDEX(Catalogo!$E$6:$E$125,MATCH($E$8,Catalogo!$C$6:$C$125,0)),""),"")</f>
        <v/>
      </c>
      <c r="AD13" t="str">
        <f>IF($C13="","",IFERROR(INDEX(Catalogo!$B$6:$B$125,MATCH($C13,Catalogo!$C$6:$C$125,0)),""))</f>
        <v>Fibra</v>
      </c>
      <c r="AE13" t="str">
        <f>IF($AD13="Patch panel cobre",COUNTIF($AD$13:$AD13,"Patch panel cobre"),"")</f>
        <v/>
      </c>
      <c r="AH13" t="str">
        <f t="shared" ref="AH13:AH42" si="3">IF($C13="","",IF($L13&lt;&gt;"","Patch panel "&amp;$L13&amp;" · "&amp;$I13&amp;" p"&amp;IF($M13&lt;&gt;""," · "&amp;$M13,""),$C13))</f>
        <v>Bandeja de fibra 1RU FMD1 + adaptador LC FAP12WAQDLCZ</v>
      </c>
      <c r="AM13">
        <f>IFERROR(MATCH(1,INDEX(($K$13:$K$42&lt;=45)*($J$13:$J$42&gt;=45),0),0),0)</f>
        <v>0</v>
      </c>
      <c r="AN13" t="str">
        <f>IF(45&gt;$AR$5,"Fuera",IF($AM13=0,"",INDEX($AD$13:$AD$42,$AM13)))</f>
        <v>Fuera</v>
      </c>
      <c r="BA13">
        <f>IF(OR(Catalogo!$C13="",Catalogo!$B13="Espacio libre",Catalogo!$B13="Espacio reservado"),0,COUNTIF($C$13:$C$42,Catalogo!$C13)+IF($E$7=Catalogo!$C13,N($K$7),0)+IF($E$8=Catalogo!$C13,N($N$8),0)+IF(Proyecto!$D$12=Catalogo!$C13,$AQ$4,0)+SUMIF($C$49:$C$58,Catalogo!$C13,$K$49:$K$58))</f>
        <v>0</v>
      </c>
      <c r="BD13">
        <f>IFERROR(MATCH(1,$AE$13:$AE$42,0),"")</f>
        <v>3</v>
      </c>
      <c r="BE13" t="str">
        <f t="shared" ref="BE13:BE28" si="4">IF($BD13="","",INDEX($L$13:$L$42,$BD13))</f>
        <v>1B-AA</v>
      </c>
      <c r="BF13">
        <f t="shared" ref="BF13:BF28" si="5">IF($BD13="",0,N(INDEX($I$13:$I$42,$BD13)))</f>
        <v>48</v>
      </c>
      <c r="BG13">
        <f t="shared" ref="BG13:BG28" si="6">IF($BF13=0,0,ROUNDUP($BF13/24,0))</f>
        <v>2</v>
      </c>
      <c r="BH13">
        <f>0</f>
        <v>0</v>
      </c>
      <c r="BI13" t="str">
        <f t="shared" ref="BI13:BI28" si="7">IF($BD13="","",INDEX($M$13:$M$42,$BD13)&amp;"")</f>
        <v>D</v>
      </c>
      <c r="BJ13" cm="1">
        <f t="array" ref="BJ13">IF($BD13="",0,IF(ISNUMBER(SEARCH(":",$BI13)),MIN($BF13,SUM(--MID(_xlfn.TEXTSPLIT($BI13,","),FIND(":",_xlfn.TEXTSPLIT($BI13,","))+1,9))),IF(INDEX($N$13:$N$42,$BD13)="",$BF13,MIN($BF13,N(INDEX($N$13:$N$42,$BD13))))))</f>
        <v>48</v>
      </c>
      <c r="BL13">
        <f>IF(1&gt;$BK$12,"",MATCH(0,$BH$13:$BH$28,1))</f>
        <v>1</v>
      </c>
      <c r="BM13">
        <f>IF($BL13="",0,(0-INDEX($BH$13:$BH$28,$BL13))*24)</f>
        <v>0</v>
      </c>
      <c r="BN13" t="str">
        <f t="shared" ref="BN13:BN28" si="8">IF($BL13="","",INDEX($BE$13:$BE$28,$BL13))</f>
        <v>1B-AA</v>
      </c>
      <c r="BO13">
        <f t="shared" ref="BO13:BO28" si="9">IF($BL13="",0,INDEX($BF$13:$BF$28,$BL13))</f>
        <v>48</v>
      </c>
      <c r="BP13" t="str">
        <f t="shared" ref="BP13:BP28" si="10">IF($BL13="","",INDEX($BI$13:$BI$28,$BL13))</f>
        <v>D</v>
      </c>
      <c r="BQ13">
        <f t="shared" ref="BQ13:BQ28" si="11">IF($BL13="",0,INDEX($BJ$13:$BJ$28,$BL13))</f>
        <v>48</v>
      </c>
      <c r="BR13">
        <f>COUNTIF($CA$72:$CA$95,"?*")</f>
        <v>24</v>
      </c>
      <c r="BS13">
        <f>SUMIF($BL$13:$BL$28,1,$BR$13:$BR$28)</f>
        <v>48</v>
      </c>
      <c r="CL13">
        <f>IF($C13="",0,N(IFERROR(INDEX(Catalogo!$N$6:$N$125,MATCH($C13,Catalogo!$C$6:$C$125,0)),0)))</f>
        <v>0</v>
      </c>
      <c r="CM13">
        <f>IF($C13="",0,N(IFERROR(INDEX(Catalogo!$P$6:$P$125,MATCH($C13,Catalogo!$C$6:$C$125,0)),0)))</f>
        <v>3</v>
      </c>
      <c r="CN13">
        <f>IF($C13="",0,N(IFERROR(INDEX(Catalogo!$Q$6:$Q$125,MATCH($C13,Catalogo!$C$6:$C$125,0)),0)))</f>
        <v>0</v>
      </c>
      <c r="CO13">
        <f>IF($C13="",0,IF(OR($AD13="Espacio libre",$AD13="Espacio reservado"),0,IF(IFERROR(INDEX(Catalogo!$N$6:$N$125,MATCH($C13,Catalogo!$C$6:$C$125,0))="",TRUE),1,0)))</f>
        <v>0</v>
      </c>
    </row>
    <row r="14" spans="2:93" ht="14" customHeight="1" x14ac:dyDescent="0.45">
      <c r="B14" s="9">
        <v>2</v>
      </c>
      <c r="C14" s="47" t="s">
        <v>327</v>
      </c>
      <c r="D14" s="38"/>
      <c r="E14" s="39"/>
      <c r="F14" s="48" t="str">
        <f>IF($C14="","",IFERROR(INDEX(Catalogo!$E$6:$E$125,MATCH($C14,Catalogo!$C$6:$C$125,0)),""))</f>
        <v>TLBP1S-V</v>
      </c>
      <c r="G14" s="39"/>
      <c r="H14" s="9">
        <f>IF($C14="","",N(IFERROR(INDEX(Catalogo!$F$6:$F$125,MATCH($C14,Catalogo!$C$6:$C$125,0)),"")))</f>
        <v>1</v>
      </c>
      <c r="I14" s="9" t="str">
        <f>IF($AD14&lt;&gt;"Patch panel cobre","",IFERROR(INDEX(Catalogo!$G$6:$G$125,MATCH($C14,Catalogo!$C$6:$C$125,0)),""))</f>
        <v/>
      </c>
      <c r="J14" s="9">
        <f>IF(OR($C14="",$H14=0),"",$AR$5-SUM($H$13:H13))</f>
        <v>41</v>
      </c>
      <c r="K14" s="9">
        <f t="shared" si="0"/>
        <v>41</v>
      </c>
      <c r="L14" s="9" t="str">
        <f t="shared" si="1"/>
        <v/>
      </c>
      <c r="M14" s="6"/>
      <c r="N14" s="6"/>
      <c r="O14" s="12" t="str">
        <f t="shared" si="2"/>
        <v/>
      </c>
      <c r="P14" s="37"/>
      <c r="Q14" s="39"/>
      <c r="R14" s="40"/>
      <c r="S14" s="13">
        <v>44</v>
      </c>
      <c r="T14" s="49" t="str">
        <f>IF($AM14=0,"",IF(INDEX($J$13:$J$42,$AM14)=44,INDEX($AH$13:$AH$42,$AM14),""))</f>
        <v/>
      </c>
      <c r="U14" s="38"/>
      <c r="V14" s="39"/>
      <c r="W14" s="13">
        <v>44</v>
      </c>
      <c r="X14" s="40"/>
      <c r="AD14" t="str">
        <f>IF($C14="","",IFERROR(INDEX(Catalogo!$B$6:$B$125,MATCH($C14,Catalogo!$C$6:$C$125,0)),""))</f>
        <v>Tapa ciega</v>
      </c>
      <c r="AE14" t="str">
        <f>IF($AD14="Patch panel cobre",COUNTIF($AD$13:$AD14,"Patch panel cobre"),"")</f>
        <v/>
      </c>
      <c r="AH14" t="str">
        <f t="shared" si="3"/>
        <v>Tapa ciega 1RU sin herramienta</v>
      </c>
      <c r="AM14">
        <f>IFERROR(MATCH(1,INDEX(($K$13:$K$42&lt;=44)*($J$13:$J$42&gt;=44),0),0),0)</f>
        <v>0</v>
      </c>
      <c r="AN14" t="str">
        <f>IF(44&gt;$AR$5,"Fuera",IF($AM14=0,"",INDEX($AD$13:$AD$42,$AM14)))</f>
        <v>Fuera</v>
      </c>
      <c r="BA14">
        <f>IF(OR(Catalogo!$C14="",Catalogo!$B14="Espacio libre",Catalogo!$B14="Espacio reservado"),0,COUNTIF($C$13:$C$42,Catalogo!$C14)+IF($E$7=Catalogo!$C14,N($K$7),0)+IF($E$8=Catalogo!$C14,N($N$8),0)+IF(Proyecto!$D$12=Catalogo!$C14,$AQ$4,0)+SUMIF($C$49:$C$58,Catalogo!$C14,$K$49:$K$58))</f>
        <v>0</v>
      </c>
      <c r="BD14">
        <f>IFERROR(MATCH(2,$AE$13:$AE$42,0),"")</f>
        <v>6</v>
      </c>
      <c r="BE14" t="str">
        <f t="shared" si="4"/>
        <v>1B-AB</v>
      </c>
      <c r="BF14">
        <f t="shared" si="5"/>
        <v>24</v>
      </c>
      <c r="BG14">
        <f t="shared" si="6"/>
        <v>1</v>
      </c>
      <c r="BH14">
        <f>SUM($BG$13:$BG13)</f>
        <v>2</v>
      </c>
      <c r="BI14" t="str">
        <f t="shared" si="7"/>
        <v>W</v>
      </c>
      <c r="BJ14" cm="1">
        <f t="array" ref="BJ14">IF($BD14="",0,IF(ISNUMBER(SEARCH(":",$BI14)),MIN($BF14,SUM(--MID(_xlfn.TEXTSPLIT($BI14,","),FIND(":",_xlfn.TEXTSPLIT($BI14,","))+1,9))),IF(INDEX($N$13:$N$42,$BD14)="",$BF14,MIN($BF14,N(INDEX($N$13:$N$42,$BD14))))))</f>
        <v>24</v>
      </c>
      <c r="BL14">
        <f>IF(2&gt;$BK$12,"",MATCH(1,$BH$13:$BH$28,1))</f>
        <v>1</v>
      </c>
      <c r="BM14">
        <f>IF($BL14="",0,(1-INDEX($BH$13:$BH$28,$BL14))*24)</f>
        <v>24</v>
      </c>
      <c r="BN14" t="str">
        <f t="shared" si="8"/>
        <v>1B-AA</v>
      </c>
      <c r="BO14">
        <f t="shared" si="9"/>
        <v>48</v>
      </c>
      <c r="BP14" t="str">
        <f t="shared" si="10"/>
        <v>D</v>
      </c>
      <c r="BQ14">
        <f t="shared" si="11"/>
        <v>48</v>
      </c>
      <c r="BR14">
        <f>COUNTIF($CB$72:$CB$95,"?*")</f>
        <v>24</v>
      </c>
      <c r="BS14">
        <f>SUMIF($BL$13:$BL$28,2,$BR$13:$BR$28)</f>
        <v>24</v>
      </c>
      <c r="CL14">
        <f>IF($C14="",0,N(IFERROR(INDEX(Catalogo!$N$6:$N$125,MATCH($C14,Catalogo!$C$6:$C$125,0)),0)))</f>
        <v>0</v>
      </c>
      <c r="CM14">
        <f>IF($C14="",0,N(IFERROR(INDEX(Catalogo!$P$6:$P$125,MATCH($C14,Catalogo!$C$6:$C$125,0)),0)))</f>
        <v>0</v>
      </c>
      <c r="CN14">
        <f>IF($C14="",0,N(IFERROR(INDEX(Catalogo!$Q$6:$Q$125,MATCH($C14,Catalogo!$C$6:$C$125,0)),0)))</f>
        <v>0</v>
      </c>
      <c r="CO14">
        <f>IF($C14="",0,IF(OR($AD14="Espacio libre",$AD14="Espacio reservado"),0,IF(IFERROR(INDEX(Catalogo!$N$6:$N$125,MATCH($C14,Catalogo!$C$6:$C$125,0))="",TRUE),1,0)))</f>
        <v>0</v>
      </c>
    </row>
    <row r="15" spans="2:93" ht="14" customHeight="1" x14ac:dyDescent="0.45">
      <c r="B15" s="9">
        <v>3</v>
      </c>
      <c r="C15" s="47" t="s">
        <v>112</v>
      </c>
      <c r="D15" s="38"/>
      <c r="E15" s="39"/>
      <c r="F15" s="48" t="str">
        <f>IF($C15="","",IFERROR(INDEX(Catalogo!$E$6:$E$125,MATCH($C15,Catalogo!$C$6:$C$125,0)),""))</f>
        <v>CPPA48FMWBLY</v>
      </c>
      <c r="G15" s="39"/>
      <c r="H15" s="9">
        <f>IF($C15="","",N(IFERROR(INDEX(Catalogo!$F$6:$F$125,MATCH($C15,Catalogo!$C$6:$C$125,0)),"")))</f>
        <v>2</v>
      </c>
      <c r="I15" s="9">
        <f>IF($AD15&lt;&gt;"Patch panel cobre","",IFERROR(INDEX(Catalogo!$G$6:$G$125,MATCH($C15,Catalogo!$C$6:$C$125,0)),""))</f>
        <v>48</v>
      </c>
      <c r="J15" s="9">
        <f>IF(OR($C15="",$H15=0),"",$AR$5-SUM($H$13:H14))</f>
        <v>40</v>
      </c>
      <c r="K15" s="9">
        <f t="shared" si="0"/>
        <v>39</v>
      </c>
      <c r="L15" s="9" t="str">
        <f t="shared" si="1"/>
        <v>1B-AA</v>
      </c>
      <c r="M15" s="6" t="s">
        <v>14</v>
      </c>
      <c r="N15" s="6"/>
      <c r="O15" s="12">
        <f t="shared" si="2"/>
        <v>1</v>
      </c>
      <c r="P15" s="37" t="s">
        <v>15</v>
      </c>
      <c r="Q15" s="39"/>
      <c r="R15" s="40"/>
      <c r="S15" s="13">
        <v>43</v>
      </c>
      <c r="T15" s="49" t="str">
        <f>IF($AM15=0,"",IF(INDEX($J$13:$J$42,$AM15)=43,INDEX($AH$13:$AH$42,$AM15),""))</f>
        <v/>
      </c>
      <c r="U15" s="38"/>
      <c r="V15" s="39"/>
      <c r="W15" s="13">
        <v>43</v>
      </c>
      <c r="X15" s="40"/>
      <c r="AD15" t="str">
        <f>IF($C15="","",IFERROR(INDEX(Catalogo!$B$6:$B$125,MATCH($C15,Catalogo!$C$6:$C$125,0)),""))</f>
        <v>Patch panel cobre</v>
      </c>
      <c r="AE15">
        <f>IF($AD15="Patch panel cobre",COUNTIF($AD$13:$AD15,"Patch panel cobre"),"")</f>
        <v>1</v>
      </c>
      <c r="AH15" t="str">
        <f t="shared" si="3"/>
        <v>Patch panel 1B-AA · 48 p · D</v>
      </c>
      <c r="AM15">
        <f>IFERROR(MATCH(1,INDEX(($K$13:$K$42&lt;=43)*($J$13:$J$42&gt;=43),0),0),0)</f>
        <v>0</v>
      </c>
      <c r="AN15" t="str">
        <f>IF(43&gt;$AR$5,"Fuera",IF($AM15=0,"",INDEX($AD$13:$AD$42,$AM15)))</f>
        <v>Fuera</v>
      </c>
      <c r="BA15">
        <f>IF(OR(Catalogo!$C15="",Catalogo!$B15="Espacio libre",Catalogo!$B15="Espacio reservado"),0,COUNTIF($C$13:$C$42,Catalogo!$C15)+IF($E$7=Catalogo!$C15,N($K$7),0)+IF($E$8=Catalogo!$C15,N($N$8),0)+IF(Proyecto!$D$12=Catalogo!$C15,$AQ$4,0)+SUMIF($C$49:$C$58,Catalogo!$C15,$K$49:$K$58))</f>
        <v>0</v>
      </c>
      <c r="BD15">
        <f>IFERROR(MATCH(3,$AE$13:$AE$42,0),"")</f>
        <v>8</v>
      </c>
      <c r="BE15" t="str">
        <f t="shared" si="4"/>
        <v>1B-AC</v>
      </c>
      <c r="BF15">
        <f t="shared" si="5"/>
        <v>24</v>
      </c>
      <c r="BG15">
        <f t="shared" si="6"/>
        <v>1</v>
      </c>
      <c r="BH15">
        <f>SUM($BG$13:$BG14)</f>
        <v>3</v>
      </c>
      <c r="BI15" t="str">
        <f t="shared" si="7"/>
        <v>C</v>
      </c>
      <c r="BJ15" cm="1">
        <f t="array" ref="BJ15">IF($BD15="",0,IF(ISNUMBER(SEARCH(":",$BI15)),MIN($BF15,SUM(--MID(_xlfn.TEXTSPLIT($BI15,","),FIND(":",_xlfn.TEXTSPLIT($BI15,","))+1,9))),IF(INDEX($N$13:$N$42,$BD15)="",$BF15,MIN($BF15,N(INDEX($N$13:$N$42,$BD15))))))</f>
        <v>24</v>
      </c>
      <c r="BL15">
        <f>IF(3&gt;$BK$12,"",MATCH(2,$BH$13:$BH$28,1))</f>
        <v>2</v>
      </c>
      <c r="BM15">
        <f>IF($BL15="",0,(2-INDEX($BH$13:$BH$28,$BL15))*24)</f>
        <v>0</v>
      </c>
      <c r="BN15" t="str">
        <f t="shared" si="8"/>
        <v>1B-AB</v>
      </c>
      <c r="BO15">
        <f t="shared" si="9"/>
        <v>24</v>
      </c>
      <c r="BP15" t="str">
        <f t="shared" si="10"/>
        <v>W</v>
      </c>
      <c r="BQ15">
        <f t="shared" si="11"/>
        <v>24</v>
      </c>
      <c r="BR15">
        <f>COUNTIF($CC$72:$CC$95,"?*")</f>
        <v>24</v>
      </c>
      <c r="BS15">
        <f>SUMIF($BL$13:$BL$28,3,$BR$13:$BR$28)</f>
        <v>24</v>
      </c>
      <c r="CL15">
        <f>IF($C15="",0,N(IFERROR(INDEX(Catalogo!$N$6:$N$125,MATCH($C15,Catalogo!$C$6:$C$125,0)),0)))</f>
        <v>0</v>
      </c>
      <c r="CM15">
        <f>IF($C15="",0,N(IFERROR(INDEX(Catalogo!$P$6:$P$125,MATCH($C15,Catalogo!$C$6:$C$125,0)),0)))</f>
        <v>2</v>
      </c>
      <c r="CN15">
        <f>IF($C15="",0,N(IFERROR(INDEX(Catalogo!$Q$6:$Q$125,MATCH($C15,Catalogo!$C$6:$C$125,0)),0)))</f>
        <v>0</v>
      </c>
      <c r="CO15">
        <f>IF($C15="",0,IF(OR($AD15="Espacio libre",$AD15="Espacio reservado"),0,IF(IFERROR(INDEX(Catalogo!$N$6:$N$125,MATCH($C15,Catalogo!$C$6:$C$125,0))="",TRUE),1,0)))</f>
        <v>0</v>
      </c>
    </row>
    <row r="16" spans="2:93" ht="14" customHeight="1" x14ac:dyDescent="0.45">
      <c r="B16" s="9">
        <v>4</v>
      </c>
      <c r="C16" s="47" t="s">
        <v>158</v>
      </c>
      <c r="D16" s="38"/>
      <c r="E16" s="39"/>
      <c r="F16" s="48" t="str">
        <f>IF($C16="","",IFERROR(INDEX(Catalogo!$E$6:$E$125,MATCH($C16,Catalogo!$C$6:$C$125,0)),""))</f>
        <v>C9200L-48P-4G</v>
      </c>
      <c r="G16" s="39"/>
      <c r="H16" s="9">
        <f>IF($C16="","",N(IFERROR(INDEX(Catalogo!$F$6:$F$125,MATCH($C16,Catalogo!$C$6:$C$125,0)),"")))</f>
        <v>1</v>
      </c>
      <c r="I16" s="9" t="str">
        <f>IF($AD16&lt;&gt;"Patch panel cobre","",IFERROR(INDEX(Catalogo!$G$6:$G$125,MATCH($C16,Catalogo!$C$6:$C$125,0)),""))</f>
        <v/>
      </c>
      <c r="J16" s="9">
        <f>IF(OR($C16="",$H16=0),"",$AR$5-SUM($H$13:H15))</f>
        <v>38</v>
      </c>
      <c r="K16" s="9">
        <f t="shared" si="0"/>
        <v>38</v>
      </c>
      <c r="L16" s="9" t="str">
        <f t="shared" si="1"/>
        <v/>
      </c>
      <c r="M16" s="6"/>
      <c r="N16" s="6"/>
      <c r="O16" s="12" t="str">
        <f t="shared" si="2"/>
        <v/>
      </c>
      <c r="P16" s="37" t="s">
        <v>15</v>
      </c>
      <c r="Q16" s="39"/>
      <c r="R16" s="40"/>
      <c r="S16" s="13">
        <v>42</v>
      </c>
      <c r="T16" s="49" t="str">
        <f>IF($AM16=0,"",IF(INDEX($J$13:$J$42,$AM16)=42,INDEX($AH$13:$AH$42,$AM16),""))</f>
        <v>Bandeja de fibra 1RU FMD1 + adaptador LC FAP12WAQDLCZ</v>
      </c>
      <c r="U16" s="38"/>
      <c r="V16" s="39"/>
      <c r="W16" s="13">
        <v>42</v>
      </c>
      <c r="X16" s="40"/>
      <c r="AD16" t="str">
        <f>IF($C16="","",IFERROR(INDEX(Catalogo!$B$6:$B$125,MATCH($C16,Catalogo!$C$6:$C$125,0)),""))</f>
        <v>Switch</v>
      </c>
      <c r="AE16" t="str">
        <f>IF($AD16="Patch panel cobre",COUNTIF($AD$13:$AD16,"Patch panel cobre"),"")</f>
        <v/>
      </c>
      <c r="AH16" t="str">
        <f t="shared" si="3"/>
        <v>Switch Cisco 48p 1G PoE+ (C9200L-48P-4G)</v>
      </c>
      <c r="AM16">
        <f>IFERROR(MATCH(1,INDEX(($K$13:$K$42&lt;=42)*($J$13:$J$42&gt;=42),0),0),0)</f>
        <v>1</v>
      </c>
      <c r="AN16" t="str">
        <f>IF(42&gt;$AR$5,"Fuera",IF($AM16=0,"",INDEX($AD$13:$AD$42,$AM16)))</f>
        <v>Fibra</v>
      </c>
      <c r="AQ16">
        <f>IF(OR(Proyecto!$C16="",Proyecto!$C16="-"),0,COUNTIF($CA$72:$CA$95,Proyecto!$C16)+COUNTIF($CB$72:$CB$95,Proyecto!$C16)+COUNTIF($CC$72:$CC$95,Proyecto!$C16)+COUNTIF($CD$72:$CD$95,Proyecto!$C16)+COUNTIF($CA$100:$CA$123,Proyecto!$C16)+COUNTIF($CB$100:$CB$123,Proyecto!$C16)+COUNTIF($CC$100:$CC$123,Proyecto!$C16)+COUNTIF($CD$100:$CD$123,Proyecto!$C16)+COUNTIF($CA$128:$CA$151,Proyecto!$C16)+COUNTIF($CB$128:$CB$151,Proyecto!$C16)+COUNTIF($CC$128:$CC$151,Proyecto!$C16)+COUNTIF($CD$128:$CD$151,Proyecto!$C16)+COUNTIF($CA$156:$CA$179,Proyecto!$C16)+COUNTIF($CB$156:$CB$179,Proyecto!$C16)+COUNTIF($CC$156:$CC$179,Proyecto!$C16)+COUNTIF($CD$156:$CD$179,Proyecto!$C16))</f>
        <v>48</v>
      </c>
      <c r="BA16">
        <f>IF(OR(Catalogo!$C16="",Catalogo!$B16="Espacio libre",Catalogo!$B16="Espacio reservado"),0,COUNTIF($C$13:$C$42,Catalogo!$C16)+IF($E$7=Catalogo!$C16,N($K$7),0)+IF($E$8=Catalogo!$C16,N($N$8),0)+IF(Proyecto!$D$12=Catalogo!$C16,$AQ$4,0)+SUMIF($C$49:$C$58,Catalogo!$C16,$K$49:$K$58))</f>
        <v>0</v>
      </c>
      <c r="BD16" t="str">
        <f>IFERROR(MATCH(4,$AE$13:$AE$42,0),"")</f>
        <v/>
      </c>
      <c r="BE16" t="str">
        <f t="shared" si="4"/>
        <v/>
      </c>
      <c r="BF16">
        <f t="shared" si="5"/>
        <v>0</v>
      </c>
      <c r="BG16">
        <f t="shared" si="6"/>
        <v>0</v>
      </c>
      <c r="BH16">
        <f>SUM($BG$13:$BG15)</f>
        <v>4</v>
      </c>
      <c r="BI16" t="str">
        <f t="shared" si="7"/>
        <v/>
      </c>
      <c r="BJ16" cm="1">
        <f t="array" ref="BJ16">IF($BD16="",0,IF(ISNUMBER(SEARCH(":",$BI16)),MIN($BF16,SUM(--MID(_xlfn.TEXTSPLIT($BI16,","),FIND(":",_xlfn.TEXTSPLIT($BI16,","))+1,9))),IF(INDEX($N$13:$N$42,$BD16)="",$BF16,MIN($BF16,N(INDEX($N$13:$N$42,$BD16))))))</f>
        <v>0</v>
      </c>
      <c r="BL16">
        <f>IF(4&gt;$BK$12,"",MATCH(3,$BH$13:$BH$28,1))</f>
        <v>3</v>
      </c>
      <c r="BM16">
        <f>IF($BL16="",0,(3-INDEX($BH$13:$BH$28,$BL16))*24)</f>
        <v>0</v>
      </c>
      <c r="BN16" t="str">
        <f t="shared" si="8"/>
        <v>1B-AC</v>
      </c>
      <c r="BO16">
        <f t="shared" si="9"/>
        <v>24</v>
      </c>
      <c r="BP16" t="str">
        <f t="shared" si="10"/>
        <v>C</v>
      </c>
      <c r="BQ16">
        <f t="shared" si="11"/>
        <v>24</v>
      </c>
      <c r="BR16">
        <f>COUNTIF($CD$72:$CD$95,"?*")</f>
        <v>24</v>
      </c>
      <c r="BS16">
        <f>SUMIF($BL$13:$BL$28,4,$BR$13:$BR$28)</f>
        <v>0</v>
      </c>
      <c r="CL16">
        <f>IF($C16="",0,N(IFERROR(INDEX(Catalogo!$N$6:$N$125,MATCH($C16,Catalogo!$C$6:$C$125,0)),0)))</f>
        <v>110</v>
      </c>
      <c r="CM16">
        <f>IF($C16="",0,N(IFERROR(INDEX(Catalogo!$P$6:$P$125,MATCH($C16,Catalogo!$C$6:$C$125,0)),0)))</f>
        <v>6.5</v>
      </c>
      <c r="CN16">
        <f>IF($C16="",0,N(IFERROR(INDEX(Catalogo!$Q$6:$Q$125,MATCH($C16,Catalogo!$C$6:$C$125,0)),0)))</f>
        <v>0</v>
      </c>
      <c r="CO16">
        <f>IF($C16="",0,IF(OR($AD16="Espacio libre",$AD16="Espacio reservado"),0,IF(IFERROR(INDEX(Catalogo!$N$6:$N$125,MATCH($C16,Catalogo!$C$6:$C$125,0))="",TRUE),1,0)))</f>
        <v>0</v>
      </c>
    </row>
    <row r="17" spans="2:93" ht="14" customHeight="1" x14ac:dyDescent="0.45">
      <c r="B17" s="9">
        <v>5</v>
      </c>
      <c r="C17" s="47" t="s">
        <v>336</v>
      </c>
      <c r="D17" s="38"/>
      <c r="E17" s="39"/>
      <c r="F17" s="48" t="str">
        <f>IF($C17="","",IFERROR(INDEX(Catalogo!$E$6:$E$125,MATCH($C17,Catalogo!$C$6:$C$125,0)),""))</f>
        <v>WMPH2E</v>
      </c>
      <c r="G17" s="39"/>
      <c r="H17" s="9">
        <f>IF($C17="","",N(IFERROR(INDEX(Catalogo!$F$6:$F$125,MATCH($C17,Catalogo!$C$6:$C$125,0)),"")))</f>
        <v>2</v>
      </c>
      <c r="I17" s="9" t="str">
        <f>IF($AD17&lt;&gt;"Patch panel cobre","",IFERROR(INDEX(Catalogo!$G$6:$G$125,MATCH($C17,Catalogo!$C$6:$C$125,0)),""))</f>
        <v/>
      </c>
      <c r="J17" s="9">
        <f>IF(OR($C17="",$H17=0),"",$AR$5-SUM($H$13:H16))</f>
        <v>37</v>
      </c>
      <c r="K17" s="9">
        <f t="shared" si="0"/>
        <v>36</v>
      </c>
      <c r="L17" s="9" t="str">
        <f t="shared" si="1"/>
        <v/>
      </c>
      <c r="M17" s="6"/>
      <c r="N17" s="6"/>
      <c r="O17" s="12" t="str">
        <f t="shared" si="2"/>
        <v/>
      </c>
      <c r="P17" s="37" t="s">
        <v>120</v>
      </c>
      <c r="Q17" s="39"/>
      <c r="R17" s="40"/>
      <c r="S17" s="13">
        <v>41</v>
      </c>
      <c r="T17" s="49" t="str">
        <f>IF($AM17=0,"",IF(INDEX($J$13:$J$42,$AM17)=41,INDEX($AH$13:$AH$42,$AM17),""))</f>
        <v>Tapa ciega 1RU sin herramienta</v>
      </c>
      <c r="U17" s="38"/>
      <c r="V17" s="39"/>
      <c r="W17" s="13">
        <v>41</v>
      </c>
      <c r="X17" s="40"/>
      <c r="AD17" t="str">
        <f>IF($C17="","",IFERROR(INDEX(Catalogo!$B$6:$B$125,MATCH($C17,Catalogo!$C$6:$C$125,0)),""))</f>
        <v>Organizador horizontal</v>
      </c>
      <c r="AE17" t="str">
        <f>IF($AD17="Patch panel cobre",COUNTIF($AD$13:$AD17,"Patch panel cobre"),"")</f>
        <v/>
      </c>
      <c r="AH17" t="str">
        <f t="shared" si="3"/>
        <v>Org. horizontal 2RU frontal/posterior con radio de curvatura (NetRunner)</v>
      </c>
      <c r="AM17">
        <f>IFERROR(MATCH(1,INDEX(($K$13:$K$42&lt;=41)*($J$13:$J$42&gt;=41),0),0),0)</f>
        <v>2</v>
      </c>
      <c r="AN17" t="str">
        <f>IF(41&gt;$AR$5,"Fuera",IF($AM17=0,"",INDEX($AD$13:$AD$42,$AM17)))</f>
        <v>Tapa ciega</v>
      </c>
      <c r="AQ17">
        <f>IF(OR(Proyecto!$C17="",Proyecto!$C17="-"),0,COUNTIF($CA$72:$CA$95,Proyecto!$C17)+COUNTIF($CB$72:$CB$95,Proyecto!$C17)+COUNTIF($CC$72:$CC$95,Proyecto!$C17)+COUNTIF($CD$72:$CD$95,Proyecto!$C17)+COUNTIF($CA$100:$CA$123,Proyecto!$C17)+COUNTIF($CB$100:$CB$123,Proyecto!$C17)+COUNTIF($CC$100:$CC$123,Proyecto!$C17)+COUNTIF($CD$100:$CD$123,Proyecto!$C17)+COUNTIF($CA$128:$CA$151,Proyecto!$C17)+COUNTIF($CB$128:$CB$151,Proyecto!$C17)+COUNTIF($CC$128:$CC$151,Proyecto!$C17)+COUNTIF($CD$128:$CD$151,Proyecto!$C17)+COUNTIF($CA$156:$CA$179,Proyecto!$C17)+COUNTIF($CB$156:$CB$179,Proyecto!$C17)+COUNTIF($CC$156:$CC$179,Proyecto!$C17)+COUNTIF($CD$156:$CD$179,Proyecto!$C17))</f>
        <v>0</v>
      </c>
      <c r="BA17">
        <f>IF(OR(Catalogo!$C17="",Catalogo!$B17="Espacio libre",Catalogo!$B17="Espacio reservado"),0,COUNTIF($C$13:$C$42,Catalogo!$C17)+IF($E$7=Catalogo!$C17,N($K$7),0)+IF($E$8=Catalogo!$C17,N($N$8),0)+IF(Proyecto!$D$12=Catalogo!$C17,$AQ$4,0)+SUMIF($C$49:$C$58,Catalogo!$C17,$K$49:$K$58))</f>
        <v>0</v>
      </c>
      <c r="BD17" t="str">
        <f>IFERROR(MATCH(5,$AE$13:$AE$42,0),"")</f>
        <v/>
      </c>
      <c r="BE17" t="str">
        <f t="shared" si="4"/>
        <v/>
      </c>
      <c r="BF17">
        <f t="shared" si="5"/>
        <v>0</v>
      </c>
      <c r="BG17">
        <f t="shared" si="6"/>
        <v>0</v>
      </c>
      <c r="BH17">
        <f>SUM($BG$13:$BG16)</f>
        <v>4</v>
      </c>
      <c r="BI17" t="str">
        <f t="shared" si="7"/>
        <v/>
      </c>
      <c r="BJ17" cm="1">
        <f t="array" ref="BJ17">IF($BD17="",0,IF(ISNUMBER(SEARCH(":",$BI17)),MIN($BF17,SUM(--MID(_xlfn.TEXTSPLIT($BI17,","),FIND(":",_xlfn.TEXTSPLIT($BI17,","))+1,9))),IF(INDEX($N$13:$N$42,$BD17)="",$BF17,MIN($BF17,N(INDEX($N$13:$N$42,$BD17))))))</f>
        <v>0</v>
      </c>
      <c r="BL17" t="str">
        <f>IF(5&gt;$BK$12,"",MATCH(4,$BH$13:$BH$28,1))</f>
        <v/>
      </c>
      <c r="BM17">
        <f>IF($BL17="",0,(4-INDEX($BH$13:$BH$28,$BL17))*24)</f>
        <v>0</v>
      </c>
      <c r="BN17" t="str">
        <f t="shared" si="8"/>
        <v/>
      </c>
      <c r="BO17">
        <f t="shared" si="9"/>
        <v>0</v>
      </c>
      <c r="BP17" t="str">
        <f t="shared" si="10"/>
        <v/>
      </c>
      <c r="BQ17">
        <f t="shared" si="11"/>
        <v>0</v>
      </c>
      <c r="BR17">
        <f>COUNTIF($CA$100:$CA$123,"?*")</f>
        <v>0</v>
      </c>
      <c r="BS17">
        <f>SUMIF($BL$13:$BL$28,5,$BR$13:$BR$28)</f>
        <v>0</v>
      </c>
      <c r="CL17">
        <f>IF($C17="",0,N(IFERROR(INDEX(Catalogo!$N$6:$N$125,MATCH($C17,Catalogo!$C$6:$C$125,0)),0)))</f>
        <v>0</v>
      </c>
      <c r="CM17">
        <f>IF($C17="",0,N(IFERROR(INDEX(Catalogo!$P$6:$P$125,MATCH($C17,Catalogo!$C$6:$C$125,0)),0)))</f>
        <v>2</v>
      </c>
      <c r="CN17">
        <f>IF($C17="",0,N(IFERROR(INDEX(Catalogo!$Q$6:$Q$125,MATCH($C17,Catalogo!$C$6:$C$125,0)),0)))</f>
        <v>0</v>
      </c>
      <c r="CO17">
        <f>IF($C17="",0,IF(OR($AD17="Espacio libre",$AD17="Espacio reservado"),0,IF(IFERROR(INDEX(Catalogo!$N$6:$N$125,MATCH($C17,Catalogo!$C$6:$C$125,0))="",TRUE),1,0)))</f>
        <v>0</v>
      </c>
    </row>
    <row r="18" spans="2:93" ht="14" customHeight="1" x14ac:dyDescent="0.45">
      <c r="B18" s="9">
        <v>6</v>
      </c>
      <c r="C18" s="47" t="s">
        <v>109</v>
      </c>
      <c r="D18" s="38"/>
      <c r="E18" s="39"/>
      <c r="F18" s="48" t="str">
        <f>IF($C18="","",IFERROR(INDEX(Catalogo!$E$6:$E$125,MATCH($C18,Catalogo!$C$6:$C$125,0)),""))</f>
        <v>CPPA24FMWBLY</v>
      </c>
      <c r="G18" s="39"/>
      <c r="H18" s="9">
        <f>IF($C18="","",N(IFERROR(INDEX(Catalogo!$F$6:$F$125,MATCH($C18,Catalogo!$C$6:$C$125,0)),"")))</f>
        <v>1</v>
      </c>
      <c r="I18" s="9">
        <f>IF($AD18&lt;&gt;"Patch panel cobre","",IFERROR(INDEX(Catalogo!$G$6:$G$125,MATCH($C18,Catalogo!$C$6:$C$125,0)),""))</f>
        <v>24</v>
      </c>
      <c r="J18" s="9">
        <f>IF(OR($C18="",$H18=0),"",$AR$5-SUM($H$13:H17))</f>
        <v>35</v>
      </c>
      <c r="K18" s="9">
        <f t="shared" si="0"/>
        <v>35</v>
      </c>
      <c r="L18" s="9" t="str">
        <f t="shared" si="1"/>
        <v>1B-AB</v>
      </c>
      <c r="M18" s="6" t="s">
        <v>22</v>
      </c>
      <c r="N18" s="6"/>
      <c r="O18" s="12">
        <f t="shared" si="2"/>
        <v>1</v>
      </c>
      <c r="P18" s="37" t="s">
        <v>418</v>
      </c>
      <c r="Q18" s="39"/>
      <c r="R18" s="40"/>
      <c r="S18" s="13">
        <v>40</v>
      </c>
      <c r="T18" s="49" t="str">
        <f>IF($AM18=0,"",IF(INDEX($J$13:$J$42,$AM18)=40,INDEX($AH$13:$AH$42,$AM18),""))</f>
        <v>Patch panel 1B-AA · 48 p · D</v>
      </c>
      <c r="U18" s="38"/>
      <c r="V18" s="39"/>
      <c r="W18" s="13">
        <v>40</v>
      </c>
      <c r="X18" s="40"/>
      <c r="AD18" t="str">
        <f>IF($C18="","",IFERROR(INDEX(Catalogo!$B$6:$B$125,MATCH($C18,Catalogo!$C$6:$C$125,0)),""))</f>
        <v>Patch panel cobre</v>
      </c>
      <c r="AE18">
        <f>IF($AD18="Patch panel cobre",COUNTIF($AD$13:$AD18,"Patch panel cobre"),"")</f>
        <v>2</v>
      </c>
      <c r="AH18" t="str">
        <f t="shared" si="3"/>
        <v>Patch panel 1B-AB · 24 p · W</v>
      </c>
      <c r="AM18">
        <f>IFERROR(MATCH(1,INDEX(($K$13:$K$42&lt;=40)*($J$13:$J$42&gt;=40),0),0),0)</f>
        <v>3</v>
      </c>
      <c r="AN18" t="str">
        <f>IF(40&gt;$AR$5,"Fuera",IF($AM18=0,"",INDEX($AD$13:$AD$42,$AM18)))</f>
        <v>Patch panel cobre</v>
      </c>
      <c r="AQ18">
        <f>IF(OR(Proyecto!$C18="",Proyecto!$C18="-"),0,COUNTIF($CA$72:$CA$95,Proyecto!$C18)+COUNTIF($CB$72:$CB$95,Proyecto!$C18)+COUNTIF($CC$72:$CC$95,Proyecto!$C18)+COUNTIF($CD$72:$CD$95,Proyecto!$C18)+COUNTIF($CA$100:$CA$123,Proyecto!$C18)+COUNTIF($CB$100:$CB$123,Proyecto!$C18)+COUNTIF($CC$100:$CC$123,Proyecto!$C18)+COUNTIF($CD$100:$CD$123,Proyecto!$C18)+COUNTIF($CA$128:$CA$151,Proyecto!$C18)+COUNTIF($CB$128:$CB$151,Proyecto!$C18)+COUNTIF($CC$128:$CC$151,Proyecto!$C18)+COUNTIF($CD$128:$CD$151,Proyecto!$C18)+COUNTIF($CA$156:$CA$179,Proyecto!$C18)+COUNTIF($CB$156:$CB$179,Proyecto!$C18)+COUNTIF($CC$156:$CC$179,Proyecto!$C18)+COUNTIF($CD$156:$CD$179,Proyecto!$C18))</f>
        <v>24</v>
      </c>
      <c r="BA18">
        <f>IF(OR(Catalogo!$C18="",Catalogo!$B18="Espacio libre",Catalogo!$B18="Espacio reservado"),0,COUNTIF($C$13:$C$42,Catalogo!$C18)+IF($E$7=Catalogo!$C18,N($K$7),0)+IF($E$8=Catalogo!$C18,N($N$8),0)+IF(Proyecto!$D$12=Catalogo!$C18,$AQ$4,0)+SUMIF($C$49:$C$58,Catalogo!$C18,$K$49:$K$58))</f>
        <v>0</v>
      </c>
      <c r="BD18" t="str">
        <f>IFERROR(MATCH(6,$AE$13:$AE$42,0),"")</f>
        <v/>
      </c>
      <c r="BE18" t="str">
        <f t="shared" si="4"/>
        <v/>
      </c>
      <c r="BF18">
        <f t="shared" si="5"/>
        <v>0</v>
      </c>
      <c r="BG18">
        <f t="shared" si="6"/>
        <v>0</v>
      </c>
      <c r="BH18">
        <f>SUM($BG$13:$BG17)</f>
        <v>4</v>
      </c>
      <c r="BI18" t="str">
        <f t="shared" si="7"/>
        <v/>
      </c>
      <c r="BJ18" cm="1">
        <f t="array" ref="BJ18">IF($BD18="",0,IF(ISNUMBER(SEARCH(":",$BI18)),MIN($BF18,SUM(--MID(_xlfn.TEXTSPLIT($BI18,","),FIND(":",_xlfn.TEXTSPLIT($BI18,","))+1,9))),IF(INDEX($N$13:$N$42,$BD18)="",$BF18,MIN($BF18,N(INDEX($N$13:$N$42,$BD18))))))</f>
        <v>0</v>
      </c>
      <c r="BL18" t="str">
        <f>IF(6&gt;$BK$12,"",MATCH(5,$BH$13:$BH$28,1))</f>
        <v/>
      </c>
      <c r="BM18">
        <f>IF($BL18="",0,(5-INDEX($BH$13:$BH$28,$BL18))*24)</f>
        <v>0</v>
      </c>
      <c r="BN18" t="str">
        <f t="shared" si="8"/>
        <v/>
      </c>
      <c r="BO18">
        <f t="shared" si="9"/>
        <v>0</v>
      </c>
      <c r="BP18" t="str">
        <f t="shared" si="10"/>
        <v/>
      </c>
      <c r="BQ18">
        <f t="shared" si="11"/>
        <v>0</v>
      </c>
      <c r="BR18">
        <f>COUNTIF($CB$100:$CB$123,"?*")</f>
        <v>0</v>
      </c>
      <c r="BS18">
        <f>SUMIF($BL$13:$BL$28,6,$BR$13:$BR$28)</f>
        <v>0</v>
      </c>
      <c r="CL18">
        <f>IF($C18="",0,N(IFERROR(INDEX(Catalogo!$N$6:$N$125,MATCH($C18,Catalogo!$C$6:$C$125,0)),0)))</f>
        <v>0</v>
      </c>
      <c r="CM18">
        <f>IF($C18="",0,N(IFERROR(INDEX(Catalogo!$P$6:$P$125,MATCH($C18,Catalogo!$C$6:$C$125,0)),0)))</f>
        <v>1</v>
      </c>
      <c r="CN18">
        <f>IF($C18="",0,N(IFERROR(INDEX(Catalogo!$Q$6:$Q$125,MATCH($C18,Catalogo!$C$6:$C$125,0)),0)))</f>
        <v>0</v>
      </c>
      <c r="CO18">
        <f>IF($C18="",0,IF(OR($AD18="Espacio libre",$AD18="Espacio reservado"),0,IF(IFERROR(INDEX(Catalogo!$N$6:$N$125,MATCH($C18,Catalogo!$C$6:$C$125,0))="",TRUE),1,0)))</f>
        <v>0</v>
      </c>
    </row>
    <row r="19" spans="2:93" ht="14" customHeight="1" x14ac:dyDescent="0.45">
      <c r="B19" s="9">
        <v>7</v>
      </c>
      <c r="C19" s="47" t="s">
        <v>152</v>
      </c>
      <c r="D19" s="38"/>
      <c r="E19" s="39"/>
      <c r="F19" s="48" t="str">
        <f>IF($C19="","",IFERROR(INDEX(Catalogo!$E$6:$E$125,MATCH($C19,Catalogo!$C$6:$C$125,0)),""))</f>
        <v>C9200L-24P-4G</v>
      </c>
      <c r="G19" s="39"/>
      <c r="H19" s="9">
        <f>IF($C19="","",N(IFERROR(INDEX(Catalogo!$F$6:$F$125,MATCH($C19,Catalogo!$C$6:$C$125,0)),"")))</f>
        <v>1</v>
      </c>
      <c r="I19" s="9" t="str">
        <f>IF($AD19&lt;&gt;"Patch panel cobre","",IFERROR(INDEX(Catalogo!$G$6:$G$125,MATCH($C19,Catalogo!$C$6:$C$125,0)),""))</f>
        <v/>
      </c>
      <c r="J19" s="9">
        <f>IF(OR($C19="",$H19=0),"",$AR$5-SUM($H$13:H18))</f>
        <v>34</v>
      </c>
      <c r="K19" s="9">
        <f t="shared" si="0"/>
        <v>34</v>
      </c>
      <c r="L19" s="9" t="str">
        <f t="shared" si="1"/>
        <v/>
      </c>
      <c r="M19" s="6"/>
      <c r="N19" s="6"/>
      <c r="O19" s="12" t="str">
        <f t="shared" si="2"/>
        <v/>
      </c>
      <c r="P19" s="37" t="s">
        <v>418</v>
      </c>
      <c r="Q19" s="39"/>
      <c r="R19" s="40"/>
      <c r="S19" s="13">
        <v>39</v>
      </c>
      <c r="T19" s="49" t="str">
        <f>IF($AM19=0,"",IF(INDEX($J$13:$J$42,$AM19)=39,INDEX($AH$13:$AH$42,$AM19),""))</f>
        <v/>
      </c>
      <c r="U19" s="38"/>
      <c r="V19" s="39"/>
      <c r="W19" s="13">
        <v>39</v>
      </c>
      <c r="X19" s="40"/>
      <c r="AD19" t="str">
        <f>IF($C19="","",IFERROR(INDEX(Catalogo!$B$6:$B$125,MATCH($C19,Catalogo!$C$6:$C$125,0)),""))</f>
        <v>Switch</v>
      </c>
      <c r="AE19" t="str">
        <f>IF($AD19="Patch panel cobre",COUNTIF($AD$13:$AD19,"Patch panel cobre"),"")</f>
        <v/>
      </c>
      <c r="AH19" t="str">
        <f t="shared" si="3"/>
        <v>Switch Cisco 24p 1G PoE+ (C9200L-24P-4G)</v>
      </c>
      <c r="AM19">
        <f>IFERROR(MATCH(1,INDEX(($K$13:$K$42&lt;=39)*($J$13:$J$42&gt;=39),0),0),0)</f>
        <v>3</v>
      </c>
      <c r="AN19" t="str">
        <f>IF(39&gt;$AR$5,"Fuera",IF($AM19=0,"",INDEX($AD$13:$AD$42,$AM19)))</f>
        <v>Patch panel cobre</v>
      </c>
      <c r="AQ19">
        <f>IF(OR(Proyecto!$C19="",Proyecto!$C19="-"),0,COUNTIF($CA$72:$CA$95,Proyecto!$C19)+COUNTIF($CB$72:$CB$95,Proyecto!$C19)+COUNTIF($CC$72:$CC$95,Proyecto!$C19)+COUNTIF($CD$72:$CD$95,Proyecto!$C19)+COUNTIF($CA$100:$CA$123,Proyecto!$C19)+COUNTIF($CB$100:$CB$123,Proyecto!$C19)+COUNTIF($CC$100:$CC$123,Proyecto!$C19)+COUNTIF($CD$100:$CD$123,Proyecto!$C19)+COUNTIF($CA$128:$CA$151,Proyecto!$C19)+COUNTIF($CB$128:$CB$151,Proyecto!$C19)+COUNTIF($CC$128:$CC$151,Proyecto!$C19)+COUNTIF($CD$128:$CD$151,Proyecto!$C19)+COUNTIF($CA$156:$CA$179,Proyecto!$C19)+COUNTIF($CB$156:$CB$179,Proyecto!$C19)+COUNTIF($CC$156:$CC$179,Proyecto!$C19)+COUNTIF($CD$156:$CD$179,Proyecto!$C19))</f>
        <v>0</v>
      </c>
      <c r="BA19">
        <f>IF(OR(Catalogo!$C19="",Catalogo!$B19="Espacio libre",Catalogo!$B19="Espacio reservado"),0,COUNTIF($C$13:$C$42,Catalogo!$C19)+IF($E$7=Catalogo!$C19,N($K$7),0)+IF($E$8=Catalogo!$C19,N($N$8),0)+IF(Proyecto!$D$12=Catalogo!$C19,$AQ$4,0)+SUMIF($C$49:$C$58,Catalogo!$C19,$K$49:$K$58))</f>
        <v>0</v>
      </c>
      <c r="BD19" t="str">
        <f>IFERROR(MATCH(7,$AE$13:$AE$42,0),"")</f>
        <v/>
      </c>
      <c r="BE19" t="str">
        <f t="shared" si="4"/>
        <v/>
      </c>
      <c r="BF19">
        <f t="shared" si="5"/>
        <v>0</v>
      </c>
      <c r="BG19">
        <f t="shared" si="6"/>
        <v>0</v>
      </c>
      <c r="BH19">
        <f>SUM($BG$13:$BG18)</f>
        <v>4</v>
      </c>
      <c r="BI19" t="str">
        <f t="shared" si="7"/>
        <v/>
      </c>
      <c r="BJ19" cm="1">
        <f t="array" ref="BJ19">IF($BD19="",0,IF(ISNUMBER(SEARCH(":",$BI19)),MIN($BF19,SUM(--MID(_xlfn.TEXTSPLIT($BI19,","),FIND(":",_xlfn.TEXTSPLIT($BI19,","))+1,9))),IF(INDEX($N$13:$N$42,$BD19)="",$BF19,MIN($BF19,N(INDEX($N$13:$N$42,$BD19))))))</f>
        <v>0</v>
      </c>
      <c r="BL19" t="str">
        <f>IF(7&gt;$BK$12,"",MATCH(6,$BH$13:$BH$28,1))</f>
        <v/>
      </c>
      <c r="BM19">
        <f>IF($BL19="",0,(6-INDEX($BH$13:$BH$28,$BL19))*24)</f>
        <v>0</v>
      </c>
      <c r="BN19" t="str">
        <f t="shared" si="8"/>
        <v/>
      </c>
      <c r="BO19">
        <f t="shared" si="9"/>
        <v>0</v>
      </c>
      <c r="BP19" t="str">
        <f t="shared" si="10"/>
        <v/>
      </c>
      <c r="BQ19">
        <f t="shared" si="11"/>
        <v>0</v>
      </c>
      <c r="BR19">
        <f>COUNTIF($CC$100:$CC$123,"?*")</f>
        <v>0</v>
      </c>
      <c r="BS19">
        <f>SUMIF($BL$13:$BL$28,7,$BR$13:$BR$28)</f>
        <v>0</v>
      </c>
      <c r="CL19">
        <f>IF($C19="",0,N(IFERROR(INDEX(Catalogo!$N$6:$N$125,MATCH($C19,Catalogo!$C$6:$C$125,0)),0)))</f>
        <v>70</v>
      </c>
      <c r="CM19">
        <f>IF($C19="",0,N(IFERROR(INDEX(Catalogo!$P$6:$P$125,MATCH($C19,Catalogo!$C$6:$C$125,0)),0)))</f>
        <v>4.5</v>
      </c>
      <c r="CN19">
        <f>IF($C19="",0,N(IFERROR(INDEX(Catalogo!$Q$6:$Q$125,MATCH($C19,Catalogo!$C$6:$C$125,0)),0)))</f>
        <v>0</v>
      </c>
      <c r="CO19">
        <f>IF($C19="",0,IF(OR($AD19="Espacio libre",$AD19="Espacio reservado"),0,IF(IFERROR(INDEX(Catalogo!$N$6:$N$125,MATCH($C19,Catalogo!$C$6:$C$125,0))="",TRUE),1,0)))</f>
        <v>0</v>
      </c>
    </row>
    <row r="20" spans="2:93" ht="14" customHeight="1" x14ac:dyDescent="0.45">
      <c r="B20" s="9">
        <v>8</v>
      </c>
      <c r="C20" s="47" t="s">
        <v>109</v>
      </c>
      <c r="D20" s="38"/>
      <c r="E20" s="39"/>
      <c r="F20" s="48" t="str">
        <f>IF($C20="","",IFERROR(INDEX(Catalogo!$E$6:$E$125,MATCH($C20,Catalogo!$C$6:$C$125,0)),""))</f>
        <v>CPPA24FMWBLY</v>
      </c>
      <c r="G20" s="39"/>
      <c r="H20" s="9">
        <f>IF($C20="","",N(IFERROR(INDEX(Catalogo!$F$6:$F$125,MATCH($C20,Catalogo!$C$6:$C$125,0)),"")))</f>
        <v>1</v>
      </c>
      <c r="I20" s="9">
        <f>IF($AD20&lt;&gt;"Patch panel cobre","",IFERROR(INDEX(Catalogo!$G$6:$G$125,MATCH($C20,Catalogo!$C$6:$C$125,0)),""))</f>
        <v>24</v>
      </c>
      <c r="J20" s="9">
        <f>IF(OR($C20="",$H20=0),"",$AR$5-SUM($H$13:H19))</f>
        <v>33</v>
      </c>
      <c r="K20" s="9">
        <f t="shared" si="0"/>
        <v>33</v>
      </c>
      <c r="L20" s="9" t="str">
        <f t="shared" si="1"/>
        <v>1B-AC</v>
      </c>
      <c r="M20" s="6" t="s">
        <v>18</v>
      </c>
      <c r="N20" s="6"/>
      <c r="O20" s="12">
        <f t="shared" si="2"/>
        <v>1</v>
      </c>
      <c r="P20" s="37" t="s">
        <v>419</v>
      </c>
      <c r="Q20" s="39"/>
      <c r="R20" s="40"/>
      <c r="S20" s="13">
        <v>38</v>
      </c>
      <c r="T20" s="49" t="str">
        <f>IF($AM20=0,"",IF(INDEX($J$13:$J$42,$AM20)=38,INDEX($AH$13:$AH$42,$AM20),""))</f>
        <v>Switch Cisco 48p 1G PoE+ (C9200L-48P-4G)</v>
      </c>
      <c r="U20" s="38"/>
      <c r="V20" s="39"/>
      <c r="W20" s="13">
        <v>38</v>
      </c>
      <c r="X20" s="40"/>
      <c r="AD20" t="str">
        <f>IF($C20="","",IFERROR(INDEX(Catalogo!$B$6:$B$125,MATCH($C20,Catalogo!$C$6:$C$125,0)),""))</f>
        <v>Patch panel cobre</v>
      </c>
      <c r="AE20">
        <f>IF($AD20="Patch panel cobre",COUNTIF($AD$13:$AD20,"Patch panel cobre"),"")</f>
        <v>3</v>
      </c>
      <c r="AH20" t="str">
        <f t="shared" si="3"/>
        <v>Patch panel 1B-AC · 24 p · C</v>
      </c>
      <c r="AM20">
        <f>IFERROR(MATCH(1,INDEX(($K$13:$K$42&lt;=38)*($J$13:$J$42&gt;=38),0),0),0)</f>
        <v>4</v>
      </c>
      <c r="AN20" t="str">
        <f>IF(38&gt;$AR$5,"Fuera",IF($AM20=0,"",INDEX($AD$13:$AD$42,$AM20)))</f>
        <v>Switch</v>
      </c>
      <c r="AQ20">
        <f>IF(OR(Proyecto!$C20="",Proyecto!$C20="-"),0,COUNTIF($CA$72:$CA$95,Proyecto!$C20)+COUNTIF($CB$72:$CB$95,Proyecto!$C20)+COUNTIF($CC$72:$CC$95,Proyecto!$C20)+COUNTIF($CD$72:$CD$95,Proyecto!$C20)+COUNTIF($CA$100:$CA$123,Proyecto!$C20)+COUNTIF($CB$100:$CB$123,Proyecto!$C20)+COUNTIF($CC$100:$CC$123,Proyecto!$C20)+COUNTIF($CD$100:$CD$123,Proyecto!$C20)+COUNTIF($CA$128:$CA$151,Proyecto!$C20)+COUNTIF($CB$128:$CB$151,Proyecto!$C20)+COUNTIF($CC$128:$CC$151,Proyecto!$C20)+COUNTIF($CD$128:$CD$151,Proyecto!$C20)+COUNTIF($CA$156:$CA$179,Proyecto!$C20)+COUNTIF($CB$156:$CB$179,Proyecto!$C20)+COUNTIF($CC$156:$CC$179,Proyecto!$C20)+COUNTIF($CD$156:$CD$179,Proyecto!$C20))</f>
        <v>24</v>
      </c>
      <c r="BA20">
        <f>IF(OR(Catalogo!$C20="",Catalogo!$B20="Espacio libre",Catalogo!$B20="Espacio reservado"),0,COUNTIF($C$13:$C$42,Catalogo!$C20)+IF($E$7=Catalogo!$C20,N($K$7),0)+IF($E$8=Catalogo!$C20,N($N$8),0)+IF(Proyecto!$D$12=Catalogo!$C20,$AQ$4,0)+SUMIF($C$49:$C$58,Catalogo!$C20,$K$49:$K$58))</f>
        <v>0</v>
      </c>
      <c r="BD20" t="str">
        <f>IFERROR(MATCH(8,$AE$13:$AE$42,0),"")</f>
        <v/>
      </c>
      <c r="BE20" t="str">
        <f t="shared" si="4"/>
        <v/>
      </c>
      <c r="BF20">
        <f t="shared" si="5"/>
        <v>0</v>
      </c>
      <c r="BG20">
        <f t="shared" si="6"/>
        <v>0</v>
      </c>
      <c r="BH20">
        <f>SUM($BG$13:$BG19)</f>
        <v>4</v>
      </c>
      <c r="BI20" t="str">
        <f t="shared" si="7"/>
        <v/>
      </c>
      <c r="BJ20" cm="1">
        <f t="array" ref="BJ20">IF($BD20="",0,IF(ISNUMBER(SEARCH(":",$BI20)),MIN($BF20,SUM(--MID(_xlfn.TEXTSPLIT($BI20,","),FIND(":",_xlfn.TEXTSPLIT($BI20,","))+1,9))),IF(INDEX($N$13:$N$42,$BD20)="",$BF20,MIN($BF20,N(INDEX($N$13:$N$42,$BD20))))))</f>
        <v>0</v>
      </c>
      <c r="BL20" t="str">
        <f>IF(8&gt;$BK$12,"",MATCH(7,$BH$13:$BH$28,1))</f>
        <v/>
      </c>
      <c r="BM20">
        <f>IF($BL20="",0,(7-INDEX($BH$13:$BH$28,$BL20))*24)</f>
        <v>0</v>
      </c>
      <c r="BN20" t="str">
        <f t="shared" si="8"/>
        <v/>
      </c>
      <c r="BO20">
        <f t="shared" si="9"/>
        <v>0</v>
      </c>
      <c r="BP20" t="str">
        <f t="shared" si="10"/>
        <v/>
      </c>
      <c r="BQ20">
        <f t="shared" si="11"/>
        <v>0</v>
      </c>
      <c r="BR20">
        <f>COUNTIF($CD$100:$CD$123,"?*")</f>
        <v>0</v>
      </c>
      <c r="BS20">
        <f>SUMIF($BL$13:$BL$28,8,$BR$13:$BR$28)</f>
        <v>0</v>
      </c>
      <c r="CL20">
        <f>IF($C20="",0,N(IFERROR(INDEX(Catalogo!$N$6:$N$125,MATCH($C20,Catalogo!$C$6:$C$125,0)),0)))</f>
        <v>0</v>
      </c>
      <c r="CM20">
        <f>IF($C20="",0,N(IFERROR(INDEX(Catalogo!$P$6:$P$125,MATCH($C20,Catalogo!$C$6:$C$125,0)),0)))</f>
        <v>1</v>
      </c>
      <c r="CN20">
        <f>IF($C20="",0,N(IFERROR(INDEX(Catalogo!$Q$6:$Q$125,MATCH($C20,Catalogo!$C$6:$C$125,0)),0)))</f>
        <v>0</v>
      </c>
      <c r="CO20">
        <f>IF($C20="",0,IF(OR($AD20="Espacio libre",$AD20="Espacio reservado"),0,IF(IFERROR(INDEX(Catalogo!$N$6:$N$125,MATCH($C20,Catalogo!$C$6:$C$125,0))="",TRUE),1,0)))</f>
        <v>0</v>
      </c>
    </row>
    <row r="21" spans="2:93" ht="14" customHeight="1" x14ac:dyDescent="0.45">
      <c r="B21" s="9">
        <v>9</v>
      </c>
      <c r="C21" s="47" t="s">
        <v>152</v>
      </c>
      <c r="D21" s="38"/>
      <c r="E21" s="39"/>
      <c r="F21" s="48" t="str">
        <f>IF($C21="","",IFERROR(INDEX(Catalogo!$E$6:$E$125,MATCH($C21,Catalogo!$C$6:$C$125,0)),""))</f>
        <v>C9200L-24P-4G</v>
      </c>
      <c r="G21" s="39"/>
      <c r="H21" s="9">
        <f>IF($C21="","",N(IFERROR(INDEX(Catalogo!$F$6:$F$125,MATCH($C21,Catalogo!$C$6:$C$125,0)),"")))</f>
        <v>1</v>
      </c>
      <c r="I21" s="9" t="str">
        <f>IF($AD21&lt;&gt;"Patch panel cobre","",IFERROR(INDEX(Catalogo!$G$6:$G$125,MATCH($C21,Catalogo!$C$6:$C$125,0)),""))</f>
        <v/>
      </c>
      <c r="J21" s="9">
        <f>IF(OR($C21="",$H21=0),"",$AR$5-SUM($H$13:H20))</f>
        <v>32</v>
      </c>
      <c r="K21" s="9">
        <f t="shared" si="0"/>
        <v>32</v>
      </c>
      <c r="L21" s="9" t="str">
        <f t="shared" si="1"/>
        <v/>
      </c>
      <c r="M21" s="6"/>
      <c r="N21" s="6"/>
      <c r="O21" s="12" t="str">
        <f t="shared" si="2"/>
        <v/>
      </c>
      <c r="P21" s="37" t="s">
        <v>419</v>
      </c>
      <c r="Q21" s="39"/>
      <c r="R21" s="40"/>
      <c r="S21" s="13">
        <v>37</v>
      </c>
      <c r="T21" s="49" t="str">
        <f>IF($AM21=0,"",IF(INDEX($J$13:$J$42,$AM21)=37,INDEX($AH$13:$AH$42,$AM21),""))</f>
        <v>Org. horizontal 2RU frontal/posterior con radio de curvatura (NetRunner)</v>
      </c>
      <c r="U21" s="38"/>
      <c r="V21" s="39"/>
      <c r="W21" s="13">
        <v>37</v>
      </c>
      <c r="X21" s="40"/>
      <c r="AD21" t="str">
        <f>IF($C21="","",IFERROR(INDEX(Catalogo!$B$6:$B$125,MATCH($C21,Catalogo!$C$6:$C$125,0)),""))</f>
        <v>Switch</v>
      </c>
      <c r="AE21" t="str">
        <f>IF($AD21="Patch panel cobre",COUNTIF($AD$13:$AD21,"Patch panel cobre"),"")</f>
        <v/>
      </c>
      <c r="AH21" t="str">
        <f t="shared" si="3"/>
        <v>Switch Cisco 24p 1G PoE+ (C9200L-24P-4G)</v>
      </c>
      <c r="AM21">
        <f>IFERROR(MATCH(1,INDEX(($K$13:$K$42&lt;=37)*($J$13:$J$42&gt;=37),0),0),0)</f>
        <v>5</v>
      </c>
      <c r="AN21" t="str">
        <f>IF(37&gt;$AR$5,"Fuera",IF($AM21=0,"",INDEX($AD$13:$AD$42,$AM21)))</f>
        <v>Organizador horizontal</v>
      </c>
      <c r="AQ21">
        <f>IF(OR(Proyecto!$C21="",Proyecto!$C21="-"),0,COUNTIF($CA$72:$CA$95,Proyecto!$C21)+COUNTIF($CB$72:$CB$95,Proyecto!$C21)+COUNTIF($CC$72:$CC$95,Proyecto!$C21)+COUNTIF($CD$72:$CD$95,Proyecto!$C21)+COUNTIF($CA$100:$CA$123,Proyecto!$C21)+COUNTIF($CB$100:$CB$123,Proyecto!$C21)+COUNTIF($CC$100:$CC$123,Proyecto!$C21)+COUNTIF($CD$100:$CD$123,Proyecto!$C21)+COUNTIF($CA$128:$CA$151,Proyecto!$C21)+COUNTIF($CB$128:$CB$151,Proyecto!$C21)+COUNTIF($CC$128:$CC$151,Proyecto!$C21)+COUNTIF($CD$128:$CD$151,Proyecto!$C21)+COUNTIF($CA$156:$CA$179,Proyecto!$C21)+COUNTIF($CB$156:$CB$179,Proyecto!$C21)+COUNTIF($CC$156:$CC$179,Proyecto!$C21)+COUNTIF($CD$156:$CD$179,Proyecto!$C21))</f>
        <v>0</v>
      </c>
      <c r="BA21">
        <f>IF(OR(Catalogo!$C21="",Catalogo!$B21="Espacio libre",Catalogo!$B21="Espacio reservado"),0,COUNTIF($C$13:$C$42,Catalogo!$C21)+IF($E$7=Catalogo!$C21,N($K$7),0)+IF($E$8=Catalogo!$C21,N($N$8),0)+IF(Proyecto!$D$12=Catalogo!$C21,$AQ$4,0)+SUMIF($C$49:$C$58,Catalogo!$C21,$K$49:$K$58))</f>
        <v>0</v>
      </c>
      <c r="BD21" t="str">
        <f>IFERROR(MATCH(9,$AE$13:$AE$42,0),"")</f>
        <v/>
      </c>
      <c r="BE21" t="str">
        <f t="shared" si="4"/>
        <v/>
      </c>
      <c r="BF21">
        <f t="shared" si="5"/>
        <v>0</v>
      </c>
      <c r="BG21">
        <f t="shared" si="6"/>
        <v>0</v>
      </c>
      <c r="BH21">
        <f>SUM($BG$13:$BG20)</f>
        <v>4</v>
      </c>
      <c r="BI21" t="str">
        <f t="shared" si="7"/>
        <v/>
      </c>
      <c r="BJ21" cm="1">
        <f t="array" ref="BJ21">IF($BD21="",0,IF(ISNUMBER(SEARCH(":",$BI21)),MIN($BF21,SUM(--MID(_xlfn.TEXTSPLIT($BI21,","),FIND(":",_xlfn.TEXTSPLIT($BI21,","))+1,9))),IF(INDEX($N$13:$N$42,$BD21)="",$BF21,MIN($BF21,N(INDEX($N$13:$N$42,$BD21))))))</f>
        <v>0</v>
      </c>
      <c r="BL21" t="str">
        <f>IF(9&gt;$BK$12,"",MATCH(8,$BH$13:$BH$28,1))</f>
        <v/>
      </c>
      <c r="BM21">
        <f>IF($BL21="",0,(8-INDEX($BH$13:$BH$28,$BL21))*24)</f>
        <v>0</v>
      </c>
      <c r="BN21" t="str">
        <f t="shared" si="8"/>
        <v/>
      </c>
      <c r="BO21">
        <f t="shared" si="9"/>
        <v>0</v>
      </c>
      <c r="BP21" t="str">
        <f t="shared" si="10"/>
        <v/>
      </c>
      <c r="BQ21">
        <f t="shared" si="11"/>
        <v>0</v>
      </c>
      <c r="BR21">
        <f>COUNTIF($CA$128:$CA$151,"?*")</f>
        <v>0</v>
      </c>
      <c r="BS21">
        <f>SUMIF($BL$13:$BL$28,9,$BR$13:$BR$28)</f>
        <v>0</v>
      </c>
      <c r="CL21">
        <f>IF($C21="",0,N(IFERROR(INDEX(Catalogo!$N$6:$N$125,MATCH($C21,Catalogo!$C$6:$C$125,0)),0)))</f>
        <v>70</v>
      </c>
      <c r="CM21">
        <f>IF($C21="",0,N(IFERROR(INDEX(Catalogo!$P$6:$P$125,MATCH($C21,Catalogo!$C$6:$C$125,0)),0)))</f>
        <v>4.5</v>
      </c>
      <c r="CN21">
        <f>IF($C21="",0,N(IFERROR(INDEX(Catalogo!$Q$6:$Q$125,MATCH($C21,Catalogo!$C$6:$C$125,0)),0)))</f>
        <v>0</v>
      </c>
      <c r="CO21">
        <f>IF($C21="",0,IF(OR($AD21="Espacio libre",$AD21="Espacio reservado"),0,IF(IFERROR(INDEX(Catalogo!$N$6:$N$125,MATCH($C21,Catalogo!$C$6:$C$125,0))="",TRUE),1,0)))</f>
        <v>0</v>
      </c>
    </row>
    <row r="22" spans="2:93" ht="14" customHeight="1" x14ac:dyDescent="0.45">
      <c r="B22" s="9">
        <v>10</v>
      </c>
      <c r="C22" s="47" t="s">
        <v>336</v>
      </c>
      <c r="D22" s="38"/>
      <c r="E22" s="39"/>
      <c r="F22" s="48" t="str">
        <f>IF($C22="","",IFERROR(INDEX(Catalogo!$E$6:$E$125,MATCH($C22,Catalogo!$C$6:$C$125,0)),""))</f>
        <v>WMPH2E</v>
      </c>
      <c r="G22" s="39"/>
      <c r="H22" s="9">
        <f>IF($C22="","",N(IFERROR(INDEX(Catalogo!$F$6:$F$125,MATCH($C22,Catalogo!$C$6:$C$125,0)),"")))</f>
        <v>2</v>
      </c>
      <c r="I22" s="9" t="str">
        <f>IF($AD22&lt;&gt;"Patch panel cobre","",IFERROR(INDEX(Catalogo!$G$6:$G$125,MATCH($C22,Catalogo!$C$6:$C$125,0)),""))</f>
        <v/>
      </c>
      <c r="J22" s="9">
        <f>IF(OR($C22="",$H22=0),"",$AR$5-SUM($H$13:H21))</f>
        <v>31</v>
      </c>
      <c r="K22" s="9">
        <f t="shared" si="0"/>
        <v>30</v>
      </c>
      <c r="L22" s="9" t="str">
        <f t="shared" si="1"/>
        <v/>
      </c>
      <c r="M22" s="6"/>
      <c r="N22" s="6"/>
      <c r="O22" s="12" t="str">
        <f t="shared" si="2"/>
        <v/>
      </c>
      <c r="P22" s="37" t="s">
        <v>120</v>
      </c>
      <c r="Q22" s="39"/>
      <c r="R22" s="40"/>
      <c r="S22" s="13">
        <v>36</v>
      </c>
      <c r="T22" s="49" t="str">
        <f>IF($AM22=0,"",IF(INDEX($J$13:$J$42,$AM22)=36,INDEX($AH$13:$AH$42,$AM22),""))</f>
        <v/>
      </c>
      <c r="U22" s="38"/>
      <c r="V22" s="39"/>
      <c r="W22" s="13">
        <v>36</v>
      </c>
      <c r="X22" s="40"/>
      <c r="AD22" t="str">
        <f>IF($C22="","",IFERROR(INDEX(Catalogo!$B$6:$B$125,MATCH($C22,Catalogo!$C$6:$C$125,0)),""))</f>
        <v>Organizador horizontal</v>
      </c>
      <c r="AE22" t="str">
        <f>IF($AD22="Patch panel cobre",COUNTIF($AD$13:$AD22,"Patch panel cobre"),"")</f>
        <v/>
      </c>
      <c r="AH22" t="str">
        <f t="shared" si="3"/>
        <v>Org. horizontal 2RU frontal/posterior con radio de curvatura (NetRunner)</v>
      </c>
      <c r="AM22">
        <f>IFERROR(MATCH(1,INDEX(($K$13:$K$42&lt;=36)*($J$13:$J$42&gt;=36),0),0),0)</f>
        <v>5</v>
      </c>
      <c r="AN22" t="str">
        <f>IF(36&gt;$AR$5,"Fuera",IF($AM22=0,"",INDEX($AD$13:$AD$42,$AM22)))</f>
        <v>Organizador horizontal</v>
      </c>
      <c r="AQ22">
        <f>IF(OR(Proyecto!$C22="",Proyecto!$C22="-"),0,COUNTIF($CA$72:$CA$95,Proyecto!$C22)+COUNTIF($CB$72:$CB$95,Proyecto!$C22)+COUNTIF($CC$72:$CC$95,Proyecto!$C22)+COUNTIF($CD$72:$CD$95,Proyecto!$C22)+COUNTIF($CA$100:$CA$123,Proyecto!$C22)+COUNTIF($CB$100:$CB$123,Proyecto!$C22)+COUNTIF($CC$100:$CC$123,Proyecto!$C22)+COUNTIF($CD$100:$CD$123,Proyecto!$C22)+COUNTIF($CA$128:$CA$151,Proyecto!$C22)+COUNTIF($CB$128:$CB$151,Proyecto!$C22)+COUNTIF($CC$128:$CC$151,Proyecto!$C22)+COUNTIF($CD$128:$CD$151,Proyecto!$C22)+COUNTIF($CA$156:$CA$179,Proyecto!$C22)+COUNTIF($CB$156:$CB$179,Proyecto!$C22)+COUNTIF($CC$156:$CC$179,Proyecto!$C22)+COUNTIF($CD$156:$CD$179,Proyecto!$C22))</f>
        <v>0</v>
      </c>
      <c r="BA22">
        <f>IF(OR(Catalogo!$C22="",Catalogo!$B22="Espacio libre",Catalogo!$B22="Espacio reservado"),0,COUNTIF($C$13:$C$42,Catalogo!$C22)+IF($E$7=Catalogo!$C22,N($K$7),0)+IF($E$8=Catalogo!$C22,N($N$8),0)+IF(Proyecto!$D$12=Catalogo!$C22,$AQ$4,0)+SUMIF($C$49:$C$58,Catalogo!$C22,$K$49:$K$58))</f>
        <v>2</v>
      </c>
      <c r="BD22" t="str">
        <f>IFERROR(MATCH(10,$AE$13:$AE$42,0),"")</f>
        <v/>
      </c>
      <c r="BE22" t="str">
        <f t="shared" si="4"/>
        <v/>
      </c>
      <c r="BF22">
        <f t="shared" si="5"/>
        <v>0</v>
      </c>
      <c r="BG22">
        <f t="shared" si="6"/>
        <v>0</v>
      </c>
      <c r="BH22">
        <f>SUM($BG$13:$BG21)</f>
        <v>4</v>
      </c>
      <c r="BI22" t="str">
        <f t="shared" si="7"/>
        <v/>
      </c>
      <c r="BJ22" cm="1">
        <f t="array" ref="BJ22">IF($BD22="",0,IF(ISNUMBER(SEARCH(":",$BI22)),MIN($BF22,SUM(--MID(_xlfn.TEXTSPLIT($BI22,","),FIND(":",_xlfn.TEXTSPLIT($BI22,","))+1,9))),IF(INDEX($N$13:$N$42,$BD22)="",$BF22,MIN($BF22,N(INDEX($N$13:$N$42,$BD22))))))</f>
        <v>0</v>
      </c>
      <c r="BL22" t="str">
        <f>IF(10&gt;$BK$12,"",MATCH(9,$BH$13:$BH$28,1))</f>
        <v/>
      </c>
      <c r="BM22">
        <f>IF($BL22="",0,(9-INDEX($BH$13:$BH$28,$BL22))*24)</f>
        <v>0</v>
      </c>
      <c r="BN22" t="str">
        <f t="shared" si="8"/>
        <v/>
      </c>
      <c r="BO22">
        <f t="shared" si="9"/>
        <v>0</v>
      </c>
      <c r="BP22" t="str">
        <f t="shared" si="10"/>
        <v/>
      </c>
      <c r="BQ22">
        <f t="shared" si="11"/>
        <v>0</v>
      </c>
      <c r="BR22">
        <f>COUNTIF($CB$128:$CB$151,"?*")</f>
        <v>0</v>
      </c>
      <c r="BS22">
        <f>SUMIF($BL$13:$BL$28,10,$BR$13:$BR$28)</f>
        <v>0</v>
      </c>
      <c r="CL22">
        <f>IF($C22="",0,N(IFERROR(INDEX(Catalogo!$N$6:$N$125,MATCH($C22,Catalogo!$C$6:$C$125,0)),0)))</f>
        <v>0</v>
      </c>
      <c r="CM22">
        <f>IF($C22="",0,N(IFERROR(INDEX(Catalogo!$P$6:$P$125,MATCH($C22,Catalogo!$C$6:$C$125,0)),0)))</f>
        <v>2</v>
      </c>
      <c r="CN22">
        <f>IF($C22="",0,N(IFERROR(INDEX(Catalogo!$Q$6:$Q$125,MATCH($C22,Catalogo!$C$6:$C$125,0)),0)))</f>
        <v>0</v>
      </c>
      <c r="CO22">
        <f>IF($C22="",0,IF(OR($AD22="Espacio libre",$AD22="Espacio reservado"),0,IF(IFERROR(INDEX(Catalogo!$N$6:$N$125,MATCH($C22,Catalogo!$C$6:$C$125,0))="",TRUE),1,0)))</f>
        <v>0</v>
      </c>
    </row>
    <row r="23" spans="2:93" ht="14" customHeight="1" x14ac:dyDescent="0.45">
      <c r="B23" s="9">
        <v>11</v>
      </c>
      <c r="C23" s="47" t="s">
        <v>344</v>
      </c>
      <c r="D23" s="38"/>
      <c r="E23" s="39"/>
      <c r="F23" s="48" t="str">
        <f>IF($C23="","",IFERROR(INDEX(Catalogo!$E$6:$E$125,MATCH($C23,Catalogo!$C$6:$C$125,0)),""))</f>
        <v>—</v>
      </c>
      <c r="G23" s="39"/>
      <c r="H23" s="9">
        <f>IF($C23="","",N(IFERROR(INDEX(Catalogo!$F$6:$F$125,MATCH($C23,Catalogo!$C$6:$C$125,0)),"")))</f>
        <v>1</v>
      </c>
      <c r="I23" s="9" t="str">
        <f>IF($AD23&lt;&gt;"Patch panel cobre","",IFERROR(INDEX(Catalogo!$G$6:$G$125,MATCH($C23,Catalogo!$C$6:$C$125,0)),""))</f>
        <v/>
      </c>
      <c r="J23" s="9">
        <f>IF(OR($C23="",$H23=0),"",$AR$5-SUM($H$13:H22))</f>
        <v>29</v>
      </c>
      <c r="K23" s="9">
        <f t="shared" si="0"/>
        <v>29</v>
      </c>
      <c r="L23" s="9" t="str">
        <f t="shared" si="1"/>
        <v/>
      </c>
      <c r="M23" s="6"/>
      <c r="N23" s="6"/>
      <c r="O23" s="12" t="str">
        <f t="shared" si="2"/>
        <v/>
      </c>
      <c r="P23" s="37" t="s">
        <v>420</v>
      </c>
      <c r="Q23" s="39"/>
      <c r="R23" s="40"/>
      <c r="S23" s="13">
        <v>35</v>
      </c>
      <c r="T23" s="49" t="str">
        <f>IF($AM23=0,"",IF(INDEX($J$13:$J$42,$AM23)=35,INDEX($AH$13:$AH$42,$AM23),""))</f>
        <v>Patch panel 1B-AB · 24 p · W</v>
      </c>
      <c r="U23" s="38"/>
      <c r="V23" s="39"/>
      <c r="W23" s="13">
        <v>35</v>
      </c>
      <c r="X23" s="40"/>
      <c r="AD23" t="str">
        <f>IF($C23="","",IFERROR(INDEX(Catalogo!$B$6:$B$125,MATCH($C23,Catalogo!$C$6:$C$125,0)),""))</f>
        <v>Espacio reservado</v>
      </c>
      <c r="AE23" t="str">
        <f>IF($AD23="Patch panel cobre",COUNTIF($AD$13:$AD23,"Patch panel cobre"),"")</f>
        <v/>
      </c>
      <c r="AH23" t="str">
        <f t="shared" si="3"/>
        <v>Espacio para switch 24 puertos 1RU</v>
      </c>
      <c r="AM23">
        <f>IFERROR(MATCH(1,INDEX(($K$13:$K$42&lt;=35)*($J$13:$J$42&gt;=35),0),0),0)</f>
        <v>6</v>
      </c>
      <c r="AN23" t="str">
        <f>IF(35&gt;$AR$5,"Fuera",IF($AM23=0,"",INDEX($AD$13:$AD$42,$AM23)))</f>
        <v>Patch panel cobre</v>
      </c>
      <c r="AQ23">
        <f>IF(OR(Proyecto!$C23="",Proyecto!$C23="-"),0,COUNTIF($CA$72:$CA$95,Proyecto!$C23)+COUNTIF($CB$72:$CB$95,Proyecto!$C23)+COUNTIF($CC$72:$CC$95,Proyecto!$C23)+COUNTIF($CD$72:$CD$95,Proyecto!$C23)+COUNTIF($CA$100:$CA$123,Proyecto!$C23)+COUNTIF($CB$100:$CB$123,Proyecto!$C23)+COUNTIF($CC$100:$CC$123,Proyecto!$C23)+COUNTIF($CD$100:$CD$123,Proyecto!$C23)+COUNTIF($CA$128:$CA$151,Proyecto!$C23)+COUNTIF($CB$128:$CB$151,Proyecto!$C23)+COUNTIF($CC$128:$CC$151,Proyecto!$C23)+COUNTIF($CD$128:$CD$151,Proyecto!$C23)+COUNTIF($CA$156:$CA$179,Proyecto!$C23)+COUNTIF($CB$156:$CB$179,Proyecto!$C23)+COUNTIF($CC$156:$CC$179,Proyecto!$C23)+COUNTIF($CD$156:$CD$179,Proyecto!$C23))</f>
        <v>0</v>
      </c>
      <c r="BA23">
        <f>IF(OR(Catalogo!$C23="",Catalogo!$B23="Espacio libre",Catalogo!$B23="Espacio reservado"),0,COUNTIF($C$13:$C$42,Catalogo!$C23)+IF($E$7=Catalogo!$C23,N($K$7),0)+IF($E$8=Catalogo!$C23,N($N$8),0)+IF(Proyecto!$D$12=Catalogo!$C23,$AQ$4,0)+SUMIF($C$49:$C$58,Catalogo!$C23,$K$49:$K$58))</f>
        <v>1</v>
      </c>
      <c r="BD23" t="str">
        <f>IFERROR(MATCH(11,$AE$13:$AE$42,0),"")</f>
        <v/>
      </c>
      <c r="BE23" t="str">
        <f t="shared" si="4"/>
        <v/>
      </c>
      <c r="BF23">
        <f t="shared" si="5"/>
        <v>0</v>
      </c>
      <c r="BG23">
        <f t="shared" si="6"/>
        <v>0</v>
      </c>
      <c r="BH23">
        <f>SUM($BG$13:$BG22)</f>
        <v>4</v>
      </c>
      <c r="BI23" t="str">
        <f t="shared" si="7"/>
        <v/>
      </c>
      <c r="BJ23" cm="1">
        <f t="array" ref="BJ23">IF($BD23="",0,IF(ISNUMBER(SEARCH(":",$BI23)),MIN($BF23,SUM(--MID(_xlfn.TEXTSPLIT($BI23,","),FIND(":",_xlfn.TEXTSPLIT($BI23,","))+1,9))),IF(INDEX($N$13:$N$42,$BD23)="",$BF23,MIN($BF23,N(INDEX($N$13:$N$42,$BD23))))))</f>
        <v>0</v>
      </c>
      <c r="BL23" t="str">
        <f>IF(11&gt;$BK$12,"",MATCH(10,$BH$13:$BH$28,1))</f>
        <v/>
      </c>
      <c r="BM23">
        <f>IF($BL23="",0,(10-INDEX($BH$13:$BH$28,$BL23))*24)</f>
        <v>0</v>
      </c>
      <c r="BN23" t="str">
        <f t="shared" si="8"/>
        <v/>
      </c>
      <c r="BO23">
        <f t="shared" si="9"/>
        <v>0</v>
      </c>
      <c r="BP23" t="str">
        <f t="shared" si="10"/>
        <v/>
      </c>
      <c r="BQ23">
        <f t="shared" si="11"/>
        <v>0</v>
      </c>
      <c r="BR23">
        <f>COUNTIF($CC$128:$CC$151,"?*")</f>
        <v>0</v>
      </c>
      <c r="BS23">
        <f>SUMIF($BL$13:$BL$28,11,$BR$13:$BR$28)</f>
        <v>0</v>
      </c>
      <c r="CL23">
        <f>IF($C23="",0,N(IFERROR(INDEX(Catalogo!$N$6:$N$125,MATCH($C23,Catalogo!$C$6:$C$125,0)),0)))</f>
        <v>0</v>
      </c>
      <c r="CM23">
        <f>IF($C23="",0,N(IFERROR(INDEX(Catalogo!$P$6:$P$125,MATCH($C23,Catalogo!$C$6:$C$125,0)),0)))</f>
        <v>0</v>
      </c>
      <c r="CN23">
        <f>IF($C23="",0,N(IFERROR(INDEX(Catalogo!$Q$6:$Q$125,MATCH($C23,Catalogo!$C$6:$C$125,0)),0)))</f>
        <v>0</v>
      </c>
      <c r="CO23">
        <f>IF($C23="",0,IF(OR($AD23="Espacio libre",$AD23="Espacio reservado"),0,IF(IFERROR(INDEX(Catalogo!$N$6:$N$125,MATCH($C23,Catalogo!$C$6:$C$125,0))="",TRUE),1,0)))</f>
        <v>0</v>
      </c>
    </row>
    <row r="24" spans="2:93" ht="14" customHeight="1" x14ac:dyDescent="0.45">
      <c r="B24" s="9">
        <v>12</v>
      </c>
      <c r="C24" s="47" t="s">
        <v>344</v>
      </c>
      <c r="D24" s="38"/>
      <c r="E24" s="39"/>
      <c r="F24" s="48" t="str">
        <f>IF($C24="","",IFERROR(INDEX(Catalogo!$E$6:$E$125,MATCH($C24,Catalogo!$C$6:$C$125,0)),""))</f>
        <v>—</v>
      </c>
      <c r="G24" s="39"/>
      <c r="H24" s="9">
        <f>IF($C24="","",N(IFERROR(INDEX(Catalogo!$F$6:$F$125,MATCH($C24,Catalogo!$C$6:$C$125,0)),"")))</f>
        <v>1</v>
      </c>
      <c r="I24" s="9" t="str">
        <f>IF($AD24&lt;&gt;"Patch panel cobre","",IFERROR(INDEX(Catalogo!$G$6:$G$125,MATCH($C24,Catalogo!$C$6:$C$125,0)),""))</f>
        <v/>
      </c>
      <c r="J24" s="9">
        <f>IF(OR($C24="",$H24=0),"",$AR$5-SUM($H$13:H23))</f>
        <v>28</v>
      </c>
      <c r="K24" s="9">
        <f t="shared" si="0"/>
        <v>28</v>
      </c>
      <c r="L24" s="9" t="str">
        <f t="shared" si="1"/>
        <v/>
      </c>
      <c r="M24" s="6"/>
      <c r="N24" s="6"/>
      <c r="O24" s="12" t="str">
        <f t="shared" si="2"/>
        <v/>
      </c>
      <c r="P24" s="37" t="s">
        <v>420</v>
      </c>
      <c r="Q24" s="39"/>
      <c r="R24" s="40"/>
      <c r="S24" s="13">
        <v>34</v>
      </c>
      <c r="T24" s="49" t="str">
        <f>IF($AM24=0,"",IF(INDEX($J$13:$J$42,$AM24)=34,INDEX($AH$13:$AH$42,$AM24),""))</f>
        <v>Switch Cisco 24p 1G PoE+ (C9200L-24P-4G)</v>
      </c>
      <c r="U24" s="38"/>
      <c r="V24" s="39"/>
      <c r="W24" s="13">
        <v>34</v>
      </c>
      <c r="X24" s="40"/>
      <c r="AD24" t="str">
        <f>IF($C24="","",IFERROR(INDEX(Catalogo!$B$6:$B$125,MATCH($C24,Catalogo!$C$6:$C$125,0)),""))</f>
        <v>Espacio reservado</v>
      </c>
      <c r="AE24" t="str">
        <f>IF($AD24="Patch panel cobre",COUNTIF($AD$13:$AD24,"Patch panel cobre"),"")</f>
        <v/>
      </c>
      <c r="AH24" t="str">
        <f t="shared" si="3"/>
        <v>Espacio para switch 24 puertos 1RU</v>
      </c>
      <c r="AM24">
        <f>IFERROR(MATCH(1,INDEX(($K$13:$K$42&lt;=34)*($J$13:$J$42&gt;=34),0),0),0)</f>
        <v>7</v>
      </c>
      <c r="AN24" t="str">
        <f>IF(34&gt;$AR$5,"Fuera",IF($AM24=0,"",INDEX($AD$13:$AD$42,$AM24)))</f>
        <v>Switch</v>
      </c>
      <c r="AQ24">
        <f>IF(OR(Proyecto!$C24="",Proyecto!$C24="-"),0,COUNTIF($CA$72:$CA$95,Proyecto!$C24)+COUNTIF($CB$72:$CB$95,Proyecto!$C24)+COUNTIF($CC$72:$CC$95,Proyecto!$C24)+COUNTIF($CD$72:$CD$95,Proyecto!$C24)+COUNTIF($CA$100:$CA$123,Proyecto!$C24)+COUNTIF($CB$100:$CB$123,Proyecto!$C24)+COUNTIF($CC$100:$CC$123,Proyecto!$C24)+COUNTIF($CD$100:$CD$123,Proyecto!$C24)+COUNTIF($CA$128:$CA$151,Proyecto!$C24)+COUNTIF($CB$128:$CB$151,Proyecto!$C24)+COUNTIF($CC$128:$CC$151,Proyecto!$C24)+COUNTIF($CD$128:$CD$151,Proyecto!$C24)+COUNTIF($CA$156:$CA$179,Proyecto!$C24)+COUNTIF($CB$156:$CB$179,Proyecto!$C24)+COUNTIF($CC$156:$CC$179,Proyecto!$C24)+COUNTIF($CD$156:$CD$179,Proyecto!$C24))</f>
        <v>0</v>
      </c>
      <c r="BA24">
        <f>IF(OR(Catalogo!$C24="",Catalogo!$B24="Espacio libre",Catalogo!$B24="Espacio reservado"),0,COUNTIF($C$13:$C$42,Catalogo!$C24)+IF($E$7=Catalogo!$C24,N($K$7),0)+IF($E$8=Catalogo!$C24,N($N$8),0)+IF(Proyecto!$D$12=Catalogo!$C24,$AQ$4,0)+SUMIF($C$49:$C$58,Catalogo!$C24,$K$49:$K$58))</f>
        <v>0</v>
      </c>
      <c r="BD24" t="str">
        <f>IFERROR(MATCH(12,$AE$13:$AE$42,0),"")</f>
        <v/>
      </c>
      <c r="BE24" t="str">
        <f t="shared" si="4"/>
        <v/>
      </c>
      <c r="BF24">
        <f t="shared" si="5"/>
        <v>0</v>
      </c>
      <c r="BG24">
        <f t="shared" si="6"/>
        <v>0</v>
      </c>
      <c r="BH24">
        <f>SUM($BG$13:$BG23)</f>
        <v>4</v>
      </c>
      <c r="BI24" t="str">
        <f t="shared" si="7"/>
        <v/>
      </c>
      <c r="BJ24" cm="1">
        <f t="array" ref="BJ24">IF($BD24="",0,IF(ISNUMBER(SEARCH(":",$BI24)),MIN($BF24,SUM(--MID(_xlfn.TEXTSPLIT($BI24,","),FIND(":",_xlfn.TEXTSPLIT($BI24,","))+1,9))),IF(INDEX($N$13:$N$42,$BD24)="",$BF24,MIN($BF24,N(INDEX($N$13:$N$42,$BD24))))))</f>
        <v>0</v>
      </c>
      <c r="BL24" t="str">
        <f>IF(12&gt;$BK$12,"",MATCH(11,$BH$13:$BH$28,1))</f>
        <v/>
      </c>
      <c r="BM24">
        <f>IF($BL24="",0,(11-INDEX($BH$13:$BH$28,$BL24))*24)</f>
        <v>0</v>
      </c>
      <c r="BN24" t="str">
        <f t="shared" si="8"/>
        <v/>
      </c>
      <c r="BO24">
        <f t="shared" si="9"/>
        <v>0</v>
      </c>
      <c r="BP24" t="str">
        <f t="shared" si="10"/>
        <v/>
      </c>
      <c r="BQ24">
        <f t="shared" si="11"/>
        <v>0</v>
      </c>
      <c r="BR24">
        <f>COUNTIF($CD$128:$CD$151,"?*")</f>
        <v>0</v>
      </c>
      <c r="BS24">
        <f>SUMIF($BL$13:$BL$28,12,$BR$13:$BR$28)</f>
        <v>0</v>
      </c>
      <c r="CL24">
        <f>IF($C24="",0,N(IFERROR(INDEX(Catalogo!$N$6:$N$125,MATCH($C24,Catalogo!$C$6:$C$125,0)),0)))</f>
        <v>0</v>
      </c>
      <c r="CM24">
        <f>IF($C24="",0,N(IFERROR(INDEX(Catalogo!$P$6:$P$125,MATCH($C24,Catalogo!$C$6:$C$125,0)),0)))</f>
        <v>0</v>
      </c>
      <c r="CN24">
        <f>IF($C24="",0,N(IFERROR(INDEX(Catalogo!$Q$6:$Q$125,MATCH($C24,Catalogo!$C$6:$C$125,0)),0)))</f>
        <v>0</v>
      </c>
      <c r="CO24">
        <f>IF($C24="",0,IF(OR($AD24="Espacio libre",$AD24="Espacio reservado"),0,IF(IFERROR(INDEX(Catalogo!$N$6:$N$125,MATCH($C24,Catalogo!$C$6:$C$125,0))="",TRUE),1,0)))</f>
        <v>0</v>
      </c>
    </row>
    <row r="25" spans="2:93" ht="14" customHeight="1" x14ac:dyDescent="0.45">
      <c r="B25" s="9">
        <v>13</v>
      </c>
      <c r="C25" s="47" t="s">
        <v>174</v>
      </c>
      <c r="D25" s="38"/>
      <c r="E25" s="39"/>
      <c r="F25" s="48" t="str">
        <f>IF($C25="","",IFERROR(INDEX(Catalogo!$E$6:$E$125,MATCH($C25,Catalogo!$C$6:$C$125,0)),""))</f>
        <v>AXIS S1232 Rack</v>
      </c>
      <c r="G25" s="39"/>
      <c r="H25" s="9">
        <f>IF($C25="","",N(IFERROR(INDEX(Catalogo!$F$6:$F$125,MATCH($C25,Catalogo!$C$6:$C$125,0)),"")))</f>
        <v>1</v>
      </c>
      <c r="I25" s="9" t="str">
        <f>IF($AD25&lt;&gt;"Patch panel cobre","",IFERROR(INDEX(Catalogo!$G$6:$G$125,MATCH($C25,Catalogo!$C$6:$C$125,0)),""))</f>
        <v/>
      </c>
      <c r="J25" s="9">
        <f>IF(OR($C25="",$H25=0),"",$AR$5-SUM($H$13:H24))</f>
        <v>27</v>
      </c>
      <c r="K25" s="9">
        <f t="shared" si="0"/>
        <v>27</v>
      </c>
      <c r="L25" s="9" t="str">
        <f t="shared" si="1"/>
        <v/>
      </c>
      <c r="M25" s="6"/>
      <c r="N25" s="6"/>
      <c r="O25" s="12" t="str">
        <f t="shared" si="2"/>
        <v/>
      </c>
      <c r="P25" s="37" t="s">
        <v>19</v>
      </c>
      <c r="Q25" s="39"/>
      <c r="R25" s="40"/>
      <c r="S25" s="13">
        <v>33</v>
      </c>
      <c r="T25" s="49" t="str">
        <f>IF($AM25=0,"",IF(INDEX($J$13:$J$42,$AM25)=33,INDEX($AH$13:$AH$42,$AM25),""))</f>
        <v>Patch panel 1B-AC · 24 p · C</v>
      </c>
      <c r="U25" s="38"/>
      <c r="V25" s="39"/>
      <c r="W25" s="13">
        <v>33</v>
      </c>
      <c r="X25" s="40"/>
      <c r="AD25" t="str">
        <f>IF($C25="","",IFERROR(INDEX(Catalogo!$B$6:$B$125,MATCH($C25,Catalogo!$C$6:$C$125,0)),""))</f>
        <v>CCTV</v>
      </c>
      <c r="AE25" t="str">
        <f>IF($AD25="Patch panel cobre",COUNTIF($AD$13:$AD25,"Patch panel cobre"),"")</f>
        <v/>
      </c>
      <c r="AH25" t="str">
        <f t="shared" si="3"/>
        <v>Grabador AXIS S1232 Rack 1U (16 TB, 64 cámaras)</v>
      </c>
      <c r="AM25">
        <f>IFERROR(MATCH(1,INDEX(($K$13:$K$42&lt;=33)*($J$13:$J$42&gt;=33),0),0),0)</f>
        <v>8</v>
      </c>
      <c r="AN25" t="str">
        <f>IF(33&gt;$AR$5,"Fuera",IF($AM25=0,"",INDEX($AD$13:$AD$42,$AM25)))</f>
        <v>Patch panel cobre</v>
      </c>
      <c r="AQ25">
        <f>IF(OR(Proyecto!$C25="",Proyecto!$C25="-"),0,COUNTIF($CA$72:$CA$95,Proyecto!$C25)+COUNTIF($CB$72:$CB$95,Proyecto!$C25)+COUNTIF($CC$72:$CC$95,Proyecto!$C25)+COUNTIF($CD$72:$CD$95,Proyecto!$C25)+COUNTIF($CA$100:$CA$123,Proyecto!$C25)+COUNTIF($CB$100:$CB$123,Proyecto!$C25)+COUNTIF($CC$100:$CC$123,Proyecto!$C25)+COUNTIF($CD$100:$CD$123,Proyecto!$C25)+COUNTIF($CA$128:$CA$151,Proyecto!$C25)+COUNTIF($CB$128:$CB$151,Proyecto!$C25)+COUNTIF($CC$128:$CC$151,Proyecto!$C25)+COUNTIF($CD$128:$CD$151,Proyecto!$C25)+COUNTIF($CA$156:$CA$179,Proyecto!$C25)+COUNTIF($CB$156:$CB$179,Proyecto!$C25)+COUNTIF($CC$156:$CC$179,Proyecto!$C25)+COUNTIF($CD$156:$CD$179,Proyecto!$C25))</f>
        <v>0</v>
      </c>
      <c r="BA25">
        <f>IF(OR(Catalogo!$C25="",Catalogo!$B25="Espacio libre",Catalogo!$B25="Espacio reservado"),0,COUNTIF($C$13:$C$42,Catalogo!$C25)+IF($E$7=Catalogo!$C25,N($K$7),0)+IF($E$8=Catalogo!$C25,N($N$8),0)+IF(Proyecto!$D$12=Catalogo!$C25,$AQ$4,0)+SUMIF($C$49:$C$58,Catalogo!$C25,$K$49:$K$58))</f>
        <v>0</v>
      </c>
      <c r="BD25" t="str">
        <f>IFERROR(MATCH(13,$AE$13:$AE$42,0),"")</f>
        <v/>
      </c>
      <c r="BE25" t="str">
        <f t="shared" si="4"/>
        <v/>
      </c>
      <c r="BF25">
        <f t="shared" si="5"/>
        <v>0</v>
      </c>
      <c r="BG25">
        <f t="shared" si="6"/>
        <v>0</v>
      </c>
      <c r="BH25">
        <f>SUM($BG$13:$BG24)</f>
        <v>4</v>
      </c>
      <c r="BI25" t="str">
        <f t="shared" si="7"/>
        <v/>
      </c>
      <c r="BJ25" cm="1">
        <f t="array" ref="BJ25">IF($BD25="",0,IF(ISNUMBER(SEARCH(":",$BI25)),MIN($BF25,SUM(--MID(_xlfn.TEXTSPLIT($BI25,","),FIND(":",_xlfn.TEXTSPLIT($BI25,","))+1,9))),IF(INDEX($N$13:$N$42,$BD25)="",$BF25,MIN($BF25,N(INDEX($N$13:$N$42,$BD25))))))</f>
        <v>0</v>
      </c>
      <c r="BL25" t="str">
        <f>IF(13&gt;$BK$12,"",MATCH(12,$BH$13:$BH$28,1))</f>
        <v/>
      </c>
      <c r="BM25">
        <f>IF($BL25="",0,(12-INDEX($BH$13:$BH$28,$BL25))*24)</f>
        <v>0</v>
      </c>
      <c r="BN25" t="str">
        <f t="shared" si="8"/>
        <v/>
      </c>
      <c r="BO25">
        <f t="shared" si="9"/>
        <v>0</v>
      </c>
      <c r="BP25" t="str">
        <f t="shared" si="10"/>
        <v/>
      </c>
      <c r="BQ25">
        <f t="shared" si="11"/>
        <v>0</v>
      </c>
      <c r="BR25">
        <f>COUNTIF($CA$156:$CA$179,"?*")</f>
        <v>0</v>
      </c>
      <c r="BS25">
        <f>SUMIF($BL$13:$BL$28,13,$BR$13:$BR$28)</f>
        <v>0</v>
      </c>
      <c r="CL25">
        <f>IF($C25="",0,N(IFERROR(INDEX(Catalogo!$N$6:$N$125,MATCH($C25,Catalogo!$C$6:$C$125,0)),0)))</f>
        <v>150</v>
      </c>
      <c r="CM25">
        <f>IF($C25="",0,N(IFERROR(INDEX(Catalogo!$P$6:$P$125,MATCH($C25,Catalogo!$C$6:$C$125,0)),0)))</f>
        <v>10</v>
      </c>
      <c r="CN25">
        <f>IF($C25="",0,N(IFERROR(INDEX(Catalogo!$Q$6:$Q$125,MATCH($C25,Catalogo!$C$6:$C$125,0)),0)))</f>
        <v>0</v>
      </c>
      <c r="CO25">
        <f>IF($C25="",0,IF(OR($AD25="Espacio libre",$AD25="Espacio reservado"),0,IF(IFERROR(INDEX(Catalogo!$N$6:$N$125,MATCH($C25,Catalogo!$C$6:$C$125,0))="",TRUE),1,0)))</f>
        <v>0</v>
      </c>
    </row>
    <row r="26" spans="2:93" ht="14" customHeight="1" x14ac:dyDescent="0.45">
      <c r="B26" s="9">
        <v>14</v>
      </c>
      <c r="C26" s="47" t="s">
        <v>327</v>
      </c>
      <c r="D26" s="38"/>
      <c r="E26" s="39"/>
      <c r="F26" s="48" t="str">
        <f>IF($C26="","",IFERROR(INDEX(Catalogo!$E$6:$E$125,MATCH($C26,Catalogo!$C$6:$C$125,0)),""))</f>
        <v>TLBP1S-V</v>
      </c>
      <c r="G26" s="39"/>
      <c r="H26" s="9">
        <f>IF($C26="","",N(IFERROR(INDEX(Catalogo!$F$6:$F$125,MATCH($C26,Catalogo!$C$6:$C$125,0)),"")))</f>
        <v>1</v>
      </c>
      <c r="I26" s="9" t="str">
        <f>IF($AD26&lt;&gt;"Patch panel cobre","",IFERROR(INDEX(Catalogo!$G$6:$G$125,MATCH($C26,Catalogo!$C$6:$C$125,0)),""))</f>
        <v/>
      </c>
      <c r="J26" s="9">
        <f>IF(OR($C26="",$H26=0),"",$AR$5-SUM($H$13:H25))</f>
        <v>26</v>
      </c>
      <c r="K26" s="9">
        <f t="shared" si="0"/>
        <v>26</v>
      </c>
      <c r="L26" s="9" t="str">
        <f t="shared" si="1"/>
        <v/>
      </c>
      <c r="M26" s="6"/>
      <c r="N26" s="6"/>
      <c r="O26" s="12" t="str">
        <f t="shared" si="2"/>
        <v/>
      </c>
      <c r="P26" s="37"/>
      <c r="Q26" s="39"/>
      <c r="R26" s="40"/>
      <c r="S26" s="13">
        <v>32</v>
      </c>
      <c r="T26" s="49" t="str">
        <f>IF($AM26=0,"",IF(INDEX($J$13:$J$42,$AM26)=32,INDEX($AH$13:$AH$42,$AM26),""))</f>
        <v>Switch Cisco 24p 1G PoE+ (C9200L-24P-4G)</v>
      </c>
      <c r="U26" s="38"/>
      <c r="V26" s="39"/>
      <c r="W26" s="13">
        <v>32</v>
      </c>
      <c r="X26" s="40"/>
      <c r="AD26" t="str">
        <f>IF($C26="","",IFERROR(INDEX(Catalogo!$B$6:$B$125,MATCH($C26,Catalogo!$C$6:$C$125,0)),""))</f>
        <v>Tapa ciega</v>
      </c>
      <c r="AE26" t="str">
        <f>IF($AD26="Patch panel cobre",COUNTIF($AD$13:$AD26,"Patch panel cobre"),"")</f>
        <v/>
      </c>
      <c r="AH26" t="str">
        <f t="shared" si="3"/>
        <v>Tapa ciega 1RU sin herramienta</v>
      </c>
      <c r="AM26">
        <f>IFERROR(MATCH(1,INDEX(($K$13:$K$42&lt;=32)*($J$13:$J$42&gt;=32),0),0),0)</f>
        <v>9</v>
      </c>
      <c r="AN26" t="str">
        <f>IF(32&gt;$AR$5,"Fuera",IF($AM26=0,"",INDEX($AD$13:$AD$42,$AM26)))</f>
        <v>Switch</v>
      </c>
      <c r="AQ26">
        <f>IF(OR(Proyecto!$C26="",Proyecto!$C26="-"),0,COUNTIF($CA$72:$CA$95,Proyecto!$C26)+COUNTIF($CB$72:$CB$95,Proyecto!$C26)+COUNTIF($CC$72:$CC$95,Proyecto!$C26)+COUNTIF($CD$72:$CD$95,Proyecto!$C26)+COUNTIF($CA$100:$CA$123,Proyecto!$C26)+COUNTIF($CB$100:$CB$123,Proyecto!$C26)+COUNTIF($CC$100:$CC$123,Proyecto!$C26)+COUNTIF($CD$100:$CD$123,Proyecto!$C26)+COUNTIF($CA$128:$CA$151,Proyecto!$C26)+COUNTIF($CB$128:$CB$151,Proyecto!$C26)+COUNTIF($CC$128:$CC$151,Proyecto!$C26)+COUNTIF($CD$128:$CD$151,Proyecto!$C26)+COUNTIF($CA$156:$CA$179,Proyecto!$C26)+COUNTIF($CB$156:$CB$179,Proyecto!$C26)+COUNTIF($CC$156:$CC$179,Proyecto!$C26)+COUNTIF($CD$156:$CD$179,Proyecto!$C26))</f>
        <v>0</v>
      </c>
      <c r="BA26">
        <f>IF(OR(Catalogo!$C26="",Catalogo!$B26="Espacio libre",Catalogo!$B26="Espacio reservado"),0,COUNTIF($C$13:$C$42,Catalogo!$C26)+IF($E$7=Catalogo!$C26,N($K$7),0)+IF($E$8=Catalogo!$C26,N($N$8),0)+IF(Proyecto!$D$12=Catalogo!$C26,$AQ$4,0)+SUMIF($C$49:$C$58,Catalogo!$C26,$K$49:$K$58))</f>
        <v>0</v>
      </c>
      <c r="BD26" t="str">
        <f>IFERROR(MATCH(14,$AE$13:$AE$42,0),"")</f>
        <v/>
      </c>
      <c r="BE26" t="str">
        <f t="shared" si="4"/>
        <v/>
      </c>
      <c r="BF26">
        <f t="shared" si="5"/>
        <v>0</v>
      </c>
      <c r="BG26">
        <f t="shared" si="6"/>
        <v>0</v>
      </c>
      <c r="BH26">
        <f>SUM($BG$13:$BG25)</f>
        <v>4</v>
      </c>
      <c r="BI26" t="str">
        <f t="shared" si="7"/>
        <v/>
      </c>
      <c r="BJ26" cm="1">
        <f t="array" ref="BJ26">IF($BD26="",0,IF(ISNUMBER(SEARCH(":",$BI26)),MIN($BF26,SUM(--MID(_xlfn.TEXTSPLIT($BI26,","),FIND(":",_xlfn.TEXTSPLIT($BI26,","))+1,9))),IF(INDEX($N$13:$N$42,$BD26)="",$BF26,MIN($BF26,N(INDEX($N$13:$N$42,$BD26))))))</f>
        <v>0</v>
      </c>
      <c r="BL26" t="str">
        <f>IF(14&gt;$BK$12,"",MATCH(13,$BH$13:$BH$28,1))</f>
        <v/>
      </c>
      <c r="BM26">
        <f>IF($BL26="",0,(13-INDEX($BH$13:$BH$28,$BL26))*24)</f>
        <v>0</v>
      </c>
      <c r="BN26" t="str">
        <f t="shared" si="8"/>
        <v/>
      </c>
      <c r="BO26">
        <f t="shared" si="9"/>
        <v>0</v>
      </c>
      <c r="BP26" t="str">
        <f t="shared" si="10"/>
        <v/>
      </c>
      <c r="BQ26">
        <f t="shared" si="11"/>
        <v>0</v>
      </c>
      <c r="BR26">
        <f>COUNTIF($CB$156:$CB$179,"?*")</f>
        <v>0</v>
      </c>
      <c r="BS26">
        <f>SUMIF($BL$13:$BL$28,14,$BR$13:$BR$28)</f>
        <v>0</v>
      </c>
      <c r="CL26">
        <f>IF($C26="",0,N(IFERROR(INDEX(Catalogo!$N$6:$N$125,MATCH($C26,Catalogo!$C$6:$C$125,0)),0)))</f>
        <v>0</v>
      </c>
      <c r="CM26">
        <f>IF($C26="",0,N(IFERROR(INDEX(Catalogo!$P$6:$P$125,MATCH($C26,Catalogo!$C$6:$C$125,0)),0)))</f>
        <v>0</v>
      </c>
      <c r="CN26">
        <f>IF($C26="",0,N(IFERROR(INDEX(Catalogo!$Q$6:$Q$125,MATCH($C26,Catalogo!$C$6:$C$125,0)),0)))</f>
        <v>0</v>
      </c>
      <c r="CO26">
        <f>IF($C26="",0,IF(OR($AD26="Espacio libre",$AD26="Espacio reservado"),0,IF(IFERROR(INDEX(Catalogo!$N$6:$N$125,MATCH($C26,Catalogo!$C$6:$C$125,0))="",TRUE),1,0)))</f>
        <v>0</v>
      </c>
    </row>
    <row r="27" spans="2:93" ht="14" customHeight="1" x14ac:dyDescent="0.45">
      <c r="B27" s="9">
        <v>15</v>
      </c>
      <c r="C27" s="47" t="s">
        <v>350</v>
      </c>
      <c r="D27" s="38"/>
      <c r="E27" s="39"/>
      <c r="F27" s="48" t="str">
        <f>IF($C27="","",IFERROR(INDEX(Catalogo!$E$6:$E$125,MATCH($C27,Catalogo!$C$6:$C$125,0)),""))</f>
        <v>Por definir</v>
      </c>
      <c r="G27" s="39"/>
      <c r="H27" s="9">
        <f>IF($C27="","",N(IFERROR(INDEX(Catalogo!$F$6:$F$125,MATCH($C27,Catalogo!$C$6:$C$125,0)),"")))</f>
        <v>1</v>
      </c>
      <c r="I27" s="9" t="str">
        <f>IF($AD27&lt;&gt;"Patch panel cobre","",IFERROR(INDEX(Catalogo!$G$6:$G$125,MATCH($C27,Catalogo!$C$6:$C$125,0)),""))</f>
        <v/>
      </c>
      <c r="J27" s="9">
        <f>IF(OR($C27="",$H27=0),"",$AR$5-SUM($H$13:H26))</f>
        <v>25</v>
      </c>
      <c r="K27" s="9">
        <f t="shared" si="0"/>
        <v>25</v>
      </c>
      <c r="L27" s="9" t="str">
        <f t="shared" si="1"/>
        <v/>
      </c>
      <c r="M27" s="6"/>
      <c r="N27" s="6"/>
      <c r="O27" s="12" t="str">
        <f t="shared" si="2"/>
        <v/>
      </c>
      <c r="P27" s="37"/>
      <c r="Q27" s="39"/>
      <c r="R27" s="40"/>
      <c r="S27" s="13">
        <v>31</v>
      </c>
      <c r="T27" s="49" t="str">
        <f>IF($AM27=0,"",IF(INDEX($J$13:$J$42,$AM27)=31,INDEX($AH$13:$AH$42,$AM27),""))</f>
        <v>Org. horizontal 2RU frontal/posterior con radio de curvatura (NetRunner)</v>
      </c>
      <c r="U27" s="38"/>
      <c r="V27" s="39"/>
      <c r="W27" s="13">
        <v>31</v>
      </c>
      <c r="X27" s="40"/>
      <c r="AD27" t="str">
        <f>IF($C27="","",IFERROR(INDEX(Catalogo!$B$6:$B$125,MATCH($C27,Catalogo!$C$6:$C$125,0)),""))</f>
        <v>Servidor</v>
      </c>
      <c r="AE27" t="str">
        <f>IF($AD27="Patch panel cobre",COUNTIF($AD$13:$AD27,"Patch panel cobre"),"")</f>
        <v/>
      </c>
      <c r="AH27" t="str">
        <f t="shared" si="3"/>
        <v>Servidor 1RU (disco 2 TB)</v>
      </c>
      <c r="AM27">
        <f>IFERROR(MATCH(1,INDEX(($K$13:$K$42&lt;=31)*($J$13:$J$42&gt;=31),0),0),0)</f>
        <v>10</v>
      </c>
      <c r="AN27" t="str">
        <f>IF(31&gt;$AR$5,"Fuera",IF($AM27=0,"",INDEX($AD$13:$AD$42,$AM27)))</f>
        <v>Organizador horizontal</v>
      </c>
      <c r="AQ27">
        <f>IF(OR(Proyecto!$C27="",Proyecto!$C27="-"),0,COUNTIF($CA$72:$CA$95,Proyecto!$C27)+COUNTIF($CB$72:$CB$95,Proyecto!$C27)+COUNTIF($CC$72:$CC$95,Proyecto!$C27)+COUNTIF($CD$72:$CD$95,Proyecto!$C27)+COUNTIF($CA$100:$CA$123,Proyecto!$C27)+COUNTIF($CB$100:$CB$123,Proyecto!$C27)+COUNTIF($CC$100:$CC$123,Proyecto!$C27)+COUNTIF($CD$100:$CD$123,Proyecto!$C27)+COUNTIF($CA$128:$CA$151,Proyecto!$C27)+COUNTIF($CB$128:$CB$151,Proyecto!$C27)+COUNTIF($CC$128:$CC$151,Proyecto!$C27)+COUNTIF($CD$128:$CD$151,Proyecto!$C27)+COUNTIF($CA$156:$CA$179,Proyecto!$C27)+COUNTIF($CB$156:$CB$179,Proyecto!$C27)+COUNTIF($CC$156:$CC$179,Proyecto!$C27)+COUNTIF($CD$156:$CD$179,Proyecto!$C27))</f>
        <v>0</v>
      </c>
      <c r="BA27">
        <f>IF(OR(Catalogo!$C27="",Catalogo!$B27="Espacio libre",Catalogo!$B27="Espacio reservado"),0,COUNTIF($C$13:$C$42,Catalogo!$C27)+IF($E$7=Catalogo!$C27,N($K$7),0)+IF($E$8=Catalogo!$C27,N($N$8),0)+IF(Proyecto!$D$12=Catalogo!$C27,$AQ$4,0)+SUMIF($C$49:$C$58,Catalogo!$C27,$K$49:$K$58))</f>
        <v>0</v>
      </c>
      <c r="BD27" t="str">
        <f>IFERROR(MATCH(15,$AE$13:$AE$42,0),"")</f>
        <v/>
      </c>
      <c r="BE27" t="str">
        <f t="shared" si="4"/>
        <v/>
      </c>
      <c r="BF27">
        <f t="shared" si="5"/>
        <v>0</v>
      </c>
      <c r="BG27">
        <f t="shared" si="6"/>
        <v>0</v>
      </c>
      <c r="BH27">
        <f>SUM($BG$13:$BG26)</f>
        <v>4</v>
      </c>
      <c r="BI27" t="str">
        <f t="shared" si="7"/>
        <v/>
      </c>
      <c r="BJ27" cm="1">
        <f t="array" ref="BJ27">IF($BD27="",0,IF(ISNUMBER(SEARCH(":",$BI27)),MIN($BF27,SUM(--MID(_xlfn.TEXTSPLIT($BI27,","),FIND(":",_xlfn.TEXTSPLIT($BI27,","))+1,9))),IF(INDEX($N$13:$N$42,$BD27)="",$BF27,MIN($BF27,N(INDEX($N$13:$N$42,$BD27))))))</f>
        <v>0</v>
      </c>
      <c r="BL27" t="str">
        <f>IF(15&gt;$BK$12,"",MATCH(14,$BH$13:$BH$28,1))</f>
        <v/>
      </c>
      <c r="BM27">
        <f>IF($BL27="",0,(14-INDEX($BH$13:$BH$28,$BL27))*24)</f>
        <v>0</v>
      </c>
      <c r="BN27" t="str">
        <f t="shared" si="8"/>
        <v/>
      </c>
      <c r="BO27">
        <f t="shared" si="9"/>
        <v>0</v>
      </c>
      <c r="BP27" t="str">
        <f t="shared" si="10"/>
        <v/>
      </c>
      <c r="BQ27">
        <f t="shared" si="11"/>
        <v>0</v>
      </c>
      <c r="BR27">
        <f>COUNTIF($CC$156:$CC$179,"?*")</f>
        <v>0</v>
      </c>
      <c r="BS27">
        <f>SUMIF($BL$13:$BL$28,15,$BR$13:$BR$28)</f>
        <v>0</v>
      </c>
      <c r="CL27">
        <f>IF($C27="",0,N(IFERROR(INDEX(Catalogo!$N$6:$N$125,MATCH($C27,Catalogo!$C$6:$C$125,0)),0)))</f>
        <v>0</v>
      </c>
      <c r="CM27">
        <f>IF($C27="",0,N(IFERROR(INDEX(Catalogo!$P$6:$P$125,MATCH($C27,Catalogo!$C$6:$C$125,0)),0)))</f>
        <v>0</v>
      </c>
      <c r="CN27">
        <f>IF($C27="",0,N(IFERROR(INDEX(Catalogo!$Q$6:$Q$125,MATCH($C27,Catalogo!$C$6:$C$125,0)),0)))</f>
        <v>0</v>
      </c>
      <c r="CO27">
        <f>IF($C27="",0,IF(OR($AD27="Espacio libre",$AD27="Espacio reservado"),0,IF(IFERROR(INDEX(Catalogo!$N$6:$N$125,MATCH($C27,Catalogo!$C$6:$C$125,0))="",TRUE),1,0)))</f>
        <v>1</v>
      </c>
    </row>
    <row r="28" spans="2:93" ht="14" customHeight="1" x14ac:dyDescent="0.45">
      <c r="B28" s="9">
        <v>16</v>
      </c>
      <c r="C28" s="47" t="s">
        <v>327</v>
      </c>
      <c r="D28" s="38"/>
      <c r="E28" s="39"/>
      <c r="F28" s="48" t="str">
        <f>IF($C28="","",IFERROR(INDEX(Catalogo!$E$6:$E$125,MATCH($C28,Catalogo!$C$6:$C$125,0)),""))</f>
        <v>TLBP1S-V</v>
      </c>
      <c r="G28" s="39"/>
      <c r="H28" s="9">
        <f>IF($C28="","",N(IFERROR(INDEX(Catalogo!$F$6:$F$125,MATCH($C28,Catalogo!$C$6:$C$125,0)),"")))</f>
        <v>1</v>
      </c>
      <c r="I28" s="9" t="str">
        <f>IF($AD28&lt;&gt;"Patch panel cobre","",IFERROR(INDEX(Catalogo!$G$6:$G$125,MATCH($C28,Catalogo!$C$6:$C$125,0)),""))</f>
        <v/>
      </c>
      <c r="J28" s="9">
        <f>IF(OR($C28="",$H28=0),"",$AR$5-SUM($H$13:H27))</f>
        <v>24</v>
      </c>
      <c r="K28" s="9">
        <f t="shared" si="0"/>
        <v>24</v>
      </c>
      <c r="L28" s="9" t="str">
        <f t="shared" si="1"/>
        <v/>
      </c>
      <c r="M28" s="6"/>
      <c r="N28" s="6"/>
      <c r="O28" s="12" t="str">
        <f t="shared" si="2"/>
        <v/>
      </c>
      <c r="P28" s="37"/>
      <c r="Q28" s="39"/>
      <c r="R28" s="40"/>
      <c r="S28" s="13">
        <v>30</v>
      </c>
      <c r="T28" s="49" t="str">
        <f>IF($AM28=0,"",IF(INDEX($J$13:$J$42,$AM28)=30,INDEX($AH$13:$AH$42,$AM28),""))</f>
        <v/>
      </c>
      <c r="U28" s="38"/>
      <c r="V28" s="39"/>
      <c r="W28" s="13">
        <v>30</v>
      </c>
      <c r="X28" s="40"/>
      <c r="AD28" t="str">
        <f>IF($C28="","",IFERROR(INDEX(Catalogo!$B$6:$B$125,MATCH($C28,Catalogo!$C$6:$C$125,0)),""))</f>
        <v>Tapa ciega</v>
      </c>
      <c r="AE28" t="str">
        <f>IF($AD28="Patch panel cobre",COUNTIF($AD$13:$AD28,"Patch panel cobre"),"")</f>
        <v/>
      </c>
      <c r="AH28" t="str">
        <f t="shared" si="3"/>
        <v>Tapa ciega 1RU sin herramienta</v>
      </c>
      <c r="AM28">
        <f>IFERROR(MATCH(1,INDEX(($K$13:$K$42&lt;=30)*($J$13:$J$42&gt;=30),0),0),0)</f>
        <v>10</v>
      </c>
      <c r="AN28" t="str">
        <f>IF(30&gt;$AR$5,"Fuera",IF($AM28=0,"",INDEX($AD$13:$AD$42,$AM28)))</f>
        <v>Organizador horizontal</v>
      </c>
      <c r="BA28">
        <f>IF(OR(Catalogo!$C28="",Catalogo!$B28="Espacio libre",Catalogo!$B28="Espacio reservado"),0,COUNTIF($C$13:$C$42,Catalogo!$C28)+IF($E$7=Catalogo!$C28,N($K$7),0)+IF($E$8=Catalogo!$C28,N($N$8),0)+IF(Proyecto!$D$12=Catalogo!$C28,$AQ$4,0)+SUMIF($C$49:$C$58,Catalogo!$C28,$K$49:$K$58))</f>
        <v>0</v>
      </c>
      <c r="BD28" t="str">
        <f>IFERROR(MATCH(16,$AE$13:$AE$42,0),"")</f>
        <v/>
      </c>
      <c r="BE28" t="str">
        <f t="shared" si="4"/>
        <v/>
      </c>
      <c r="BF28">
        <f t="shared" si="5"/>
        <v>0</v>
      </c>
      <c r="BG28">
        <f t="shared" si="6"/>
        <v>0</v>
      </c>
      <c r="BH28">
        <f>SUM($BG$13:$BG27)</f>
        <v>4</v>
      </c>
      <c r="BI28" t="str">
        <f t="shared" si="7"/>
        <v/>
      </c>
      <c r="BJ28" cm="1">
        <f t="array" ref="BJ28">IF($BD28="",0,IF(ISNUMBER(SEARCH(":",$BI28)),MIN($BF28,SUM(--MID(_xlfn.TEXTSPLIT($BI28,","),FIND(":",_xlfn.TEXTSPLIT($BI28,","))+1,9))),IF(INDEX($N$13:$N$42,$BD28)="",$BF28,MIN($BF28,N(INDEX($N$13:$N$42,$BD28))))))</f>
        <v>0</v>
      </c>
      <c r="BL28" t="str">
        <f>IF(16&gt;$BK$12,"",MATCH(15,$BH$13:$BH$28,1))</f>
        <v/>
      </c>
      <c r="BM28">
        <f>IF($BL28="",0,(15-INDEX($BH$13:$BH$28,$BL28))*24)</f>
        <v>0</v>
      </c>
      <c r="BN28" t="str">
        <f t="shared" si="8"/>
        <v/>
      </c>
      <c r="BO28">
        <f t="shared" si="9"/>
        <v>0</v>
      </c>
      <c r="BP28" t="str">
        <f t="shared" si="10"/>
        <v/>
      </c>
      <c r="BQ28">
        <f t="shared" si="11"/>
        <v>0</v>
      </c>
      <c r="BR28">
        <f>COUNTIF($CD$156:$CD$179,"?*")</f>
        <v>0</v>
      </c>
      <c r="BS28">
        <f>SUMIF($BL$13:$BL$28,16,$BR$13:$BR$28)</f>
        <v>0</v>
      </c>
      <c r="CL28">
        <f>IF($C28="",0,N(IFERROR(INDEX(Catalogo!$N$6:$N$125,MATCH($C28,Catalogo!$C$6:$C$125,0)),0)))</f>
        <v>0</v>
      </c>
      <c r="CM28">
        <f>IF($C28="",0,N(IFERROR(INDEX(Catalogo!$P$6:$P$125,MATCH($C28,Catalogo!$C$6:$C$125,0)),0)))</f>
        <v>0</v>
      </c>
      <c r="CN28">
        <f>IF($C28="",0,N(IFERROR(INDEX(Catalogo!$Q$6:$Q$125,MATCH($C28,Catalogo!$C$6:$C$125,0)),0)))</f>
        <v>0</v>
      </c>
      <c r="CO28">
        <f>IF($C28="",0,IF(OR($AD28="Espacio libre",$AD28="Espacio reservado"),0,IF(IFERROR(INDEX(Catalogo!$N$6:$N$125,MATCH($C28,Catalogo!$C$6:$C$125,0))="",TRUE),1,0)))</f>
        <v>0</v>
      </c>
    </row>
    <row r="29" spans="2:93" ht="14" customHeight="1" x14ac:dyDescent="0.45">
      <c r="B29" s="9">
        <v>17</v>
      </c>
      <c r="C29" s="47" t="s">
        <v>320</v>
      </c>
      <c r="D29" s="38"/>
      <c r="E29" s="39"/>
      <c r="F29" s="48" t="str">
        <f>IF($C29="","",IFERROR(INDEX(Catalogo!$E$6:$E$125,MATCH($C29,Catalogo!$C$6:$C$125,0)),""))</f>
        <v>Por definir</v>
      </c>
      <c r="G29" s="39"/>
      <c r="H29" s="9">
        <f>IF($C29="","",N(IFERROR(INDEX(Catalogo!$F$6:$F$125,MATCH($C29,Catalogo!$C$6:$C$125,0)),"")))</f>
        <v>1</v>
      </c>
      <c r="I29" s="9" t="str">
        <f>IF($AD29&lt;&gt;"Patch panel cobre","",IFERROR(INDEX(Catalogo!$G$6:$G$125,MATCH($C29,Catalogo!$C$6:$C$125,0)),""))</f>
        <v/>
      </c>
      <c r="J29" s="9">
        <f>IF(OR($C29="",$H29=0),"",$AR$5-SUM($H$13:H28))</f>
        <v>23</v>
      </c>
      <c r="K29" s="9">
        <f t="shared" si="0"/>
        <v>23</v>
      </c>
      <c r="L29" s="9" t="str">
        <f t="shared" si="1"/>
        <v/>
      </c>
      <c r="M29" s="6"/>
      <c r="N29" s="6"/>
      <c r="O29" s="12" t="str">
        <f t="shared" si="2"/>
        <v/>
      </c>
      <c r="P29" s="37" t="s">
        <v>421</v>
      </c>
      <c r="Q29" s="39"/>
      <c r="R29" s="40"/>
      <c r="S29" s="13">
        <v>29</v>
      </c>
      <c r="T29" s="49" t="str">
        <f>IF($AM29=0,"",IF(INDEX($J$13:$J$42,$AM29)=29,INDEX($AH$13:$AH$42,$AM29),""))</f>
        <v>Espacio para switch 24 puertos 1RU</v>
      </c>
      <c r="U29" s="38"/>
      <c r="V29" s="39"/>
      <c r="W29" s="13">
        <v>29</v>
      </c>
      <c r="X29" s="40"/>
      <c r="AD29" t="str">
        <f>IF($C29="","",IFERROR(INDEX(Catalogo!$B$6:$B$125,MATCH($C29,Catalogo!$C$6:$C$125,0)),""))</f>
        <v>PDU</v>
      </c>
      <c r="AE29" t="str">
        <f>IF($AD29="Patch panel cobre",COUNTIF($AD$13:$AD29,"Patch panel cobre"),"")</f>
        <v/>
      </c>
      <c r="AH29" t="str">
        <f t="shared" si="3"/>
        <v>PDU horizontal 1RU 12 tomas 120 V 20 A</v>
      </c>
      <c r="AM29">
        <f>IFERROR(MATCH(1,INDEX(($K$13:$K$42&lt;=29)*($J$13:$J$42&gt;=29),0),0),0)</f>
        <v>11</v>
      </c>
      <c r="AN29" t="str">
        <f>IF(29&gt;$AR$5,"Fuera",IF($AM29=0,"",INDEX($AD$13:$AD$42,$AM29)))</f>
        <v>Espacio reservado</v>
      </c>
      <c r="BA29">
        <f>IF(OR(Catalogo!$C29="",Catalogo!$B29="Espacio libre",Catalogo!$B29="Espacio reservado"),0,COUNTIF($C$13:$C$42,Catalogo!$C29)+IF($E$7=Catalogo!$C29,N($K$7),0)+IF($E$8=Catalogo!$C29,N($N$8),0)+IF(Proyecto!$D$12=Catalogo!$C29,$AQ$4,0)+SUMIF($C$49:$C$58,Catalogo!$C29,$K$49:$K$58))</f>
        <v>0</v>
      </c>
      <c r="CL29">
        <f>IF($C29="",0,N(IFERROR(INDEX(Catalogo!$N$6:$N$125,MATCH($C29,Catalogo!$C$6:$C$125,0)),0)))</f>
        <v>0</v>
      </c>
      <c r="CM29">
        <f>IF($C29="",0,N(IFERROR(INDEX(Catalogo!$P$6:$P$125,MATCH($C29,Catalogo!$C$6:$C$125,0)),0)))</f>
        <v>3</v>
      </c>
      <c r="CN29">
        <f>IF($C29="",0,N(IFERROR(INDEX(Catalogo!$Q$6:$Q$125,MATCH($C29,Catalogo!$C$6:$C$125,0)),0)))</f>
        <v>0</v>
      </c>
      <c r="CO29">
        <f>IF($C29="",0,IF(OR($AD29="Espacio libre",$AD29="Espacio reservado"),0,IF(IFERROR(INDEX(Catalogo!$N$6:$N$125,MATCH($C29,Catalogo!$C$6:$C$125,0))="",TRUE),1,0)))</f>
        <v>0</v>
      </c>
    </row>
    <row r="30" spans="2:93" ht="14" customHeight="1" x14ac:dyDescent="0.45">
      <c r="B30" s="9">
        <v>18</v>
      </c>
      <c r="C30" s="47" t="s">
        <v>355</v>
      </c>
      <c r="D30" s="38"/>
      <c r="E30" s="39"/>
      <c r="F30" s="48" t="str">
        <f>IF($C30="","",IFERROR(INDEX(Catalogo!$E$6:$E$125,MATCH($C30,Catalogo!$C$6:$C$125,0)),""))</f>
        <v>SMT3000RM2U</v>
      </c>
      <c r="G30" s="39"/>
      <c r="H30" s="9">
        <f>IF($C30="","",N(IFERROR(INDEX(Catalogo!$F$6:$F$125,MATCH($C30,Catalogo!$C$6:$C$125,0)),"")))</f>
        <v>2</v>
      </c>
      <c r="I30" s="9" t="str">
        <f>IF($AD30&lt;&gt;"Patch panel cobre","",IFERROR(INDEX(Catalogo!$G$6:$G$125,MATCH($C30,Catalogo!$C$6:$C$125,0)),""))</f>
        <v/>
      </c>
      <c r="J30" s="9">
        <f>IF(OR($C30="",$H30=0),"",$AR$5-SUM($H$13:H29))</f>
        <v>22</v>
      </c>
      <c r="K30" s="9">
        <f t="shared" si="0"/>
        <v>21</v>
      </c>
      <c r="L30" s="9" t="str">
        <f t="shared" si="1"/>
        <v/>
      </c>
      <c r="M30" s="6"/>
      <c r="N30" s="6"/>
      <c r="O30" s="12" t="str">
        <f t="shared" si="2"/>
        <v/>
      </c>
      <c r="P30" s="37" t="s">
        <v>421</v>
      </c>
      <c r="Q30" s="39"/>
      <c r="R30" s="40"/>
      <c r="S30" s="13">
        <v>28</v>
      </c>
      <c r="T30" s="49" t="str">
        <f>IF($AM30=0,"",IF(INDEX($J$13:$J$42,$AM30)=28,INDEX($AH$13:$AH$42,$AM30),""))</f>
        <v>Espacio para switch 24 puertos 1RU</v>
      </c>
      <c r="U30" s="38"/>
      <c r="V30" s="39"/>
      <c r="W30" s="13">
        <v>28</v>
      </c>
      <c r="X30" s="40"/>
      <c r="AD30" t="str">
        <f>IF($C30="","",IFERROR(INDEX(Catalogo!$B$6:$B$125,MATCH($C30,Catalogo!$C$6:$C$125,0)),""))</f>
        <v>UPS</v>
      </c>
      <c r="AE30" t="str">
        <f>IF($AD30="Patch panel cobre",COUNTIF($AD$13:$AD30,"Patch panel cobre"),"")</f>
        <v/>
      </c>
      <c r="AH30" t="str">
        <f t="shared" si="3"/>
        <v>UPS 3 kVA 2RU, 120 V, 6 salidas (APC SMT3000RM2U)</v>
      </c>
      <c r="AM30">
        <f>IFERROR(MATCH(1,INDEX(($K$13:$K$42&lt;=28)*($J$13:$J$42&gt;=28),0),0),0)</f>
        <v>12</v>
      </c>
      <c r="AN30" t="str">
        <f>IF(28&gt;$AR$5,"Fuera",IF($AM30=0,"",INDEX($AD$13:$AD$42,$AM30)))</f>
        <v>Espacio reservado</v>
      </c>
      <c r="BA30">
        <f>IF(OR(Catalogo!$C30="",Catalogo!$B30="Espacio libre",Catalogo!$B30="Espacio reservado"),0,COUNTIF($C$13:$C$42,Catalogo!$C30)+IF($E$7=Catalogo!$C30,N($K$7),0)+IF($E$8=Catalogo!$C30,N($N$8),0)+IF(Proyecto!$D$12=Catalogo!$C30,$AQ$4,0)+SUMIF($C$49:$C$58,Catalogo!$C30,$K$49:$K$58))</f>
        <v>0</v>
      </c>
      <c r="CL30">
        <f>IF($C30="",0,N(IFERROR(INDEX(Catalogo!$N$6:$N$125,MATCH($C30,Catalogo!$C$6:$C$125,0)),0)))</f>
        <v>100</v>
      </c>
      <c r="CM30">
        <f>IF($C30="",0,N(IFERROR(INDEX(Catalogo!$P$6:$P$125,MATCH($C30,Catalogo!$C$6:$C$125,0)),0)))</f>
        <v>36</v>
      </c>
      <c r="CN30">
        <f>IF($C30="",0,N(IFERROR(INDEX(Catalogo!$Q$6:$Q$125,MATCH($C30,Catalogo!$C$6:$C$125,0)),0)))</f>
        <v>2700</v>
      </c>
      <c r="CO30">
        <f>IF($C30="",0,IF(OR($AD30="Espacio libre",$AD30="Espacio reservado"),0,IF(IFERROR(INDEX(Catalogo!$N$6:$N$125,MATCH($C30,Catalogo!$C$6:$C$125,0))="",TRUE),1,0)))</f>
        <v>0</v>
      </c>
    </row>
    <row r="31" spans="2:93" ht="14" customHeight="1" x14ac:dyDescent="0.45">
      <c r="B31" s="9">
        <v>19</v>
      </c>
      <c r="C31" s="47" t="s">
        <v>360</v>
      </c>
      <c r="D31" s="38"/>
      <c r="E31" s="39"/>
      <c r="F31" s="48" t="str">
        <f>IF($C31="","",IFERROR(INDEX(Catalogo!$E$6:$E$125,MATCH($C31,Catalogo!$C$6:$C$125,0)),""))</f>
        <v>RGRB19Y</v>
      </c>
      <c r="G31" s="39"/>
      <c r="H31" s="9">
        <f>IF($C31="","",N(IFERROR(INDEX(Catalogo!$F$6:$F$125,MATCH($C31,Catalogo!$C$6:$C$125,0)),"")))</f>
        <v>1</v>
      </c>
      <c r="I31" s="9" t="str">
        <f>IF($AD31&lt;&gt;"Patch panel cobre","",IFERROR(INDEX(Catalogo!$G$6:$G$125,MATCH($C31,Catalogo!$C$6:$C$125,0)),""))</f>
        <v/>
      </c>
      <c r="J31" s="9">
        <f>IF(OR($C31="",$H31=0),"",$AR$5-SUM($H$13:H30))</f>
        <v>20</v>
      </c>
      <c r="K31" s="9">
        <f t="shared" si="0"/>
        <v>20</v>
      </c>
      <c r="L31" s="9" t="str">
        <f t="shared" si="1"/>
        <v/>
      </c>
      <c r="M31" s="6"/>
      <c r="N31" s="6"/>
      <c r="O31" s="12" t="str">
        <f t="shared" si="2"/>
        <v/>
      </c>
      <c r="P31" s="37" t="s">
        <v>397</v>
      </c>
      <c r="Q31" s="39"/>
      <c r="R31" s="40"/>
      <c r="S31" s="13">
        <v>27</v>
      </c>
      <c r="T31" s="49" t="str">
        <f>IF($AM31=0,"",IF(INDEX($J$13:$J$42,$AM31)=27,INDEX($AH$13:$AH$42,$AM31),""))</f>
        <v>Grabador AXIS S1232 Rack 1U (16 TB, 64 cámaras)</v>
      </c>
      <c r="U31" s="38"/>
      <c r="V31" s="39"/>
      <c r="W31" s="13">
        <v>27</v>
      </c>
      <c r="X31" s="40"/>
      <c r="AD31" t="str">
        <f>IF($C31="","",IFERROR(INDEX(Catalogo!$B$6:$B$125,MATCH($C31,Catalogo!$C$6:$C$125,0)),""))</f>
        <v>Puesta a tierra</v>
      </c>
      <c r="AE31" t="str">
        <f>IF($AD31="Patch panel cobre",COUNTIF($AD$13:$AD31,"Patch panel cobre"),"")</f>
        <v/>
      </c>
      <c r="AH31" t="str">
        <f t="shared" si="3"/>
        <v>Barra de tierra para rack 19"</v>
      </c>
      <c r="AM31">
        <f>IFERROR(MATCH(1,INDEX(($K$13:$K$42&lt;=27)*($J$13:$J$42&gt;=27),0),0),0)</f>
        <v>13</v>
      </c>
      <c r="AN31" t="str">
        <f>IF(27&gt;$AR$5,"Fuera",IF($AM31=0,"",INDEX($AD$13:$AD$42,$AM31)))</f>
        <v>CCTV</v>
      </c>
      <c r="BA31">
        <f>IF(OR(Catalogo!$C31="",Catalogo!$B31="Espacio libre",Catalogo!$B31="Espacio reservado"),0,COUNTIF($C$13:$C$42,Catalogo!$C31)+IF($E$7=Catalogo!$C31,N($K$7),0)+IF($E$8=Catalogo!$C31,N($N$8),0)+IF(Proyecto!$D$12=Catalogo!$C31,$AQ$4,0)+SUMIF($C$49:$C$58,Catalogo!$C31,$K$49:$K$58))</f>
        <v>0</v>
      </c>
      <c r="CL31">
        <f>IF($C31="",0,N(IFERROR(INDEX(Catalogo!$N$6:$N$125,MATCH($C31,Catalogo!$C$6:$C$125,0)),0)))</f>
        <v>0</v>
      </c>
      <c r="CM31">
        <f>IF($C31="",0,N(IFERROR(INDEX(Catalogo!$P$6:$P$125,MATCH($C31,Catalogo!$C$6:$C$125,0)),0)))</f>
        <v>1</v>
      </c>
      <c r="CN31">
        <f>IF($C31="",0,N(IFERROR(INDEX(Catalogo!$Q$6:$Q$125,MATCH($C31,Catalogo!$C$6:$C$125,0)),0)))</f>
        <v>0</v>
      </c>
      <c r="CO31">
        <f>IF($C31="",0,IF(OR($AD31="Espacio libre",$AD31="Espacio reservado"),0,IF(IFERROR(INDEX(Catalogo!$N$6:$N$125,MATCH($C31,Catalogo!$C$6:$C$125,0))="",TRUE),1,0)))</f>
        <v>0</v>
      </c>
    </row>
    <row r="32" spans="2:93" ht="14" customHeight="1" x14ac:dyDescent="0.45">
      <c r="B32" s="9">
        <v>20</v>
      </c>
      <c r="C32" s="47"/>
      <c r="D32" s="38"/>
      <c r="E32" s="39"/>
      <c r="F32" s="48" t="str">
        <f>IF($C32="","",IFERROR(INDEX(Catalogo!$E$6:$E$125,MATCH($C32,Catalogo!$C$6:$C$125,0)),""))</f>
        <v/>
      </c>
      <c r="G32" s="39"/>
      <c r="H32" s="9" t="str">
        <f>IF($C32="","",N(IFERROR(INDEX(Catalogo!$F$6:$F$125,MATCH($C32,Catalogo!$C$6:$C$125,0)),"")))</f>
        <v/>
      </c>
      <c r="I32" s="9" t="str">
        <f>IF($AD32&lt;&gt;"Patch panel cobre","",IFERROR(INDEX(Catalogo!$G$6:$G$125,MATCH($C32,Catalogo!$C$6:$C$125,0)),""))</f>
        <v/>
      </c>
      <c r="J32" s="9" t="str">
        <f>IF(OR($C32="",$H32=0),"",$AR$5-SUM($H$13:H31))</f>
        <v/>
      </c>
      <c r="K32" s="9" t="str">
        <f t="shared" si="0"/>
        <v/>
      </c>
      <c r="L32" s="9" t="str">
        <f t="shared" si="1"/>
        <v/>
      </c>
      <c r="M32" s="6"/>
      <c r="N32" s="6"/>
      <c r="O32" s="12" t="str">
        <f t="shared" si="2"/>
        <v/>
      </c>
      <c r="P32" s="37"/>
      <c r="Q32" s="39"/>
      <c r="R32" s="40"/>
      <c r="S32" s="13">
        <v>26</v>
      </c>
      <c r="T32" s="49" t="str">
        <f>IF($AM32=0,"",IF(INDEX($J$13:$J$42,$AM32)=26,INDEX($AH$13:$AH$42,$AM32),""))</f>
        <v>Tapa ciega 1RU sin herramienta</v>
      </c>
      <c r="U32" s="38"/>
      <c r="V32" s="39"/>
      <c r="W32" s="13">
        <v>26</v>
      </c>
      <c r="X32" s="40"/>
      <c r="AD32" t="str">
        <f>IF($C32="","",IFERROR(INDEX(Catalogo!$B$6:$B$125,MATCH($C32,Catalogo!$C$6:$C$125,0)),""))</f>
        <v/>
      </c>
      <c r="AE32" t="str">
        <f>IF($AD32="Patch panel cobre",COUNTIF($AD$13:$AD32,"Patch panel cobre"),"")</f>
        <v/>
      </c>
      <c r="AH32" t="str">
        <f t="shared" si="3"/>
        <v/>
      </c>
      <c r="AM32">
        <f>IFERROR(MATCH(1,INDEX(($K$13:$K$42&lt;=26)*($J$13:$J$42&gt;=26),0),0),0)</f>
        <v>14</v>
      </c>
      <c r="AN32" t="str">
        <f>IF(26&gt;$AR$5,"Fuera",IF($AM32=0,"",INDEX($AD$13:$AD$42,$AM32)))</f>
        <v>Tapa ciega</v>
      </c>
      <c r="BA32">
        <f>IF(OR(Catalogo!$C32="",Catalogo!$B32="Espacio libre",Catalogo!$B32="Espacio reservado"),0,COUNTIF($C$13:$C$42,Catalogo!$C32)+IF($E$7=Catalogo!$C32,N($K$7),0)+IF($E$8=Catalogo!$C32,N($N$8),0)+IF(Proyecto!$D$12=Catalogo!$C32,$AQ$4,0)+SUMIF($C$49:$C$58,Catalogo!$C32,$K$49:$K$58))</f>
        <v>0</v>
      </c>
      <c r="CL32">
        <f>IF($C32="",0,N(IFERROR(INDEX(Catalogo!$N$6:$N$125,MATCH($C32,Catalogo!$C$6:$C$125,0)),0)))</f>
        <v>0</v>
      </c>
      <c r="CM32">
        <f>IF($C32="",0,N(IFERROR(INDEX(Catalogo!$P$6:$P$125,MATCH($C32,Catalogo!$C$6:$C$125,0)),0)))</f>
        <v>0</v>
      </c>
      <c r="CN32">
        <f>IF($C32="",0,N(IFERROR(INDEX(Catalogo!$Q$6:$Q$125,MATCH($C32,Catalogo!$C$6:$C$125,0)),0)))</f>
        <v>0</v>
      </c>
      <c r="CO32">
        <f>IF($C32="",0,IF(OR($AD32="Espacio libre",$AD32="Espacio reservado"),0,IF(IFERROR(INDEX(Catalogo!$N$6:$N$125,MATCH($C32,Catalogo!$C$6:$C$125,0))="",TRUE),1,0)))</f>
        <v>0</v>
      </c>
    </row>
    <row r="33" spans="2:93" ht="14" customHeight="1" x14ac:dyDescent="0.45">
      <c r="B33" s="9">
        <v>21</v>
      </c>
      <c r="C33" s="47"/>
      <c r="D33" s="38"/>
      <c r="E33" s="39"/>
      <c r="F33" s="48" t="str">
        <f>IF($C33="","",IFERROR(INDEX(Catalogo!$E$6:$E$125,MATCH($C33,Catalogo!$C$6:$C$125,0)),""))</f>
        <v/>
      </c>
      <c r="G33" s="39"/>
      <c r="H33" s="9" t="str">
        <f>IF($C33="","",N(IFERROR(INDEX(Catalogo!$F$6:$F$125,MATCH($C33,Catalogo!$C$6:$C$125,0)),"")))</f>
        <v/>
      </c>
      <c r="I33" s="9" t="str">
        <f>IF($AD33&lt;&gt;"Patch panel cobre","",IFERROR(INDEX(Catalogo!$G$6:$G$125,MATCH($C33,Catalogo!$C$6:$C$125,0)),""))</f>
        <v/>
      </c>
      <c r="J33" s="9" t="str">
        <f>IF(OR($C33="",$H33=0),"",$AR$5-SUM($H$13:H32))</f>
        <v/>
      </c>
      <c r="K33" s="9" t="str">
        <f t="shared" si="0"/>
        <v/>
      </c>
      <c r="L33" s="9" t="str">
        <f t="shared" si="1"/>
        <v/>
      </c>
      <c r="M33" s="6"/>
      <c r="N33" s="6"/>
      <c r="O33" s="12" t="str">
        <f t="shared" si="2"/>
        <v/>
      </c>
      <c r="P33" s="37"/>
      <c r="Q33" s="39"/>
      <c r="R33" s="40"/>
      <c r="S33" s="13">
        <v>25</v>
      </c>
      <c r="T33" s="49" t="str">
        <f>IF($AM33=0,"",IF(INDEX($J$13:$J$42,$AM33)=25,INDEX($AH$13:$AH$42,$AM33),""))</f>
        <v>Servidor 1RU (disco 2 TB)</v>
      </c>
      <c r="U33" s="38"/>
      <c r="V33" s="39"/>
      <c r="W33" s="13">
        <v>25</v>
      </c>
      <c r="X33" s="40"/>
      <c r="AD33" t="str">
        <f>IF($C33="","",IFERROR(INDEX(Catalogo!$B$6:$B$125,MATCH($C33,Catalogo!$C$6:$C$125,0)),""))</f>
        <v/>
      </c>
      <c r="AE33" t="str">
        <f>IF($AD33="Patch panel cobre",COUNTIF($AD$13:$AD33,"Patch panel cobre"),"")</f>
        <v/>
      </c>
      <c r="AH33" t="str">
        <f t="shared" si="3"/>
        <v/>
      </c>
      <c r="AM33">
        <f>IFERROR(MATCH(1,INDEX(($K$13:$K$42&lt;=25)*($J$13:$J$42&gt;=25),0),0),0)</f>
        <v>15</v>
      </c>
      <c r="AN33" t="str">
        <f>IF(25&gt;$AR$5,"Fuera",IF($AM33=0,"",INDEX($AD$13:$AD$42,$AM33)))</f>
        <v>Servidor</v>
      </c>
      <c r="BA33">
        <f>IF(OR(Catalogo!$C33="",Catalogo!$B33="Espacio libre",Catalogo!$B33="Espacio reservado"),0,COUNTIF($C$13:$C$42,Catalogo!$C33)+IF($E$7=Catalogo!$C33,N($K$7),0)+IF($E$8=Catalogo!$C33,N($N$8),0)+IF(Proyecto!$D$12=Catalogo!$C33,$AQ$4,0)+SUMIF($C$49:$C$58,Catalogo!$C33,$K$49:$K$58))</f>
        <v>0</v>
      </c>
      <c r="CL33">
        <f>IF($C33="",0,N(IFERROR(INDEX(Catalogo!$N$6:$N$125,MATCH($C33,Catalogo!$C$6:$C$125,0)),0)))</f>
        <v>0</v>
      </c>
      <c r="CM33">
        <f>IF($C33="",0,N(IFERROR(INDEX(Catalogo!$P$6:$P$125,MATCH($C33,Catalogo!$C$6:$C$125,0)),0)))</f>
        <v>0</v>
      </c>
      <c r="CN33">
        <f>IF($C33="",0,N(IFERROR(INDEX(Catalogo!$Q$6:$Q$125,MATCH($C33,Catalogo!$C$6:$C$125,0)),0)))</f>
        <v>0</v>
      </c>
      <c r="CO33">
        <f>IF($C33="",0,IF(OR($AD33="Espacio libre",$AD33="Espacio reservado"),0,IF(IFERROR(INDEX(Catalogo!$N$6:$N$125,MATCH($C33,Catalogo!$C$6:$C$125,0))="",TRUE),1,0)))</f>
        <v>0</v>
      </c>
    </row>
    <row r="34" spans="2:93" ht="14" customHeight="1" x14ac:dyDescent="0.45">
      <c r="B34" s="9">
        <v>22</v>
      </c>
      <c r="C34" s="47"/>
      <c r="D34" s="38"/>
      <c r="E34" s="39"/>
      <c r="F34" s="48" t="str">
        <f>IF($C34="","",IFERROR(INDEX(Catalogo!$E$6:$E$125,MATCH($C34,Catalogo!$C$6:$C$125,0)),""))</f>
        <v/>
      </c>
      <c r="G34" s="39"/>
      <c r="H34" s="9" t="str">
        <f>IF($C34="","",N(IFERROR(INDEX(Catalogo!$F$6:$F$125,MATCH($C34,Catalogo!$C$6:$C$125,0)),"")))</f>
        <v/>
      </c>
      <c r="I34" s="9" t="str">
        <f>IF($AD34&lt;&gt;"Patch panel cobre","",IFERROR(INDEX(Catalogo!$G$6:$G$125,MATCH($C34,Catalogo!$C$6:$C$125,0)),""))</f>
        <v/>
      </c>
      <c r="J34" s="9" t="str">
        <f>IF(OR($C34="",$H34=0),"",$AR$5-SUM($H$13:H33))</f>
        <v/>
      </c>
      <c r="K34" s="9" t="str">
        <f t="shared" si="0"/>
        <v/>
      </c>
      <c r="L34" s="9" t="str">
        <f t="shared" si="1"/>
        <v/>
      </c>
      <c r="M34" s="6"/>
      <c r="N34" s="6"/>
      <c r="O34" s="12" t="str">
        <f t="shared" si="2"/>
        <v/>
      </c>
      <c r="P34" s="37"/>
      <c r="Q34" s="39"/>
      <c r="R34" s="40"/>
      <c r="S34" s="13">
        <v>24</v>
      </c>
      <c r="T34" s="49" t="str">
        <f>IF($AM34=0,"",IF(INDEX($J$13:$J$42,$AM34)=24,INDEX($AH$13:$AH$42,$AM34),""))</f>
        <v>Tapa ciega 1RU sin herramienta</v>
      </c>
      <c r="U34" s="38"/>
      <c r="V34" s="39"/>
      <c r="W34" s="13">
        <v>24</v>
      </c>
      <c r="X34" s="40"/>
      <c r="AD34" t="str">
        <f>IF($C34="","",IFERROR(INDEX(Catalogo!$B$6:$B$125,MATCH($C34,Catalogo!$C$6:$C$125,0)),""))</f>
        <v/>
      </c>
      <c r="AE34" t="str">
        <f>IF($AD34="Patch panel cobre",COUNTIF($AD$13:$AD34,"Patch panel cobre"),"")</f>
        <v/>
      </c>
      <c r="AH34" t="str">
        <f t="shared" si="3"/>
        <v/>
      </c>
      <c r="AM34">
        <f>IFERROR(MATCH(1,INDEX(($K$13:$K$42&lt;=24)*($J$13:$J$42&gt;=24),0),0),0)</f>
        <v>16</v>
      </c>
      <c r="AN34" t="str">
        <f>IF(24&gt;$AR$5,"Fuera",IF($AM34=0,"",INDEX($AD$13:$AD$42,$AM34)))</f>
        <v>Tapa ciega</v>
      </c>
      <c r="BA34">
        <f>IF(OR(Catalogo!$C34="",Catalogo!$B34="Espacio libre",Catalogo!$B34="Espacio reservado"),0,COUNTIF($C$13:$C$42,Catalogo!$C34)+IF($E$7=Catalogo!$C34,N($K$7),0)+IF($E$8=Catalogo!$C34,N($N$8),0)+IF(Proyecto!$D$12=Catalogo!$C34,$AQ$4,0)+SUMIF($C$49:$C$58,Catalogo!$C34,$K$49:$K$58))</f>
        <v>0</v>
      </c>
      <c r="CL34">
        <f>IF($C34="",0,N(IFERROR(INDEX(Catalogo!$N$6:$N$125,MATCH($C34,Catalogo!$C$6:$C$125,0)),0)))</f>
        <v>0</v>
      </c>
      <c r="CM34">
        <f>IF($C34="",0,N(IFERROR(INDEX(Catalogo!$P$6:$P$125,MATCH($C34,Catalogo!$C$6:$C$125,0)),0)))</f>
        <v>0</v>
      </c>
      <c r="CN34">
        <f>IF($C34="",0,N(IFERROR(INDEX(Catalogo!$Q$6:$Q$125,MATCH($C34,Catalogo!$C$6:$C$125,0)),0)))</f>
        <v>0</v>
      </c>
      <c r="CO34">
        <f>IF($C34="",0,IF(OR($AD34="Espacio libre",$AD34="Espacio reservado"),0,IF(IFERROR(INDEX(Catalogo!$N$6:$N$125,MATCH($C34,Catalogo!$C$6:$C$125,0))="",TRUE),1,0)))</f>
        <v>0</v>
      </c>
    </row>
    <row r="35" spans="2:93" ht="14" customHeight="1" x14ac:dyDescent="0.45">
      <c r="B35" s="9">
        <v>23</v>
      </c>
      <c r="C35" s="47"/>
      <c r="D35" s="38"/>
      <c r="E35" s="39"/>
      <c r="F35" s="48" t="str">
        <f>IF($C35="","",IFERROR(INDEX(Catalogo!$E$6:$E$125,MATCH($C35,Catalogo!$C$6:$C$125,0)),""))</f>
        <v/>
      </c>
      <c r="G35" s="39"/>
      <c r="H35" s="9" t="str">
        <f>IF($C35="","",N(IFERROR(INDEX(Catalogo!$F$6:$F$125,MATCH($C35,Catalogo!$C$6:$C$125,0)),"")))</f>
        <v/>
      </c>
      <c r="I35" s="9" t="str">
        <f>IF($AD35&lt;&gt;"Patch panel cobre","",IFERROR(INDEX(Catalogo!$G$6:$G$125,MATCH($C35,Catalogo!$C$6:$C$125,0)),""))</f>
        <v/>
      </c>
      <c r="J35" s="9" t="str">
        <f>IF(OR($C35="",$H35=0),"",$AR$5-SUM($H$13:H34))</f>
        <v/>
      </c>
      <c r="K35" s="9" t="str">
        <f t="shared" si="0"/>
        <v/>
      </c>
      <c r="L35" s="9" t="str">
        <f t="shared" si="1"/>
        <v/>
      </c>
      <c r="M35" s="6"/>
      <c r="N35" s="6"/>
      <c r="O35" s="12" t="str">
        <f t="shared" si="2"/>
        <v/>
      </c>
      <c r="P35" s="37"/>
      <c r="Q35" s="39"/>
      <c r="R35" s="40"/>
      <c r="S35" s="13">
        <v>23</v>
      </c>
      <c r="T35" s="49" t="str">
        <f>IF($AM35=0,"",IF(INDEX($J$13:$J$42,$AM35)=23,INDEX($AH$13:$AH$42,$AM35),""))</f>
        <v>PDU horizontal 1RU 12 tomas 120 V 20 A</v>
      </c>
      <c r="U35" s="38"/>
      <c r="V35" s="39"/>
      <c r="W35" s="13">
        <v>23</v>
      </c>
      <c r="X35" s="40"/>
      <c r="AD35" t="str">
        <f>IF($C35="","",IFERROR(INDEX(Catalogo!$B$6:$B$125,MATCH($C35,Catalogo!$C$6:$C$125,0)),""))</f>
        <v/>
      </c>
      <c r="AE35" t="str">
        <f>IF($AD35="Patch panel cobre",COUNTIF($AD$13:$AD35,"Patch panel cobre"),"")</f>
        <v/>
      </c>
      <c r="AH35" t="str">
        <f t="shared" si="3"/>
        <v/>
      </c>
      <c r="AM35">
        <f>IFERROR(MATCH(1,INDEX(($K$13:$K$42&lt;=23)*($J$13:$J$42&gt;=23),0),0),0)</f>
        <v>17</v>
      </c>
      <c r="AN35" t="str">
        <f>IF(23&gt;$AR$5,"Fuera",IF($AM35=0,"",INDEX($AD$13:$AD$42,$AM35)))</f>
        <v>PDU</v>
      </c>
      <c r="BA35">
        <f>IF(OR(Catalogo!$C35="",Catalogo!$B35="Espacio libre",Catalogo!$B35="Espacio reservado"),0,COUNTIF($C$13:$C$42,Catalogo!$C35)+IF($E$7=Catalogo!$C35,N($K$7),0)+IF($E$8=Catalogo!$C35,N($N$8),0)+IF(Proyecto!$D$12=Catalogo!$C35,$AQ$4,0)+SUMIF($C$49:$C$58,Catalogo!$C35,$K$49:$K$58))</f>
        <v>0</v>
      </c>
      <c r="CL35">
        <f>IF($C35="",0,N(IFERROR(INDEX(Catalogo!$N$6:$N$125,MATCH($C35,Catalogo!$C$6:$C$125,0)),0)))</f>
        <v>0</v>
      </c>
      <c r="CM35">
        <f>IF($C35="",0,N(IFERROR(INDEX(Catalogo!$P$6:$P$125,MATCH($C35,Catalogo!$C$6:$C$125,0)),0)))</f>
        <v>0</v>
      </c>
      <c r="CN35">
        <f>IF($C35="",0,N(IFERROR(INDEX(Catalogo!$Q$6:$Q$125,MATCH($C35,Catalogo!$C$6:$C$125,0)),0)))</f>
        <v>0</v>
      </c>
      <c r="CO35">
        <f>IF($C35="",0,IF(OR($AD35="Espacio libre",$AD35="Espacio reservado"),0,IF(IFERROR(INDEX(Catalogo!$N$6:$N$125,MATCH($C35,Catalogo!$C$6:$C$125,0))="",TRUE),1,0)))</f>
        <v>0</v>
      </c>
    </row>
    <row r="36" spans="2:93" ht="14" customHeight="1" x14ac:dyDescent="0.45">
      <c r="B36" s="9">
        <v>24</v>
      </c>
      <c r="C36" s="47"/>
      <c r="D36" s="38"/>
      <c r="E36" s="39"/>
      <c r="F36" s="48" t="str">
        <f>IF($C36="","",IFERROR(INDEX(Catalogo!$E$6:$E$125,MATCH($C36,Catalogo!$C$6:$C$125,0)),""))</f>
        <v/>
      </c>
      <c r="G36" s="39"/>
      <c r="H36" s="9" t="str">
        <f>IF($C36="","",N(IFERROR(INDEX(Catalogo!$F$6:$F$125,MATCH($C36,Catalogo!$C$6:$C$125,0)),"")))</f>
        <v/>
      </c>
      <c r="I36" s="9" t="str">
        <f>IF($AD36&lt;&gt;"Patch panel cobre","",IFERROR(INDEX(Catalogo!$G$6:$G$125,MATCH($C36,Catalogo!$C$6:$C$125,0)),""))</f>
        <v/>
      </c>
      <c r="J36" s="9" t="str">
        <f>IF(OR($C36="",$H36=0),"",$AR$5-SUM($H$13:H35))</f>
        <v/>
      </c>
      <c r="K36" s="9" t="str">
        <f t="shared" si="0"/>
        <v/>
      </c>
      <c r="L36" s="9" t="str">
        <f t="shared" si="1"/>
        <v/>
      </c>
      <c r="M36" s="6"/>
      <c r="N36" s="6"/>
      <c r="O36" s="12" t="str">
        <f t="shared" si="2"/>
        <v/>
      </c>
      <c r="P36" s="37"/>
      <c r="Q36" s="39"/>
      <c r="R36" s="40"/>
      <c r="S36" s="13">
        <v>22</v>
      </c>
      <c r="T36" s="49" t="str">
        <f>IF($AM36=0,"",IF(INDEX($J$13:$J$42,$AM36)=22,INDEX($AH$13:$AH$42,$AM36),""))</f>
        <v>UPS 3 kVA 2RU, 120 V, 6 salidas (APC SMT3000RM2U)</v>
      </c>
      <c r="U36" s="38"/>
      <c r="V36" s="39"/>
      <c r="W36" s="13">
        <v>22</v>
      </c>
      <c r="X36" s="40"/>
      <c r="AD36" t="str">
        <f>IF($C36="","",IFERROR(INDEX(Catalogo!$B$6:$B$125,MATCH($C36,Catalogo!$C$6:$C$125,0)),""))</f>
        <v/>
      </c>
      <c r="AE36" t="str">
        <f>IF($AD36="Patch panel cobre",COUNTIF($AD$13:$AD36,"Patch panel cobre"),"")</f>
        <v/>
      </c>
      <c r="AH36" t="str">
        <f t="shared" si="3"/>
        <v/>
      </c>
      <c r="AM36">
        <f>IFERROR(MATCH(1,INDEX(($K$13:$K$42&lt;=22)*($J$13:$J$42&gt;=22),0),0),0)</f>
        <v>18</v>
      </c>
      <c r="AN36" t="str">
        <f>IF(22&gt;$AR$5,"Fuera",IF($AM36=0,"",INDEX($AD$13:$AD$42,$AM36)))</f>
        <v>UPS</v>
      </c>
      <c r="BA36">
        <f>IF(OR(Catalogo!$C36="",Catalogo!$B36="Espacio libre",Catalogo!$B36="Espacio reservado"),0,COUNTIF($C$13:$C$42,Catalogo!$C36)+IF($E$7=Catalogo!$C36,N($K$7),0)+IF($E$8=Catalogo!$C36,N($N$8),0)+IF(Proyecto!$D$12=Catalogo!$C36,$AQ$4,0)+SUMIF($C$49:$C$58,Catalogo!$C36,$K$49:$K$58))</f>
        <v>0</v>
      </c>
      <c r="CL36">
        <f>IF($C36="",0,N(IFERROR(INDEX(Catalogo!$N$6:$N$125,MATCH($C36,Catalogo!$C$6:$C$125,0)),0)))</f>
        <v>0</v>
      </c>
      <c r="CM36">
        <f>IF($C36="",0,N(IFERROR(INDEX(Catalogo!$P$6:$P$125,MATCH($C36,Catalogo!$C$6:$C$125,0)),0)))</f>
        <v>0</v>
      </c>
      <c r="CN36">
        <f>IF($C36="",0,N(IFERROR(INDEX(Catalogo!$Q$6:$Q$125,MATCH($C36,Catalogo!$C$6:$C$125,0)),0)))</f>
        <v>0</v>
      </c>
      <c r="CO36">
        <f>IF($C36="",0,IF(OR($AD36="Espacio libre",$AD36="Espacio reservado"),0,IF(IFERROR(INDEX(Catalogo!$N$6:$N$125,MATCH($C36,Catalogo!$C$6:$C$125,0))="",TRUE),1,0)))</f>
        <v>0</v>
      </c>
    </row>
    <row r="37" spans="2:93" ht="14" customHeight="1" x14ac:dyDescent="0.45">
      <c r="B37" s="9">
        <v>25</v>
      </c>
      <c r="C37" s="47"/>
      <c r="D37" s="38"/>
      <c r="E37" s="39"/>
      <c r="F37" s="48" t="str">
        <f>IF($C37="","",IFERROR(INDEX(Catalogo!$E$6:$E$125,MATCH($C37,Catalogo!$C$6:$C$125,0)),""))</f>
        <v/>
      </c>
      <c r="G37" s="39"/>
      <c r="H37" s="9" t="str">
        <f>IF($C37="","",N(IFERROR(INDEX(Catalogo!$F$6:$F$125,MATCH($C37,Catalogo!$C$6:$C$125,0)),"")))</f>
        <v/>
      </c>
      <c r="I37" s="9" t="str">
        <f>IF($AD37&lt;&gt;"Patch panel cobre","",IFERROR(INDEX(Catalogo!$G$6:$G$125,MATCH($C37,Catalogo!$C$6:$C$125,0)),""))</f>
        <v/>
      </c>
      <c r="J37" s="9" t="str">
        <f>IF(OR($C37="",$H37=0),"",$AR$5-SUM($H$13:H36))</f>
        <v/>
      </c>
      <c r="K37" s="9" t="str">
        <f t="shared" si="0"/>
        <v/>
      </c>
      <c r="L37" s="9" t="str">
        <f t="shared" si="1"/>
        <v/>
      </c>
      <c r="M37" s="6"/>
      <c r="N37" s="6"/>
      <c r="O37" s="12" t="str">
        <f t="shared" si="2"/>
        <v/>
      </c>
      <c r="P37" s="37"/>
      <c r="Q37" s="39"/>
      <c r="R37" s="40"/>
      <c r="S37" s="13">
        <v>21</v>
      </c>
      <c r="T37" s="49" t="str">
        <f>IF($AM37=0,"",IF(INDEX($J$13:$J$42,$AM37)=21,INDEX($AH$13:$AH$42,$AM37),""))</f>
        <v/>
      </c>
      <c r="U37" s="38"/>
      <c r="V37" s="39"/>
      <c r="W37" s="13">
        <v>21</v>
      </c>
      <c r="X37" s="40"/>
      <c r="AD37" t="str">
        <f>IF($C37="","",IFERROR(INDEX(Catalogo!$B$6:$B$125,MATCH($C37,Catalogo!$C$6:$C$125,0)),""))</f>
        <v/>
      </c>
      <c r="AE37" t="str">
        <f>IF($AD37="Patch panel cobre",COUNTIF($AD$13:$AD37,"Patch panel cobre"),"")</f>
        <v/>
      </c>
      <c r="AH37" t="str">
        <f t="shared" si="3"/>
        <v/>
      </c>
      <c r="AM37">
        <f>IFERROR(MATCH(1,INDEX(($K$13:$K$42&lt;=21)*($J$13:$J$42&gt;=21),0),0),0)</f>
        <v>18</v>
      </c>
      <c r="AN37" t="str">
        <f>IF(21&gt;$AR$5,"Fuera",IF($AM37=0,"",INDEX($AD$13:$AD$42,$AM37)))</f>
        <v>UPS</v>
      </c>
      <c r="BA37">
        <f>IF(OR(Catalogo!$C37="",Catalogo!$B37="Espacio libre",Catalogo!$B37="Espacio reservado"),0,COUNTIF($C$13:$C$42,Catalogo!$C37)+IF($E$7=Catalogo!$C37,N($K$7),0)+IF($E$8=Catalogo!$C37,N($N$8),0)+IF(Proyecto!$D$12=Catalogo!$C37,$AQ$4,0)+SUMIF($C$49:$C$58,Catalogo!$C37,$K$49:$K$58))</f>
        <v>0</v>
      </c>
      <c r="CL37">
        <f>IF($C37="",0,N(IFERROR(INDEX(Catalogo!$N$6:$N$125,MATCH($C37,Catalogo!$C$6:$C$125,0)),0)))</f>
        <v>0</v>
      </c>
      <c r="CM37">
        <f>IF($C37="",0,N(IFERROR(INDEX(Catalogo!$P$6:$P$125,MATCH($C37,Catalogo!$C$6:$C$125,0)),0)))</f>
        <v>0</v>
      </c>
      <c r="CN37">
        <f>IF($C37="",0,N(IFERROR(INDEX(Catalogo!$Q$6:$Q$125,MATCH($C37,Catalogo!$C$6:$C$125,0)),0)))</f>
        <v>0</v>
      </c>
      <c r="CO37">
        <f>IF($C37="",0,IF(OR($AD37="Espacio libre",$AD37="Espacio reservado"),0,IF(IFERROR(INDEX(Catalogo!$N$6:$N$125,MATCH($C37,Catalogo!$C$6:$C$125,0))="",TRUE),1,0)))</f>
        <v>0</v>
      </c>
    </row>
    <row r="38" spans="2:93" ht="14" customHeight="1" x14ac:dyDescent="0.45">
      <c r="B38" s="9">
        <v>26</v>
      </c>
      <c r="C38" s="47"/>
      <c r="D38" s="38"/>
      <c r="E38" s="39"/>
      <c r="F38" s="48" t="str">
        <f>IF($C38="","",IFERROR(INDEX(Catalogo!$E$6:$E$125,MATCH($C38,Catalogo!$C$6:$C$125,0)),""))</f>
        <v/>
      </c>
      <c r="G38" s="39"/>
      <c r="H38" s="9" t="str">
        <f>IF($C38="","",N(IFERROR(INDEX(Catalogo!$F$6:$F$125,MATCH($C38,Catalogo!$C$6:$C$125,0)),"")))</f>
        <v/>
      </c>
      <c r="I38" s="9" t="str">
        <f>IF($AD38&lt;&gt;"Patch panel cobre","",IFERROR(INDEX(Catalogo!$G$6:$G$125,MATCH($C38,Catalogo!$C$6:$C$125,0)),""))</f>
        <v/>
      </c>
      <c r="J38" s="9" t="str">
        <f>IF(OR($C38="",$H38=0),"",$AR$5-SUM($H$13:H37))</f>
        <v/>
      </c>
      <c r="K38" s="9" t="str">
        <f t="shared" si="0"/>
        <v/>
      </c>
      <c r="L38" s="9" t="str">
        <f t="shared" si="1"/>
        <v/>
      </c>
      <c r="M38" s="6"/>
      <c r="N38" s="6"/>
      <c r="O38" s="12" t="str">
        <f t="shared" si="2"/>
        <v/>
      </c>
      <c r="P38" s="37"/>
      <c r="Q38" s="39"/>
      <c r="R38" s="40"/>
      <c r="S38" s="13">
        <v>20</v>
      </c>
      <c r="T38" s="49" t="str">
        <f>IF($AM38=0,"",IF(INDEX($J$13:$J$42,$AM38)=20,INDEX($AH$13:$AH$42,$AM38),""))</f>
        <v>Barra de tierra para rack 19"</v>
      </c>
      <c r="U38" s="38"/>
      <c r="V38" s="39"/>
      <c r="W38" s="13">
        <v>20</v>
      </c>
      <c r="X38" s="40"/>
      <c r="AD38" t="str">
        <f>IF($C38="","",IFERROR(INDEX(Catalogo!$B$6:$B$125,MATCH($C38,Catalogo!$C$6:$C$125,0)),""))</f>
        <v/>
      </c>
      <c r="AE38" t="str">
        <f>IF($AD38="Patch panel cobre",COUNTIF($AD$13:$AD38,"Patch panel cobre"),"")</f>
        <v/>
      </c>
      <c r="AH38" t="str">
        <f t="shared" si="3"/>
        <v/>
      </c>
      <c r="AM38">
        <f>IFERROR(MATCH(1,INDEX(($K$13:$K$42&lt;=20)*($J$13:$J$42&gt;=20),0),0),0)</f>
        <v>19</v>
      </c>
      <c r="AN38" t="str">
        <f>IF(20&gt;$AR$5,"Fuera",IF($AM38=0,"",INDEX($AD$13:$AD$42,$AM38)))</f>
        <v>Puesta a tierra</v>
      </c>
      <c r="BA38">
        <f>IF(OR(Catalogo!$C38="",Catalogo!$B38="Espacio libre",Catalogo!$B38="Espacio reservado"),0,COUNTIF($C$13:$C$42,Catalogo!$C38)+IF($E$7=Catalogo!$C38,N($K$7),0)+IF($E$8=Catalogo!$C38,N($N$8),0)+IF(Proyecto!$D$12=Catalogo!$C38,$AQ$4,0)+SUMIF($C$49:$C$58,Catalogo!$C38,$K$49:$K$58))</f>
        <v>2</v>
      </c>
      <c r="CL38">
        <f>IF($C38="",0,N(IFERROR(INDEX(Catalogo!$N$6:$N$125,MATCH($C38,Catalogo!$C$6:$C$125,0)),0)))</f>
        <v>0</v>
      </c>
      <c r="CM38">
        <f>IF($C38="",0,N(IFERROR(INDEX(Catalogo!$P$6:$P$125,MATCH($C38,Catalogo!$C$6:$C$125,0)),0)))</f>
        <v>0</v>
      </c>
      <c r="CN38">
        <f>IF($C38="",0,N(IFERROR(INDEX(Catalogo!$Q$6:$Q$125,MATCH($C38,Catalogo!$C$6:$C$125,0)),0)))</f>
        <v>0</v>
      </c>
      <c r="CO38">
        <f>IF($C38="",0,IF(OR($AD38="Espacio libre",$AD38="Espacio reservado"),0,IF(IFERROR(INDEX(Catalogo!$N$6:$N$125,MATCH($C38,Catalogo!$C$6:$C$125,0))="",TRUE),1,0)))</f>
        <v>0</v>
      </c>
    </row>
    <row r="39" spans="2:93" ht="14" customHeight="1" x14ac:dyDescent="0.45">
      <c r="B39" s="9">
        <v>27</v>
      </c>
      <c r="C39" s="47"/>
      <c r="D39" s="38"/>
      <c r="E39" s="39"/>
      <c r="F39" s="48" t="str">
        <f>IF($C39="","",IFERROR(INDEX(Catalogo!$E$6:$E$125,MATCH($C39,Catalogo!$C$6:$C$125,0)),""))</f>
        <v/>
      </c>
      <c r="G39" s="39"/>
      <c r="H39" s="9" t="str">
        <f>IF($C39="","",N(IFERROR(INDEX(Catalogo!$F$6:$F$125,MATCH($C39,Catalogo!$C$6:$C$125,0)),"")))</f>
        <v/>
      </c>
      <c r="I39" s="9" t="str">
        <f>IF($AD39&lt;&gt;"Patch panel cobre","",IFERROR(INDEX(Catalogo!$G$6:$G$125,MATCH($C39,Catalogo!$C$6:$C$125,0)),""))</f>
        <v/>
      </c>
      <c r="J39" s="9" t="str">
        <f>IF(OR($C39="",$H39=0),"",$AR$5-SUM($H$13:H38))</f>
        <v/>
      </c>
      <c r="K39" s="9" t="str">
        <f t="shared" si="0"/>
        <v/>
      </c>
      <c r="L39" s="9" t="str">
        <f t="shared" si="1"/>
        <v/>
      </c>
      <c r="M39" s="6"/>
      <c r="N39" s="6"/>
      <c r="O39" s="12" t="str">
        <f t="shared" si="2"/>
        <v/>
      </c>
      <c r="P39" s="37"/>
      <c r="Q39" s="39"/>
      <c r="R39" s="40"/>
      <c r="S39" s="13">
        <v>19</v>
      </c>
      <c r="T39" s="49" t="str">
        <f>IF($AM39=0,"",IF(INDEX($J$13:$J$42,$AM39)=19,INDEX($AH$13:$AH$42,$AM39),""))</f>
        <v/>
      </c>
      <c r="U39" s="38"/>
      <c r="V39" s="39"/>
      <c r="W39" s="13">
        <v>19</v>
      </c>
      <c r="X39" s="40"/>
      <c r="AD39" t="str">
        <f>IF($C39="","",IFERROR(INDEX(Catalogo!$B$6:$B$125,MATCH($C39,Catalogo!$C$6:$C$125,0)),""))</f>
        <v/>
      </c>
      <c r="AE39" t="str">
        <f>IF($AD39="Patch panel cobre",COUNTIF($AD$13:$AD39,"Patch panel cobre"),"")</f>
        <v/>
      </c>
      <c r="AH39" t="str">
        <f t="shared" si="3"/>
        <v/>
      </c>
      <c r="AM39">
        <f>IFERROR(MATCH(1,INDEX(($K$13:$K$42&lt;=19)*($J$13:$J$42&gt;=19),0),0),0)</f>
        <v>0</v>
      </c>
      <c r="AN39" t="str">
        <f>IF(19&gt;$AR$5,"Fuera",IF($AM39=0,"",INDEX($AD$13:$AD$42,$AM39)))</f>
        <v/>
      </c>
      <c r="BA39">
        <f>IF(OR(Catalogo!$C39="",Catalogo!$B39="Espacio libre",Catalogo!$B39="Espacio reservado"),0,COUNTIF($C$13:$C$42,Catalogo!$C39)+IF($E$7=Catalogo!$C39,N($K$7),0)+IF($E$8=Catalogo!$C39,N($N$8),0)+IF(Proyecto!$D$12=Catalogo!$C39,$AQ$4,0)+SUMIF($C$49:$C$58,Catalogo!$C39,$K$49:$K$58))</f>
        <v>0</v>
      </c>
      <c r="CL39">
        <f>IF($C39="",0,N(IFERROR(INDEX(Catalogo!$N$6:$N$125,MATCH($C39,Catalogo!$C$6:$C$125,0)),0)))</f>
        <v>0</v>
      </c>
      <c r="CM39">
        <f>IF($C39="",0,N(IFERROR(INDEX(Catalogo!$P$6:$P$125,MATCH($C39,Catalogo!$C$6:$C$125,0)),0)))</f>
        <v>0</v>
      </c>
      <c r="CN39">
        <f>IF($C39="",0,N(IFERROR(INDEX(Catalogo!$Q$6:$Q$125,MATCH($C39,Catalogo!$C$6:$C$125,0)),0)))</f>
        <v>0</v>
      </c>
      <c r="CO39">
        <f>IF($C39="",0,IF(OR($AD39="Espacio libre",$AD39="Espacio reservado"),0,IF(IFERROR(INDEX(Catalogo!$N$6:$N$125,MATCH($C39,Catalogo!$C$6:$C$125,0))="",TRUE),1,0)))</f>
        <v>0</v>
      </c>
    </row>
    <row r="40" spans="2:93" ht="14" customHeight="1" x14ac:dyDescent="0.45">
      <c r="B40" s="9">
        <v>28</v>
      </c>
      <c r="C40" s="47"/>
      <c r="D40" s="38"/>
      <c r="E40" s="39"/>
      <c r="F40" s="48" t="str">
        <f>IF($C40="","",IFERROR(INDEX(Catalogo!$E$6:$E$125,MATCH($C40,Catalogo!$C$6:$C$125,0)),""))</f>
        <v/>
      </c>
      <c r="G40" s="39"/>
      <c r="H40" s="9" t="str">
        <f>IF($C40="","",N(IFERROR(INDEX(Catalogo!$F$6:$F$125,MATCH($C40,Catalogo!$C$6:$C$125,0)),"")))</f>
        <v/>
      </c>
      <c r="I40" s="9" t="str">
        <f>IF($AD40&lt;&gt;"Patch panel cobre","",IFERROR(INDEX(Catalogo!$G$6:$G$125,MATCH($C40,Catalogo!$C$6:$C$125,0)),""))</f>
        <v/>
      </c>
      <c r="J40" s="9" t="str">
        <f>IF(OR($C40="",$H40=0),"",$AR$5-SUM($H$13:H39))</f>
        <v/>
      </c>
      <c r="K40" s="9" t="str">
        <f t="shared" si="0"/>
        <v/>
      </c>
      <c r="L40" s="9" t="str">
        <f t="shared" si="1"/>
        <v/>
      </c>
      <c r="M40" s="6"/>
      <c r="N40" s="6"/>
      <c r="O40" s="12" t="str">
        <f t="shared" si="2"/>
        <v/>
      </c>
      <c r="P40" s="37"/>
      <c r="Q40" s="39"/>
      <c r="R40" s="40"/>
      <c r="S40" s="13">
        <v>18</v>
      </c>
      <c r="T40" s="49" t="str">
        <f>IF($AM40=0,"",IF(INDEX($J$13:$J$42,$AM40)=18,INDEX($AH$13:$AH$42,$AM40),""))</f>
        <v/>
      </c>
      <c r="U40" s="38"/>
      <c r="V40" s="39"/>
      <c r="W40" s="13">
        <v>18</v>
      </c>
      <c r="X40" s="40"/>
      <c r="AD40" t="str">
        <f>IF($C40="","",IFERROR(INDEX(Catalogo!$B$6:$B$125,MATCH($C40,Catalogo!$C$6:$C$125,0)),""))</f>
        <v/>
      </c>
      <c r="AE40" t="str">
        <f>IF($AD40="Patch panel cobre",COUNTIF($AD$13:$AD40,"Patch panel cobre"),"")</f>
        <v/>
      </c>
      <c r="AH40" t="str">
        <f t="shared" si="3"/>
        <v/>
      </c>
      <c r="AM40">
        <f>IFERROR(MATCH(1,INDEX(($K$13:$K$42&lt;=18)*($J$13:$J$42&gt;=18),0),0),0)</f>
        <v>0</v>
      </c>
      <c r="AN40" t="str">
        <f>IF(18&gt;$AR$5,"Fuera",IF($AM40=0,"",INDEX($AD$13:$AD$42,$AM40)))</f>
        <v/>
      </c>
      <c r="BA40">
        <f>IF(OR(Catalogo!$C40="",Catalogo!$B40="Espacio libre",Catalogo!$B40="Espacio reservado"),0,COUNTIF($C$13:$C$42,Catalogo!$C40)+IF($E$7=Catalogo!$C40,N($K$7),0)+IF($E$8=Catalogo!$C40,N($N$8),0)+IF(Proyecto!$D$12=Catalogo!$C40,$AQ$4,0)+SUMIF($C$49:$C$58,Catalogo!$C40,$K$49:$K$58))</f>
        <v>1</v>
      </c>
      <c r="CL40">
        <f>IF($C40="",0,N(IFERROR(INDEX(Catalogo!$N$6:$N$125,MATCH($C40,Catalogo!$C$6:$C$125,0)),0)))</f>
        <v>0</v>
      </c>
      <c r="CM40">
        <f>IF($C40="",0,N(IFERROR(INDEX(Catalogo!$P$6:$P$125,MATCH($C40,Catalogo!$C$6:$C$125,0)),0)))</f>
        <v>0</v>
      </c>
      <c r="CN40">
        <f>IF($C40="",0,N(IFERROR(INDEX(Catalogo!$Q$6:$Q$125,MATCH($C40,Catalogo!$C$6:$C$125,0)),0)))</f>
        <v>0</v>
      </c>
      <c r="CO40">
        <f>IF($C40="",0,IF(OR($AD40="Espacio libre",$AD40="Espacio reservado"),0,IF(IFERROR(INDEX(Catalogo!$N$6:$N$125,MATCH($C40,Catalogo!$C$6:$C$125,0))="",TRUE),1,0)))</f>
        <v>0</v>
      </c>
    </row>
    <row r="41" spans="2:93" ht="14" customHeight="1" x14ac:dyDescent="0.45">
      <c r="B41" s="9">
        <v>29</v>
      </c>
      <c r="C41" s="47"/>
      <c r="D41" s="38"/>
      <c r="E41" s="39"/>
      <c r="F41" s="48" t="str">
        <f>IF($C41="","",IFERROR(INDEX(Catalogo!$E$6:$E$125,MATCH($C41,Catalogo!$C$6:$C$125,0)),""))</f>
        <v/>
      </c>
      <c r="G41" s="39"/>
      <c r="H41" s="9" t="str">
        <f>IF($C41="","",N(IFERROR(INDEX(Catalogo!$F$6:$F$125,MATCH($C41,Catalogo!$C$6:$C$125,0)),"")))</f>
        <v/>
      </c>
      <c r="I41" s="9" t="str">
        <f>IF($AD41&lt;&gt;"Patch panel cobre","",IFERROR(INDEX(Catalogo!$G$6:$G$125,MATCH($C41,Catalogo!$C$6:$C$125,0)),""))</f>
        <v/>
      </c>
      <c r="J41" s="9" t="str">
        <f>IF(OR($C41="",$H41=0),"",$AR$5-SUM($H$13:H40))</f>
        <v/>
      </c>
      <c r="K41" s="9" t="str">
        <f t="shared" si="0"/>
        <v/>
      </c>
      <c r="L41" s="9" t="str">
        <f t="shared" si="1"/>
        <v/>
      </c>
      <c r="M41" s="6"/>
      <c r="N41" s="6"/>
      <c r="O41" s="12" t="str">
        <f t="shared" si="2"/>
        <v/>
      </c>
      <c r="P41" s="37"/>
      <c r="Q41" s="39"/>
      <c r="R41" s="40"/>
      <c r="S41" s="13">
        <v>17</v>
      </c>
      <c r="T41" s="49" t="str">
        <f>IF($AM41=0,"",IF(INDEX($J$13:$J$42,$AM41)=17,INDEX($AH$13:$AH$42,$AM41),""))</f>
        <v/>
      </c>
      <c r="U41" s="38"/>
      <c r="V41" s="39"/>
      <c r="W41" s="13">
        <v>17</v>
      </c>
      <c r="X41" s="40"/>
      <c r="AD41" t="str">
        <f>IF($C41="","",IFERROR(INDEX(Catalogo!$B$6:$B$125,MATCH($C41,Catalogo!$C$6:$C$125,0)),""))</f>
        <v/>
      </c>
      <c r="AE41" t="str">
        <f>IF($AD41="Patch panel cobre",COUNTIF($AD$13:$AD41,"Patch panel cobre"),"")</f>
        <v/>
      </c>
      <c r="AH41" t="str">
        <f t="shared" si="3"/>
        <v/>
      </c>
      <c r="AM41">
        <f>IFERROR(MATCH(1,INDEX(($K$13:$K$42&lt;=17)*($J$13:$J$42&gt;=17),0),0),0)</f>
        <v>0</v>
      </c>
      <c r="AN41" t="str">
        <f>IF(17&gt;$AR$5,"Fuera",IF($AM41=0,"",INDEX($AD$13:$AD$42,$AM41)))</f>
        <v/>
      </c>
      <c r="BA41">
        <f>IF(OR(Catalogo!$C41="",Catalogo!$B41="Espacio libre",Catalogo!$B41="Espacio reservado"),0,COUNTIF($C$13:$C$42,Catalogo!$C41)+IF($E$7=Catalogo!$C41,N($K$7),0)+IF($E$8=Catalogo!$C41,N($N$8),0)+IF(Proyecto!$D$12=Catalogo!$C41,$AQ$4,0)+SUMIF($C$49:$C$58,Catalogo!$C41,$K$49:$K$58))</f>
        <v>0</v>
      </c>
      <c r="CL41">
        <f>IF($C41="",0,N(IFERROR(INDEX(Catalogo!$N$6:$N$125,MATCH($C41,Catalogo!$C$6:$C$125,0)),0)))</f>
        <v>0</v>
      </c>
      <c r="CM41">
        <f>IF($C41="",0,N(IFERROR(INDEX(Catalogo!$P$6:$P$125,MATCH($C41,Catalogo!$C$6:$C$125,0)),0)))</f>
        <v>0</v>
      </c>
      <c r="CN41">
        <f>IF($C41="",0,N(IFERROR(INDEX(Catalogo!$Q$6:$Q$125,MATCH($C41,Catalogo!$C$6:$C$125,0)),0)))</f>
        <v>0</v>
      </c>
      <c r="CO41">
        <f>IF($C41="",0,IF(OR($AD41="Espacio libre",$AD41="Espacio reservado"),0,IF(IFERROR(INDEX(Catalogo!$N$6:$N$125,MATCH($C41,Catalogo!$C$6:$C$125,0))="",TRUE),1,0)))</f>
        <v>0</v>
      </c>
    </row>
    <row r="42" spans="2:93" ht="14" customHeight="1" x14ac:dyDescent="0.45">
      <c r="B42" s="9">
        <v>30</v>
      </c>
      <c r="C42" s="47"/>
      <c r="D42" s="38"/>
      <c r="E42" s="39"/>
      <c r="F42" s="48" t="str">
        <f>IF($C42="","",IFERROR(INDEX(Catalogo!$E$6:$E$125,MATCH($C42,Catalogo!$C$6:$C$125,0)),""))</f>
        <v/>
      </c>
      <c r="G42" s="39"/>
      <c r="H42" s="9" t="str">
        <f>IF($C42="","",N(IFERROR(INDEX(Catalogo!$F$6:$F$125,MATCH($C42,Catalogo!$C$6:$C$125,0)),"")))</f>
        <v/>
      </c>
      <c r="I42" s="9" t="str">
        <f>IF($AD42&lt;&gt;"Patch panel cobre","",IFERROR(INDEX(Catalogo!$G$6:$G$125,MATCH($C42,Catalogo!$C$6:$C$125,0)),""))</f>
        <v/>
      </c>
      <c r="J42" s="9" t="str">
        <f>IF(OR($C42="",$H42=0),"",$AR$5-SUM($H$13:H41))</f>
        <v/>
      </c>
      <c r="K42" s="9" t="str">
        <f t="shared" si="0"/>
        <v/>
      </c>
      <c r="L42" s="9" t="str">
        <f t="shared" si="1"/>
        <v/>
      </c>
      <c r="M42" s="6"/>
      <c r="N42" s="6"/>
      <c r="O42" s="12" t="str">
        <f t="shared" si="2"/>
        <v/>
      </c>
      <c r="P42" s="37"/>
      <c r="Q42" s="39"/>
      <c r="R42" s="40"/>
      <c r="S42" s="13">
        <v>16</v>
      </c>
      <c r="T42" s="49" t="str">
        <f>IF($AM42=0,"",IF(INDEX($J$13:$J$42,$AM42)=16,INDEX($AH$13:$AH$42,$AM42),""))</f>
        <v/>
      </c>
      <c r="U42" s="38"/>
      <c r="V42" s="39"/>
      <c r="W42" s="13">
        <v>16</v>
      </c>
      <c r="X42" s="40"/>
      <c r="AD42" t="str">
        <f>IF($C42="","",IFERROR(INDEX(Catalogo!$B$6:$B$125,MATCH($C42,Catalogo!$C$6:$C$125,0)),""))</f>
        <v/>
      </c>
      <c r="AE42" t="str">
        <f>IF($AD42="Patch panel cobre",COUNTIF($AD$13:$AD42,"Patch panel cobre"),"")</f>
        <v/>
      </c>
      <c r="AH42" t="str">
        <f t="shared" si="3"/>
        <v/>
      </c>
      <c r="AM42">
        <f>IFERROR(MATCH(1,INDEX(($K$13:$K$42&lt;=16)*($J$13:$J$42&gt;=16),0),0),0)</f>
        <v>0</v>
      </c>
      <c r="AN42" t="str">
        <f>IF(16&gt;$AR$5,"Fuera",IF($AM42=0,"",INDEX($AD$13:$AD$42,$AM42)))</f>
        <v/>
      </c>
      <c r="BA42">
        <f>IF(OR(Catalogo!$C42="",Catalogo!$B42="Espacio libre",Catalogo!$B42="Espacio reservado"),0,COUNTIF($C$13:$C$42,Catalogo!$C42)+IF($E$7=Catalogo!$C42,N($K$7),0)+IF($E$8=Catalogo!$C42,N($N$8),0)+IF(Proyecto!$D$12=Catalogo!$C42,$AQ$4,0)+SUMIF($C$49:$C$58,Catalogo!$C42,$K$49:$K$58))</f>
        <v>0</v>
      </c>
      <c r="CL42">
        <f>IF($C42="",0,N(IFERROR(INDEX(Catalogo!$N$6:$N$125,MATCH($C42,Catalogo!$C$6:$C$125,0)),0)))</f>
        <v>0</v>
      </c>
      <c r="CM42">
        <f>IF($C42="",0,N(IFERROR(INDEX(Catalogo!$P$6:$P$125,MATCH($C42,Catalogo!$C$6:$C$125,0)),0)))</f>
        <v>0</v>
      </c>
      <c r="CN42">
        <f>IF($C42="",0,N(IFERROR(INDEX(Catalogo!$Q$6:$Q$125,MATCH($C42,Catalogo!$C$6:$C$125,0)),0)))</f>
        <v>0</v>
      </c>
      <c r="CO42">
        <f>IF($C42="",0,IF(OR($AD42="Espacio libre",$AD42="Espacio reservado"),0,IF(IFERROR(INDEX(Catalogo!$N$6:$N$125,MATCH($C42,Catalogo!$C$6:$C$125,0))="",TRUE),1,0)))</f>
        <v>0</v>
      </c>
    </row>
    <row r="43" spans="2:93" ht="14" customHeight="1" x14ac:dyDescent="0.45">
      <c r="B43" s="42" t="s">
        <v>398</v>
      </c>
      <c r="C43" s="43"/>
      <c r="D43" s="43"/>
      <c r="E43" s="43"/>
      <c r="F43" s="43"/>
      <c r="G43" s="44"/>
      <c r="H43" s="9">
        <f>AR6-SUMIF($AD$13:$AD$42,"Espacio libre",$H$13:$H$42)</f>
        <v>23</v>
      </c>
      <c r="I43" s="9">
        <f>IF($AR$6&gt;$AR$5,$AR$5-$AR$6,$AR$5-H43)</f>
        <v>19</v>
      </c>
      <c r="J43" s="12">
        <f>H43/$AR$5</f>
        <v>0.54761904761904767</v>
      </c>
      <c r="K43" s="52" t="str">
        <f>IF(OR($AR$6&gt;$AR$5,COUNTIF(K13:K42,"&lt;1")&gt;0),"❌ EXCEDE: "&amp;$AR$6&amp;" de "&amp;$AR$5&amp;" RU (sobran "&amp;($AR$6-$AR$5)&amp;")","✓ OK: cabe en el rack")</f>
        <v>✓ OK: cabe en el rack</v>
      </c>
      <c r="L43" s="38"/>
      <c r="M43" s="38"/>
      <c r="N43" s="39"/>
      <c r="O43" s="12">
        <f>IFERROR(SUM($BS$13:$BS$28)/SUM($BF$13:$BF$28),"")</f>
        <v>1</v>
      </c>
      <c r="P43" s="45" t="s">
        <v>399</v>
      </c>
      <c r="Q43" s="39"/>
      <c r="R43" s="40"/>
      <c r="S43" s="13">
        <v>15</v>
      </c>
      <c r="T43" s="49" t="str">
        <f>IF($AM43=0,"",IF(INDEX($J$13:$J$42,$AM43)=15,INDEX($AH$13:$AH$42,$AM43),""))</f>
        <v/>
      </c>
      <c r="U43" s="38"/>
      <c r="V43" s="39"/>
      <c r="W43" s="13">
        <v>15</v>
      </c>
      <c r="X43" s="40"/>
      <c r="AM43">
        <f>IFERROR(MATCH(1,INDEX(($K$13:$K$42&lt;=15)*($J$13:$J$42&gt;=15),0),0),0)</f>
        <v>0</v>
      </c>
      <c r="AN43" t="str">
        <f>IF(15&gt;$AR$5,"Fuera",IF($AM43=0,"",INDEX($AD$13:$AD$42,$AM43)))</f>
        <v/>
      </c>
      <c r="BA43">
        <f>IF(OR(Catalogo!$C43="",Catalogo!$B43="Espacio libre",Catalogo!$B43="Espacio reservado"),0,COUNTIF($C$13:$C$42,Catalogo!$C43)+IF($E$7=Catalogo!$C43,N($K$7),0)+IF($E$8=Catalogo!$C43,N($N$8),0)+IF(Proyecto!$D$12=Catalogo!$C43,$AQ$4,0)+SUMIF($C$49:$C$58,Catalogo!$C43,$K$49:$K$58))</f>
        <v>0</v>
      </c>
    </row>
    <row r="44" spans="2:93" ht="14" customHeight="1" x14ac:dyDescent="0.45">
      <c r="B44" s="10" t="s">
        <v>400</v>
      </c>
      <c r="R44" s="40"/>
      <c r="S44" s="13">
        <v>14</v>
      </c>
      <c r="T44" s="49" t="str">
        <f>IF($AM44=0,"",IF(INDEX($J$13:$J$42,$AM44)=14,INDEX($AH$13:$AH$42,$AM44),""))</f>
        <v/>
      </c>
      <c r="U44" s="38"/>
      <c r="V44" s="39"/>
      <c r="W44" s="13">
        <v>14</v>
      </c>
      <c r="X44" s="40"/>
      <c r="AM44">
        <f>IFERROR(MATCH(1,INDEX(($K$13:$K$42&lt;=14)*($J$13:$J$42&gt;=14),0),0),0)</f>
        <v>0</v>
      </c>
      <c r="AN44" t="str">
        <f>IF(14&gt;$AR$5,"Fuera",IF($AM44=0,"",INDEX($AD$13:$AD$42,$AM44)))</f>
        <v/>
      </c>
      <c r="BA44">
        <f>IF(OR(Catalogo!$C44="",Catalogo!$B44="Espacio libre",Catalogo!$B44="Espacio reservado"),0,COUNTIF($C$13:$C$42,Catalogo!$C44)+IF($E$7=Catalogo!$C44,N($K$7),0)+IF($E$8=Catalogo!$C44,N($N$8),0)+IF(Proyecto!$D$12=Catalogo!$C44,$AQ$4,0)+SUMIF($C$49:$C$58,Catalogo!$C44,$K$49:$K$58))</f>
        <v>0</v>
      </c>
    </row>
    <row r="45" spans="2:93" ht="14" customHeight="1" x14ac:dyDescent="0.45">
      <c r="B45" s="10" t="s">
        <v>460</v>
      </c>
      <c r="R45" s="40"/>
      <c r="S45" s="13">
        <v>13</v>
      </c>
      <c r="T45" s="49" t="str">
        <f>IF($AM45=0,"",IF(INDEX($J$13:$J$42,$AM45)=13,INDEX($AH$13:$AH$42,$AM45),""))</f>
        <v/>
      </c>
      <c r="U45" s="38"/>
      <c r="V45" s="39"/>
      <c r="W45" s="13">
        <v>13</v>
      </c>
      <c r="X45" s="40"/>
      <c r="AM45">
        <f>IFERROR(MATCH(1,INDEX(($K$13:$K$42&lt;=13)*($J$13:$J$42&gt;=13),0),0),0)</f>
        <v>0</v>
      </c>
      <c r="AN45" t="str">
        <f>IF(13&gt;$AR$5,"Fuera",IF($AM45=0,"",INDEX($AD$13:$AD$42,$AM45)))</f>
        <v/>
      </c>
      <c r="BA45">
        <f>IF(OR(Catalogo!$C45="",Catalogo!$B45="Espacio libre",Catalogo!$B45="Espacio reservado"),0,COUNTIF($C$13:$C$42,Catalogo!$C45)+IF($E$7=Catalogo!$C45,N($K$7),0)+IF($E$8=Catalogo!$C45,N($N$8),0)+IF(Proyecto!$D$12=Catalogo!$C45,$AQ$4,0)+SUMIF($C$49:$C$58,Catalogo!$C45,$K$49:$K$58))</f>
        <v>1</v>
      </c>
    </row>
    <row r="46" spans="2:93" ht="14" customHeight="1" x14ac:dyDescent="0.45">
      <c r="R46" s="40"/>
      <c r="S46" s="13">
        <v>12</v>
      </c>
      <c r="T46" s="49" t="str">
        <f>IF($AM46=0,"",IF(INDEX($J$13:$J$42,$AM46)=12,INDEX($AH$13:$AH$42,$AM46),""))</f>
        <v/>
      </c>
      <c r="U46" s="38"/>
      <c r="V46" s="39"/>
      <c r="W46" s="13">
        <v>12</v>
      </c>
      <c r="X46" s="40"/>
      <c r="AM46">
        <f>IFERROR(MATCH(1,INDEX(($K$13:$K$42&lt;=12)*($J$13:$J$42&gt;=12),0),0),0)</f>
        <v>0</v>
      </c>
      <c r="AN46" t="str">
        <f>IF(12&gt;$AR$5,"Fuera",IF($AM46=0,"",INDEX($AD$13:$AD$42,$AM46)))</f>
        <v/>
      </c>
      <c r="BA46">
        <f>IF(OR(Catalogo!$C46="",Catalogo!$B46="Espacio libre",Catalogo!$B46="Espacio reservado"),0,COUNTIF($C$13:$C$42,Catalogo!$C46)+IF($E$7=Catalogo!$C46,N($K$7),0)+IF($E$8=Catalogo!$C46,N($N$8),0)+IF(Proyecto!$D$12=Catalogo!$C46,$AQ$4,0)+SUMIF($C$49:$C$58,Catalogo!$C46,$K$49:$K$58))</f>
        <v>0</v>
      </c>
    </row>
    <row r="47" spans="2:93" ht="14" customHeight="1" x14ac:dyDescent="0.45">
      <c r="B47" s="2" t="s">
        <v>401</v>
      </c>
      <c r="C47" s="2"/>
      <c r="D47" s="2"/>
      <c r="E47" s="2" t="s">
        <v>402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40"/>
      <c r="S47" s="13">
        <v>11</v>
      </c>
      <c r="T47" s="49" t="str">
        <f>IF($AM47=0,"",IF(INDEX($J$13:$J$42,$AM47)=11,INDEX($AH$13:$AH$42,$AM47),""))</f>
        <v/>
      </c>
      <c r="U47" s="38"/>
      <c r="V47" s="39"/>
      <c r="W47" s="13">
        <v>11</v>
      </c>
      <c r="X47" s="40"/>
      <c r="AM47">
        <f>IFERROR(MATCH(1,INDEX(($K$13:$K$42&lt;=11)*($J$13:$J$42&gt;=11),0),0),0)</f>
        <v>0</v>
      </c>
      <c r="AN47" t="str">
        <f>IF(11&gt;$AR$5,"Fuera",IF($AM47=0,"",INDEX($AD$13:$AD$42,$AM47)))</f>
        <v/>
      </c>
      <c r="BA47">
        <f>IF(OR(Catalogo!$C47="",Catalogo!$B47="Espacio libre",Catalogo!$B47="Espacio reservado"),0,COUNTIF($C$13:$C$42,Catalogo!$C47)+IF($E$7=Catalogo!$C47,N($K$7),0)+IF($E$8=Catalogo!$C47,N($N$8),0)+IF(Proyecto!$D$12=Catalogo!$C47,$AQ$4,0)+SUMIF($C$49:$C$58,Catalogo!$C47,$K$49:$K$58))</f>
        <v>0</v>
      </c>
    </row>
    <row r="48" spans="2:93" ht="14" customHeight="1" x14ac:dyDescent="0.45">
      <c r="B48" s="5" t="s">
        <v>385</v>
      </c>
      <c r="C48" s="42" t="s">
        <v>386</v>
      </c>
      <c r="D48" s="43"/>
      <c r="E48" s="43"/>
      <c r="F48" s="43"/>
      <c r="G48" s="43"/>
      <c r="H48" s="44"/>
      <c r="I48" s="42" t="s">
        <v>61</v>
      </c>
      <c r="J48" s="44"/>
      <c r="K48" s="5" t="s">
        <v>377</v>
      </c>
      <c r="L48" s="42" t="s">
        <v>403</v>
      </c>
      <c r="M48" s="43"/>
      <c r="N48" s="43"/>
      <c r="O48" s="43"/>
      <c r="P48" s="43"/>
      <c r="Q48" s="44"/>
      <c r="R48" s="40"/>
      <c r="S48" s="13">
        <v>10</v>
      </c>
      <c r="T48" s="49" t="str">
        <f>IF($AM48=0,"",IF(INDEX($J$13:$J$42,$AM48)=10,INDEX($AH$13:$AH$42,$AM48),""))</f>
        <v/>
      </c>
      <c r="U48" s="38"/>
      <c r="V48" s="39"/>
      <c r="W48" s="13">
        <v>10</v>
      </c>
      <c r="X48" s="40"/>
      <c r="AM48">
        <f>IFERROR(MATCH(1,INDEX(($K$13:$K$42&lt;=10)*($J$13:$J$42&gt;=10),0),0),0)</f>
        <v>0</v>
      </c>
      <c r="AN48" t="str">
        <f>IF(10&gt;$AR$5,"Fuera",IF($AM48=0,"",INDEX($AD$13:$AD$42,$AM48)))</f>
        <v/>
      </c>
      <c r="BA48">
        <f>IF(OR(Catalogo!$C48="",Catalogo!$B48="Espacio libre",Catalogo!$B48="Espacio reservado"),0,COUNTIF($C$13:$C$42,Catalogo!$C48)+IF($E$7=Catalogo!$C48,N($K$7),0)+IF($E$8=Catalogo!$C48,N($N$8),0)+IF(Proyecto!$D$12=Catalogo!$C48,$AQ$4,0)+SUMIF($C$49:$C$58,Catalogo!$C48,$K$49:$K$58))</f>
        <v>0</v>
      </c>
    </row>
    <row r="49" spans="2:53" ht="14" customHeight="1" x14ac:dyDescent="0.45">
      <c r="B49" s="9">
        <v>1</v>
      </c>
      <c r="C49" s="37"/>
      <c r="D49" s="38"/>
      <c r="E49" s="38"/>
      <c r="F49" s="38"/>
      <c r="G49" s="38"/>
      <c r="H49" s="39"/>
      <c r="I49" s="45" t="str">
        <f>IF($C49="","",IFERROR(INDEX(Catalogo!$E$6:$E$125,MATCH($C49,Catalogo!$C$6:$C$125,0)),""))</f>
        <v/>
      </c>
      <c r="J49" s="39"/>
      <c r="K49" s="6"/>
      <c r="L49" s="37"/>
      <c r="M49" s="38"/>
      <c r="N49" s="38"/>
      <c r="O49" s="38"/>
      <c r="P49" s="38"/>
      <c r="Q49" s="39"/>
      <c r="R49" s="40"/>
      <c r="S49" s="13">
        <v>9</v>
      </c>
      <c r="T49" s="49" t="str">
        <f>IF($AM49=0,"",IF(INDEX($J$13:$J$42,$AM49)=9,INDEX($AH$13:$AH$42,$AM49),""))</f>
        <v/>
      </c>
      <c r="U49" s="38"/>
      <c r="V49" s="39"/>
      <c r="W49" s="13">
        <v>9</v>
      </c>
      <c r="X49" s="40"/>
      <c r="AM49">
        <f>IFERROR(MATCH(1,INDEX(($K$13:$K$42&lt;=9)*($J$13:$J$42&gt;=9),0),0),0)</f>
        <v>0</v>
      </c>
      <c r="AN49" t="str">
        <f>IF(9&gt;$AR$5,"Fuera",IF($AM49=0,"",INDEX($AD$13:$AD$42,$AM49)))</f>
        <v/>
      </c>
      <c r="BA49">
        <f>IF(OR(Catalogo!$C49="",Catalogo!$B49="Espacio libre",Catalogo!$B49="Espacio reservado"),0,COUNTIF($C$13:$C$42,Catalogo!$C49)+IF($E$7=Catalogo!$C49,N($K$7),0)+IF($E$8=Catalogo!$C49,N($N$8),0)+IF(Proyecto!$D$12=Catalogo!$C49,$AQ$4,0)+SUMIF($C$49:$C$58,Catalogo!$C49,$K$49:$K$58))</f>
        <v>0</v>
      </c>
    </row>
    <row r="50" spans="2:53" ht="14" customHeight="1" x14ac:dyDescent="0.45">
      <c r="B50" s="9">
        <v>2</v>
      </c>
      <c r="C50" s="37"/>
      <c r="D50" s="38"/>
      <c r="E50" s="38"/>
      <c r="F50" s="38"/>
      <c r="G50" s="38"/>
      <c r="H50" s="39"/>
      <c r="I50" s="45" t="str">
        <f>IF($C50="","",IFERROR(INDEX(Catalogo!$E$6:$E$125,MATCH($C50,Catalogo!$C$6:$C$125,0)),""))</f>
        <v/>
      </c>
      <c r="J50" s="39"/>
      <c r="K50" s="6"/>
      <c r="L50" s="37"/>
      <c r="M50" s="38"/>
      <c r="N50" s="38"/>
      <c r="O50" s="38"/>
      <c r="P50" s="38"/>
      <c r="Q50" s="39"/>
      <c r="R50" s="40"/>
      <c r="S50" s="13">
        <v>8</v>
      </c>
      <c r="T50" s="49" t="str">
        <f>IF($AM50=0,"",IF(INDEX($J$13:$J$42,$AM50)=8,INDEX($AH$13:$AH$42,$AM50),""))</f>
        <v/>
      </c>
      <c r="U50" s="38"/>
      <c r="V50" s="39"/>
      <c r="W50" s="13">
        <v>8</v>
      </c>
      <c r="X50" s="40"/>
      <c r="AM50">
        <f>IFERROR(MATCH(1,INDEX(($K$13:$K$42&lt;=8)*($J$13:$J$42&gt;=8),0),0),0)</f>
        <v>0</v>
      </c>
      <c r="AN50" t="str">
        <f>IF(8&gt;$AR$5,"Fuera",IF($AM50=0,"",INDEX($AD$13:$AD$42,$AM50)))</f>
        <v/>
      </c>
      <c r="BA50">
        <f>IF(OR(Catalogo!$C50="",Catalogo!$B50="Espacio libre",Catalogo!$B50="Espacio reservado"),0,COUNTIF($C$13:$C$42,Catalogo!$C50)+IF($E$7=Catalogo!$C50,N($K$7),0)+IF($E$8=Catalogo!$C50,N($N$8),0)+IF(Proyecto!$D$12=Catalogo!$C50,$AQ$4,0)+SUMIF($C$49:$C$58,Catalogo!$C50,$K$49:$K$58))</f>
        <v>0</v>
      </c>
    </row>
    <row r="51" spans="2:53" ht="14" customHeight="1" x14ac:dyDescent="0.45">
      <c r="B51" s="9">
        <v>3</v>
      </c>
      <c r="C51" s="37"/>
      <c r="D51" s="38"/>
      <c r="E51" s="38"/>
      <c r="F51" s="38"/>
      <c r="G51" s="38"/>
      <c r="H51" s="39"/>
      <c r="I51" s="45" t="str">
        <f>IF($C51="","",IFERROR(INDEX(Catalogo!$E$6:$E$125,MATCH($C51,Catalogo!$C$6:$C$125,0)),""))</f>
        <v/>
      </c>
      <c r="J51" s="39"/>
      <c r="K51" s="6"/>
      <c r="L51" s="37"/>
      <c r="M51" s="38"/>
      <c r="N51" s="38"/>
      <c r="O51" s="38"/>
      <c r="P51" s="38"/>
      <c r="Q51" s="39"/>
      <c r="R51" s="40"/>
      <c r="S51" s="13">
        <v>7</v>
      </c>
      <c r="T51" s="49" t="str">
        <f>IF($AM51=0,"",IF(INDEX($J$13:$J$42,$AM51)=7,INDEX($AH$13:$AH$42,$AM51),""))</f>
        <v/>
      </c>
      <c r="U51" s="38"/>
      <c r="V51" s="39"/>
      <c r="W51" s="13">
        <v>7</v>
      </c>
      <c r="X51" s="40"/>
      <c r="AM51">
        <f>IFERROR(MATCH(1,INDEX(($K$13:$K$42&lt;=7)*($J$13:$J$42&gt;=7),0),0),0)</f>
        <v>0</v>
      </c>
      <c r="AN51" t="str">
        <f>IF(7&gt;$AR$5,"Fuera",IF($AM51=0,"",INDEX($AD$13:$AD$42,$AM51)))</f>
        <v/>
      </c>
      <c r="BA51">
        <f>IF(OR(Catalogo!$C51="",Catalogo!$B51="Espacio libre",Catalogo!$B51="Espacio reservado"),0,COUNTIF($C$13:$C$42,Catalogo!$C51)+IF($E$7=Catalogo!$C51,N($K$7),0)+IF($E$8=Catalogo!$C51,N($N$8),0)+IF(Proyecto!$D$12=Catalogo!$C51,$AQ$4,0)+SUMIF($C$49:$C$58,Catalogo!$C51,$K$49:$K$58))</f>
        <v>0</v>
      </c>
    </row>
    <row r="52" spans="2:53" ht="14" customHeight="1" x14ac:dyDescent="0.45">
      <c r="B52" s="9">
        <v>4</v>
      </c>
      <c r="C52" s="37"/>
      <c r="D52" s="38"/>
      <c r="E52" s="38"/>
      <c r="F52" s="38"/>
      <c r="G52" s="38"/>
      <c r="H52" s="39"/>
      <c r="I52" s="45" t="str">
        <f>IF($C52="","",IFERROR(INDEX(Catalogo!$E$6:$E$125,MATCH($C52,Catalogo!$C$6:$C$125,0)),""))</f>
        <v/>
      </c>
      <c r="J52" s="39"/>
      <c r="K52" s="6"/>
      <c r="L52" s="37"/>
      <c r="M52" s="38"/>
      <c r="N52" s="38"/>
      <c r="O52" s="38"/>
      <c r="P52" s="38"/>
      <c r="Q52" s="39"/>
      <c r="R52" s="40"/>
      <c r="S52" s="13">
        <v>6</v>
      </c>
      <c r="T52" s="49" t="str">
        <f>IF($AM52=0,"",IF(INDEX($J$13:$J$42,$AM52)=6,INDEX($AH$13:$AH$42,$AM52),""))</f>
        <v/>
      </c>
      <c r="U52" s="38"/>
      <c r="V52" s="39"/>
      <c r="W52" s="13">
        <v>6</v>
      </c>
      <c r="X52" s="40"/>
      <c r="AM52">
        <f>IFERROR(MATCH(1,INDEX(($K$13:$K$42&lt;=6)*($J$13:$J$42&gt;=6),0),0),0)</f>
        <v>0</v>
      </c>
      <c r="AN52" t="str">
        <f>IF(6&gt;$AR$5,"Fuera",IF($AM52=0,"",INDEX($AD$13:$AD$42,$AM52)))</f>
        <v/>
      </c>
      <c r="BA52">
        <f>IF(OR(Catalogo!$C52="",Catalogo!$B52="Espacio libre",Catalogo!$B52="Espacio reservado"),0,COUNTIF($C$13:$C$42,Catalogo!$C52)+IF($E$7=Catalogo!$C52,N($K$7),0)+IF($E$8=Catalogo!$C52,N($N$8),0)+IF(Proyecto!$D$12=Catalogo!$C52,$AQ$4,0)+SUMIF($C$49:$C$58,Catalogo!$C52,$K$49:$K$58))</f>
        <v>0</v>
      </c>
    </row>
    <row r="53" spans="2:53" ht="14" customHeight="1" x14ac:dyDescent="0.45">
      <c r="B53" s="9">
        <v>5</v>
      </c>
      <c r="C53" s="37"/>
      <c r="D53" s="38"/>
      <c r="E53" s="38"/>
      <c r="F53" s="38"/>
      <c r="G53" s="38"/>
      <c r="H53" s="39"/>
      <c r="I53" s="45" t="str">
        <f>IF($C53="","",IFERROR(INDEX(Catalogo!$E$6:$E$125,MATCH($C53,Catalogo!$C$6:$C$125,0)),""))</f>
        <v/>
      </c>
      <c r="J53" s="39"/>
      <c r="K53" s="6"/>
      <c r="L53" s="37"/>
      <c r="M53" s="38"/>
      <c r="N53" s="38"/>
      <c r="O53" s="38"/>
      <c r="P53" s="38"/>
      <c r="Q53" s="39"/>
      <c r="R53" s="40"/>
      <c r="S53" s="13">
        <v>5</v>
      </c>
      <c r="T53" s="49" t="str">
        <f>IF($AM53=0,"",IF(INDEX($J$13:$J$42,$AM53)=5,INDEX($AH$13:$AH$42,$AM53),""))</f>
        <v/>
      </c>
      <c r="U53" s="38"/>
      <c r="V53" s="39"/>
      <c r="W53" s="13">
        <v>5</v>
      </c>
      <c r="X53" s="40"/>
      <c r="AM53">
        <f>IFERROR(MATCH(1,INDEX(($K$13:$K$42&lt;=5)*($J$13:$J$42&gt;=5),0),0),0)</f>
        <v>0</v>
      </c>
      <c r="AN53" t="str">
        <f>IF(5&gt;$AR$5,"Fuera",IF($AM53=0,"",INDEX($AD$13:$AD$42,$AM53)))</f>
        <v/>
      </c>
      <c r="BA53">
        <f>IF(OR(Catalogo!$C53="",Catalogo!$B53="Espacio libre",Catalogo!$B53="Espacio reservado"),0,COUNTIF($C$13:$C$42,Catalogo!$C53)+IF($E$7=Catalogo!$C53,N($K$7),0)+IF($E$8=Catalogo!$C53,N($N$8),0)+IF(Proyecto!$D$12=Catalogo!$C53,$AQ$4,0)+SUMIF($C$49:$C$58,Catalogo!$C53,$K$49:$K$58))</f>
        <v>0</v>
      </c>
    </row>
    <row r="54" spans="2:53" ht="14" customHeight="1" x14ac:dyDescent="0.45">
      <c r="B54" s="9">
        <v>6</v>
      </c>
      <c r="C54" s="37"/>
      <c r="D54" s="38"/>
      <c r="E54" s="38"/>
      <c r="F54" s="38"/>
      <c r="G54" s="38"/>
      <c r="H54" s="39"/>
      <c r="I54" s="45" t="str">
        <f>IF($C54="","",IFERROR(INDEX(Catalogo!$E$6:$E$125,MATCH($C54,Catalogo!$C$6:$C$125,0)),""))</f>
        <v/>
      </c>
      <c r="J54" s="39"/>
      <c r="K54" s="6"/>
      <c r="L54" s="37"/>
      <c r="M54" s="38"/>
      <c r="N54" s="38"/>
      <c r="O54" s="38"/>
      <c r="P54" s="38"/>
      <c r="Q54" s="39"/>
      <c r="R54" s="40"/>
      <c r="S54" s="13">
        <v>4</v>
      </c>
      <c r="T54" s="49" t="str">
        <f>IF($AM54=0,"",IF(INDEX($J$13:$J$42,$AM54)=4,INDEX($AH$13:$AH$42,$AM54),""))</f>
        <v/>
      </c>
      <c r="U54" s="38"/>
      <c r="V54" s="39"/>
      <c r="W54" s="13">
        <v>4</v>
      </c>
      <c r="X54" s="40"/>
      <c r="AM54">
        <f>IFERROR(MATCH(1,INDEX(($K$13:$K$42&lt;=4)*($J$13:$J$42&gt;=4),0),0),0)</f>
        <v>0</v>
      </c>
      <c r="AN54" t="str">
        <f>IF(4&gt;$AR$5,"Fuera",IF($AM54=0,"",INDEX($AD$13:$AD$42,$AM54)))</f>
        <v/>
      </c>
      <c r="BA54">
        <f>IF(OR(Catalogo!$C54="",Catalogo!$B54="Espacio libre",Catalogo!$B54="Espacio reservado"),0,COUNTIF($C$13:$C$42,Catalogo!$C54)+IF($E$7=Catalogo!$C54,N($K$7),0)+IF($E$8=Catalogo!$C54,N($N$8),0)+IF(Proyecto!$D$12=Catalogo!$C54,$AQ$4,0)+SUMIF($C$49:$C$58,Catalogo!$C54,$K$49:$K$58))</f>
        <v>0</v>
      </c>
    </row>
    <row r="55" spans="2:53" ht="14" customHeight="1" x14ac:dyDescent="0.45">
      <c r="B55" s="9">
        <v>7</v>
      </c>
      <c r="C55" s="37"/>
      <c r="D55" s="38"/>
      <c r="E55" s="38"/>
      <c r="F55" s="38"/>
      <c r="G55" s="38"/>
      <c r="H55" s="39"/>
      <c r="I55" s="45" t="str">
        <f>IF($C55="","",IFERROR(INDEX(Catalogo!$E$6:$E$125,MATCH($C55,Catalogo!$C$6:$C$125,0)),""))</f>
        <v/>
      </c>
      <c r="J55" s="39"/>
      <c r="K55" s="6"/>
      <c r="L55" s="37"/>
      <c r="M55" s="38"/>
      <c r="N55" s="38"/>
      <c r="O55" s="38"/>
      <c r="P55" s="38"/>
      <c r="Q55" s="39"/>
      <c r="R55" s="40"/>
      <c r="S55" s="13">
        <v>3</v>
      </c>
      <c r="T55" s="49" t="str">
        <f>IF($AM55=0,"",IF(INDEX($J$13:$J$42,$AM55)=3,INDEX($AH$13:$AH$42,$AM55),""))</f>
        <v/>
      </c>
      <c r="U55" s="38"/>
      <c r="V55" s="39"/>
      <c r="W55" s="13">
        <v>3</v>
      </c>
      <c r="X55" s="40"/>
      <c r="AM55">
        <f>IFERROR(MATCH(1,INDEX(($K$13:$K$42&lt;=3)*($J$13:$J$42&gt;=3),0),0),0)</f>
        <v>0</v>
      </c>
      <c r="AN55" t="str">
        <f>IF(3&gt;$AR$5,"Fuera",IF($AM55=0,"",INDEX($AD$13:$AD$42,$AM55)))</f>
        <v/>
      </c>
      <c r="BA55">
        <f>IF(OR(Catalogo!$C55="",Catalogo!$B55="Espacio libre",Catalogo!$B55="Espacio reservado"),0,COUNTIF($C$13:$C$42,Catalogo!$C55)+IF($E$7=Catalogo!$C55,N($K$7),0)+IF($E$8=Catalogo!$C55,N($N$8),0)+IF(Proyecto!$D$12=Catalogo!$C55,$AQ$4,0)+SUMIF($C$49:$C$58,Catalogo!$C55,$K$49:$K$58))</f>
        <v>0</v>
      </c>
    </row>
    <row r="56" spans="2:53" ht="14" customHeight="1" x14ac:dyDescent="0.45">
      <c r="B56" s="9">
        <v>8</v>
      </c>
      <c r="C56" s="37"/>
      <c r="D56" s="38"/>
      <c r="E56" s="38"/>
      <c r="F56" s="38"/>
      <c r="G56" s="38"/>
      <c r="H56" s="39"/>
      <c r="I56" s="45" t="str">
        <f>IF($C56="","",IFERROR(INDEX(Catalogo!$E$6:$E$125,MATCH($C56,Catalogo!$C$6:$C$125,0)),""))</f>
        <v/>
      </c>
      <c r="J56" s="39"/>
      <c r="K56" s="6"/>
      <c r="L56" s="37"/>
      <c r="M56" s="38"/>
      <c r="N56" s="38"/>
      <c r="O56" s="38"/>
      <c r="P56" s="38"/>
      <c r="Q56" s="39"/>
      <c r="R56" s="40"/>
      <c r="S56" s="13">
        <v>2</v>
      </c>
      <c r="T56" s="49" t="str">
        <f>IF($AM56=0,"",IF(INDEX($J$13:$J$42,$AM56)=2,INDEX($AH$13:$AH$42,$AM56),""))</f>
        <v/>
      </c>
      <c r="U56" s="38"/>
      <c r="V56" s="39"/>
      <c r="W56" s="13">
        <v>2</v>
      </c>
      <c r="X56" s="40"/>
      <c r="AM56">
        <f>IFERROR(MATCH(1,INDEX(($K$13:$K$42&lt;=2)*($J$13:$J$42&gt;=2),0),0),0)</f>
        <v>0</v>
      </c>
      <c r="AN56" t="str">
        <f>IF(2&gt;$AR$5,"Fuera",IF($AM56=0,"",INDEX($AD$13:$AD$42,$AM56)))</f>
        <v/>
      </c>
      <c r="BA56">
        <f>IF(OR(Catalogo!$C56="",Catalogo!$B56="Espacio libre",Catalogo!$B56="Espacio reservado"),0,COUNTIF($C$13:$C$42,Catalogo!$C56)+IF($E$7=Catalogo!$C56,N($K$7),0)+IF($E$8=Catalogo!$C56,N($N$8),0)+IF(Proyecto!$D$12=Catalogo!$C56,$AQ$4,0)+SUMIF($C$49:$C$58,Catalogo!$C56,$K$49:$K$58))</f>
        <v>0</v>
      </c>
    </row>
    <row r="57" spans="2:53" ht="14" customHeight="1" x14ac:dyDescent="0.45">
      <c r="B57" s="9">
        <v>9</v>
      </c>
      <c r="C57" s="37"/>
      <c r="D57" s="38"/>
      <c r="E57" s="38"/>
      <c r="F57" s="38"/>
      <c r="G57" s="38"/>
      <c r="H57" s="39"/>
      <c r="I57" s="45" t="str">
        <f>IF($C57="","",IFERROR(INDEX(Catalogo!$E$6:$E$125,MATCH($C57,Catalogo!$C$6:$C$125,0)),""))</f>
        <v/>
      </c>
      <c r="J57" s="39"/>
      <c r="K57" s="6"/>
      <c r="L57" s="37"/>
      <c r="M57" s="38"/>
      <c r="N57" s="38"/>
      <c r="O57" s="38"/>
      <c r="P57" s="38"/>
      <c r="Q57" s="39"/>
      <c r="R57" s="40"/>
      <c r="S57" s="13">
        <v>1</v>
      </c>
      <c r="T57" s="49" t="str">
        <f>IF($AM57=0,"",IF(INDEX($J$13:$J$42,$AM57)=1,INDEX($AH$13:$AH$42,$AM57),""))</f>
        <v/>
      </c>
      <c r="U57" s="38"/>
      <c r="V57" s="39"/>
      <c r="W57" s="13">
        <v>1</v>
      </c>
      <c r="X57" s="40"/>
      <c r="AM57">
        <f>IFERROR(MATCH(1,INDEX(($K$13:$K$42&lt;=1)*($J$13:$J$42&gt;=1),0),0),0)</f>
        <v>0</v>
      </c>
      <c r="AN57" t="str">
        <f>IF(1&gt;$AR$5,"Fuera",IF($AM57=0,"",INDEX($AD$13:$AD$42,$AM57)))</f>
        <v/>
      </c>
      <c r="BA57">
        <f>IF(OR(Catalogo!$C57="",Catalogo!$B57="Espacio libre",Catalogo!$B57="Espacio reservado"),0,COUNTIF($C$13:$C$42,Catalogo!$C57)+IF($E$7=Catalogo!$C57,N($K$7),0)+IF($E$8=Catalogo!$C57,N($N$8),0)+IF(Proyecto!$D$12=Catalogo!$C57,$AQ$4,0)+SUMIF($C$49:$C$58,Catalogo!$C57,$K$49:$K$58))</f>
        <v>0</v>
      </c>
    </row>
    <row r="58" spans="2:53" x14ac:dyDescent="0.45">
      <c r="B58" s="9">
        <v>10</v>
      </c>
      <c r="C58" s="37"/>
      <c r="D58" s="38"/>
      <c r="E58" s="38"/>
      <c r="F58" s="38"/>
      <c r="G58" s="38"/>
      <c r="H58" s="39"/>
      <c r="I58" s="45" t="str">
        <f>IF($C58="","",IFERROR(INDEX(Catalogo!$E$6:$E$125,MATCH($C58,Catalogo!$C$6:$C$125,0)),""))</f>
        <v/>
      </c>
      <c r="J58" s="39"/>
      <c r="K58" s="6"/>
      <c r="L58" s="37"/>
      <c r="M58" s="38"/>
      <c r="N58" s="38"/>
      <c r="O58" s="38"/>
      <c r="P58" s="38"/>
      <c r="Q58" s="39"/>
      <c r="BA58">
        <f>IF(OR(Catalogo!$C58="",Catalogo!$B58="Espacio libre",Catalogo!$B58="Espacio reservado"),0,COUNTIF($C$13:$C$42,Catalogo!$C58)+IF($E$7=Catalogo!$C58,N($K$7),0)+IF($E$8=Catalogo!$C58,N($N$8),0)+IF(Proyecto!$D$12=Catalogo!$C58,$AQ$4,0)+SUMIF($C$49:$C$58,Catalogo!$C58,$K$49:$K$58))</f>
        <v>0</v>
      </c>
    </row>
    <row r="59" spans="2:53" x14ac:dyDescent="0.45">
      <c r="B59" s="2" t="s">
        <v>442</v>
      </c>
      <c r="C59" s="2"/>
      <c r="D59" s="2"/>
      <c r="E59" s="2" t="s">
        <v>443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S59" s="14" t="s">
        <v>404</v>
      </c>
      <c r="W59" s="15" t="s">
        <v>405</v>
      </c>
      <c r="BA59">
        <f>IF(OR(Catalogo!$C59="",Catalogo!$B59="Espacio libre",Catalogo!$B59="Espacio reservado"),0,COUNTIF($C$13:$C$42,Catalogo!$C59)+IF($E$7=Catalogo!$C59,N($K$7),0)+IF($E$8=Catalogo!$C59,N($N$8),0)+IF(Proyecto!$D$12=Catalogo!$C59,$AQ$4,0)+SUMIF($C$49:$C$58,Catalogo!$C59,$K$49:$K$58))</f>
        <v>0</v>
      </c>
    </row>
    <row r="60" spans="2:53" x14ac:dyDescent="0.45">
      <c r="B60" s="42" t="s">
        <v>444</v>
      </c>
      <c r="C60" s="43"/>
      <c r="D60" s="43"/>
      <c r="E60" s="43"/>
      <c r="F60" s="43"/>
      <c r="G60" s="44"/>
      <c r="H60" s="9">
        <f>ROUND(SUM($CL$13:$CL$42),0)</f>
        <v>500</v>
      </c>
      <c r="I60" s="9" t="s">
        <v>22</v>
      </c>
      <c r="J60" s="45" t="str">
        <f>IF(SUM($CO$13:$CO$42)&gt;0,"⚠ "&amp;SUM($CO$13:$CO$42)&amp;" equipo(s) sin dato de consumo en el Catálogo","✓ Todos los equipos tienen dato de consumo")</f>
        <v>⚠ 1 equipo(s) sin dato de consumo en el Catálogo</v>
      </c>
      <c r="K60" s="38"/>
      <c r="L60" s="38"/>
      <c r="M60" s="38"/>
      <c r="N60" s="38"/>
      <c r="O60" s="38"/>
      <c r="P60" s="38"/>
      <c r="Q60" s="39"/>
      <c r="T60" s="16" t="s">
        <v>103</v>
      </c>
      <c r="V60" s="17" t="s">
        <v>19</v>
      </c>
      <c r="BA60">
        <f>IF(OR(Catalogo!$C60="",Catalogo!$B60="Espacio libre",Catalogo!$B60="Espacio reservado"),0,COUNTIF($C$13:$C$42,Catalogo!$C60)+IF($E$7=Catalogo!$C60,N($K$7),0)+IF($E$8=Catalogo!$C60,N($N$8),0)+IF(Proyecto!$D$12=Catalogo!$C60,$AQ$4,0)+SUMIF($C$49:$C$58,Catalogo!$C60,$K$49:$K$58))</f>
        <v>0</v>
      </c>
    </row>
    <row r="61" spans="2:53" x14ac:dyDescent="0.45">
      <c r="B61" s="42" t="s">
        <v>445</v>
      </c>
      <c r="C61" s="43"/>
      <c r="D61" s="43"/>
      <c r="E61" s="43"/>
      <c r="F61" s="43"/>
      <c r="G61" s="44"/>
      <c r="H61" s="6"/>
      <c r="I61" s="9" t="s">
        <v>22</v>
      </c>
      <c r="J61" s="45" t="s">
        <v>446</v>
      </c>
      <c r="K61" s="38"/>
      <c r="L61" s="38"/>
      <c r="M61" s="38"/>
      <c r="N61" s="38"/>
      <c r="O61" s="38"/>
      <c r="P61" s="38"/>
      <c r="Q61" s="39"/>
      <c r="T61" s="18" t="s">
        <v>27</v>
      </c>
      <c r="V61" s="19" t="s">
        <v>120</v>
      </c>
      <c r="BA61">
        <f>IF(OR(Catalogo!$C61="",Catalogo!$B61="Espacio libre",Catalogo!$B61="Espacio reservado"),0,COUNTIF($C$13:$C$42,Catalogo!$C61)+IF($E$7=Catalogo!$C61,N($K$7),0)+IF($E$8=Catalogo!$C61,N($N$8),0)+IF(Proyecto!$D$12=Catalogo!$C61,$AQ$4,0)+SUMIF($C$49:$C$58,Catalogo!$C61,$K$49:$K$58))</f>
        <v>0</v>
      </c>
    </row>
    <row r="62" spans="2:53" x14ac:dyDescent="0.45">
      <c r="B62" s="42" t="s">
        <v>447</v>
      </c>
      <c r="C62" s="43"/>
      <c r="D62" s="43"/>
      <c r="E62" s="43"/>
      <c r="F62" s="43"/>
      <c r="G62" s="44"/>
      <c r="H62" s="9">
        <f>H60+N(H61)</f>
        <v>500</v>
      </c>
      <c r="I62" s="9" t="s">
        <v>22</v>
      </c>
      <c r="J62" s="45" t="s">
        <v>448</v>
      </c>
      <c r="K62" s="38"/>
      <c r="L62" s="38"/>
      <c r="M62" s="38"/>
      <c r="N62" s="38"/>
      <c r="O62" s="38"/>
      <c r="P62" s="38"/>
      <c r="Q62" s="39"/>
      <c r="T62" s="20" t="s">
        <v>147</v>
      </c>
      <c r="V62" s="21" t="s">
        <v>139</v>
      </c>
      <c r="BA62">
        <f>IF(OR(Catalogo!$C62="",Catalogo!$B62="Espacio libre",Catalogo!$B62="Espacio reservado"),0,COUNTIF($C$13:$C$42,Catalogo!$C62)+IF($E$7=Catalogo!$C62,N($K$7),0)+IF($E$8=Catalogo!$C62,N($N$8),0)+IF(Proyecto!$D$12=Catalogo!$C62,$AQ$4,0)+SUMIF($C$49:$C$58,Catalogo!$C62,$K$49:$K$58))</f>
        <v>0</v>
      </c>
    </row>
    <row r="63" spans="2:53" x14ac:dyDescent="0.45">
      <c r="B63" s="42" t="s">
        <v>449</v>
      </c>
      <c r="C63" s="43"/>
      <c r="D63" s="43"/>
      <c r="E63" s="43"/>
      <c r="F63" s="43"/>
      <c r="G63" s="44"/>
      <c r="H63" s="9">
        <f>ROUND(H60*3.412,0)</f>
        <v>1706</v>
      </c>
      <c r="I63" s="9" t="s">
        <v>450</v>
      </c>
      <c r="J63" s="45" t="str">
        <f>"≈ "&amp;TEXT(H63/12000,"0.00")&amp;" t.r. · dato para la hoja de cargas térmicas"</f>
        <v>≈ 0.00 t.r. · dato para la hoja de cargas térmicas</v>
      </c>
      <c r="K63" s="38"/>
      <c r="L63" s="38"/>
      <c r="M63" s="38"/>
      <c r="N63" s="38"/>
      <c r="O63" s="38"/>
      <c r="P63" s="38"/>
      <c r="Q63" s="39"/>
      <c r="T63" s="22" t="s">
        <v>343</v>
      </c>
      <c r="V63" s="23" t="s">
        <v>339</v>
      </c>
      <c r="BA63">
        <f>IF(OR(Catalogo!$C63="",Catalogo!$B63="Espacio libre",Catalogo!$B63="Espacio reservado"),0,COUNTIF($C$13:$C$42,Catalogo!$C63)+IF($E$7=Catalogo!$C63,N($K$7),0)+IF($E$8=Catalogo!$C63,N($N$8),0)+IF(Proyecto!$D$12=Catalogo!$C63,$AQ$4,0)+SUMIF($C$49:$C$58,Catalogo!$C63,$K$49:$K$58))</f>
        <v>0</v>
      </c>
    </row>
    <row r="64" spans="2:53" x14ac:dyDescent="0.45">
      <c r="B64" s="42" t="s">
        <v>451</v>
      </c>
      <c r="C64" s="43"/>
      <c r="D64" s="43"/>
      <c r="E64" s="43"/>
      <c r="F64" s="43"/>
      <c r="G64" s="44"/>
      <c r="H64" s="9">
        <f>ROUND(SUM($CM$13:$CM$42),0)</f>
        <v>77</v>
      </c>
      <c r="I64" s="9" t="s">
        <v>452</v>
      </c>
      <c r="J64" s="45" t="s">
        <v>453</v>
      </c>
      <c r="K64" s="38"/>
      <c r="L64" s="38"/>
      <c r="M64" s="38"/>
      <c r="N64" s="38"/>
      <c r="O64" s="38"/>
      <c r="P64" s="38"/>
      <c r="Q64" s="39"/>
      <c r="T64" s="24" t="s">
        <v>352</v>
      </c>
      <c r="V64" s="25" t="s">
        <v>349</v>
      </c>
      <c r="BA64">
        <f>IF(OR(Catalogo!$C64="",Catalogo!$B64="Espacio libre",Catalogo!$B64="Espacio reservado"),0,COUNTIF($C$13:$C$42,Catalogo!$C64)+IF($E$7=Catalogo!$C64,N($K$7),0)+IF($E$8=Catalogo!$C64,N($N$8),0)+IF(Proyecto!$D$12=Catalogo!$C64,$AQ$4,0)+SUMIF($C$49:$C$58,Catalogo!$C64,$K$49:$K$58))</f>
        <v>0</v>
      </c>
    </row>
    <row r="65" spans="2:82" x14ac:dyDescent="0.45">
      <c r="B65" s="42" t="s">
        <v>454</v>
      </c>
      <c r="C65" s="43"/>
      <c r="D65" s="43"/>
      <c r="E65" s="43"/>
      <c r="F65" s="43"/>
      <c r="G65" s="44"/>
      <c r="H65" s="9">
        <f>SUM($CN$13:$CN$42)</f>
        <v>2700</v>
      </c>
      <c r="I65" s="9" t="s">
        <v>22</v>
      </c>
      <c r="J65" s="45" t="str">
        <f>IF(H65=0,"Sin UPS en la lista de equipos",COUNTIF($AD$13:$AD$42,"UPS")&amp;" UPS en el rack")</f>
        <v>1 UPS en el rack</v>
      </c>
      <c r="K65" s="38"/>
      <c r="L65" s="38"/>
      <c r="M65" s="38"/>
      <c r="N65" s="38"/>
      <c r="O65" s="38"/>
      <c r="P65" s="38"/>
      <c r="Q65" s="39"/>
      <c r="T65" s="26" t="s">
        <v>322</v>
      </c>
      <c r="V65" s="27" t="s">
        <v>316</v>
      </c>
      <c r="BA65">
        <f>IF(OR(Catalogo!$C65="",Catalogo!$B65="Espacio libre",Catalogo!$B65="Espacio reservado"),0,COUNTIF($C$13:$C$42,Catalogo!$C65)+IF($E$7=Catalogo!$C65,N($K$7),0)+IF($E$8=Catalogo!$C65,N($N$8),0)+IF(Proyecto!$D$12=Catalogo!$C65,$AQ$4,0)+SUMIF($C$49:$C$58,Catalogo!$C65,$K$49:$K$58))</f>
        <v>0</v>
      </c>
    </row>
    <row r="66" spans="2:82" x14ac:dyDescent="0.45">
      <c r="B66" s="42" t="s">
        <v>455</v>
      </c>
      <c r="C66" s="43"/>
      <c r="D66" s="43"/>
      <c r="E66" s="43"/>
      <c r="F66" s="43"/>
      <c r="G66" s="44"/>
      <c r="H66" s="12">
        <f>IF($H$65=0,"",$H$62/$H$65)</f>
        <v>0.18518518518518517</v>
      </c>
      <c r="I66" s="9" t="s">
        <v>456</v>
      </c>
      <c r="J66" s="45" t="str">
        <f>IF(H66="","",IF(H66&gt;0.8,"⚠ Más del 80 % de la capacidad","✓ Dentro del 80 % de la capacidad"))</f>
        <v>✓ Dentro del 80 % de la capacidad</v>
      </c>
      <c r="K66" s="38"/>
      <c r="L66" s="38"/>
      <c r="M66" s="38"/>
      <c r="N66" s="38"/>
      <c r="O66" s="38"/>
      <c r="P66" s="38"/>
      <c r="Q66" s="39"/>
      <c r="T66" s="28" t="s">
        <v>359</v>
      </c>
      <c r="V66" s="29" t="s">
        <v>51</v>
      </c>
      <c r="BA66">
        <f>IF(OR(Catalogo!$C66="",Catalogo!$B66="Espacio libre",Catalogo!$B66="Espacio reservado"),0,COUNTIF($C$13:$C$42,Catalogo!$C66)+IF($E$7=Catalogo!$C66,N($K$7),0)+IF($E$8=Catalogo!$C66,N($N$8),0)+IF(Proyecto!$D$12=Catalogo!$C66,$AQ$4,0)+SUMIF($C$49:$C$58,Catalogo!$C66,$K$49:$K$58))</f>
        <v>0</v>
      </c>
    </row>
    <row r="67" spans="2:82" x14ac:dyDescent="0.45">
      <c r="B67" s="42" t="s">
        <v>457</v>
      </c>
      <c r="C67" s="43"/>
      <c r="D67" s="43"/>
      <c r="E67" s="43"/>
      <c r="F67" s="43"/>
      <c r="G67" s="44"/>
      <c r="H67" s="12">
        <f>IF(MAX($CN$13:$CN$42)=0,"",$H$62/MAX($CN$13:$CN$42))</f>
        <v>0.18518518518518517</v>
      </c>
      <c r="I67" s="9" t="s">
        <v>456</v>
      </c>
      <c r="J67" s="45" t="str">
        <f>IF(H67="","",IF(COUNTIF($AD$13:$AD$42,"UPS")&lt;2,"Un solo UPS: sin redundancia",IF(H67&gt;0.8,"⚠ Un UPS no soporta la carga","✓ Un UPS soporta la carga")))</f>
        <v>Un solo UPS: sin redundancia</v>
      </c>
      <c r="K67" s="38"/>
      <c r="L67" s="38"/>
      <c r="M67" s="38"/>
      <c r="N67" s="38"/>
      <c r="O67" s="38"/>
      <c r="P67" s="38"/>
      <c r="Q67" s="39"/>
      <c r="T67" s="30" t="s">
        <v>233</v>
      </c>
      <c r="V67" s="31" t="s">
        <v>326</v>
      </c>
      <c r="BA67">
        <f>IF(OR(Catalogo!$C67="",Catalogo!$B67="Espacio libre",Catalogo!$B67="Espacio reservado"),0,COUNTIF($C$13:$C$42,Catalogo!$C67)+IF($E$7=Catalogo!$C67,N($K$7),0)+IF($E$8=Catalogo!$C67,N($N$8),0)+IF(Proyecto!$D$12=Catalogo!$C67,$AQ$4,0)+SUMIF($C$49:$C$58,Catalogo!$C67,$K$49:$K$58))</f>
        <v>0</v>
      </c>
    </row>
    <row r="68" spans="2:82" ht="18" hidden="1" customHeight="1" x14ac:dyDescent="0.45">
      <c r="B68" s="2" t="s">
        <v>406</v>
      </c>
      <c r="C68" s="2"/>
      <c r="D68" s="2"/>
      <c r="E68" s="2" t="s">
        <v>407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32" t="s">
        <v>330</v>
      </c>
      <c r="U68" s="2"/>
      <c r="V68" s="32" t="s">
        <v>408</v>
      </c>
      <c r="W68" s="2"/>
      <c r="X68" s="2"/>
      <c r="BA68">
        <f>IF(OR(Catalogo!$C68="",Catalogo!$B68="Espacio libre",Catalogo!$B68="Espacio reservado"),0,COUNTIF($C$13:$C$42,Catalogo!$C68)+IF($E$7=Catalogo!$C68,N($K$7),0)+IF($E$8=Catalogo!$C68,N($N$8),0)+IF(Proyecto!$D$12=Catalogo!$C68,$AQ$4,0)+SUMIF($C$49:$C$58,Catalogo!$C68,$K$49:$K$58))</f>
        <v>0</v>
      </c>
    </row>
    <row r="69" spans="2:82" hidden="1" x14ac:dyDescent="0.45">
      <c r="B69" s="10" t="s">
        <v>409</v>
      </c>
      <c r="BA69">
        <f>IF(OR(Catalogo!$C69="",Catalogo!$B69="Espacio libre",Catalogo!$B69="Espacio reservado"),0,COUNTIF($C$13:$C$42,Catalogo!$C69)+IF($E$7=Catalogo!$C69,N($K$7),0)+IF($E$8=Catalogo!$C69,N($N$8),0)+IF(Proyecto!$D$12=Catalogo!$C69,$AQ$4,0)+SUMIF($C$49:$C$58,Catalogo!$C69,$K$49:$K$58))</f>
        <v>0</v>
      </c>
    </row>
    <row r="70" spans="2:82" hidden="1" x14ac:dyDescent="0.45">
      <c r="B70" s="51" t="str">
        <f>IF($BN$13="","Bloque 1 — sin panel","Panel "&amp;$BN$13&amp;"  (puertos "&amp;($BM$13+1)&amp;"-"&amp;MIN($BM$13+24,$BO$13)&amp;")"&amp;IF($BP$13&lt;&gt;"","  · "&amp;$BP$13,"")&amp;"  · "&amp;TEXT(IFERROR(INDEX($BS$13:$BS$28,$BL$13)/$BO$13,0),"0%"))</f>
        <v>Panel 1B-AA  (puertos 1-24)  · D  · 100%</v>
      </c>
      <c r="C70" s="40"/>
      <c r="D70" s="40"/>
      <c r="E70" s="40"/>
      <c r="F70" s="40"/>
      <c r="H70" s="51" t="str">
        <f>IF($BN$14="","Bloque 2 — sin panel","Panel "&amp;$BN$14&amp;"  (puertos "&amp;($BM$14+1)&amp;"-"&amp;MIN($BM$14+24,$BO$14)&amp;")"&amp;IF($BP$14&lt;&gt;"","  · "&amp;$BP$14,"")&amp;"  · "&amp;TEXT(IFERROR(INDEX($BS$13:$BS$28,$BL$14)/$BO$14,0),"0%"))</f>
        <v>Panel 1B-AA  (puertos 25-48)  · D  · 100%</v>
      </c>
      <c r="I70" s="40"/>
      <c r="J70" s="40"/>
      <c r="K70" s="40"/>
      <c r="L70" s="40"/>
      <c r="N70" s="51" t="str">
        <f>IF($BN$15="","Bloque 3 — sin panel","Panel "&amp;$BN$15&amp;"  (puertos "&amp;($BM$15+1)&amp;"-"&amp;MIN($BM$15+24,$BO$15)&amp;")"&amp;IF($BP$15&lt;&gt;"","  · "&amp;$BP$15,"")&amp;"  · "&amp;TEXT(IFERROR(INDEX($BS$13:$BS$28,$BL$15)/$BO$15,0),"0%"))</f>
        <v>Panel 1B-AB  (puertos 1-24)  · W  · 100%</v>
      </c>
      <c r="O70" s="40"/>
      <c r="P70" s="40"/>
      <c r="Q70" s="40"/>
      <c r="R70" s="40"/>
      <c r="T70" s="51" t="str">
        <f>IF($BN$16="","Bloque 4 — sin panel","Panel "&amp;$BN$16&amp;"  (puertos "&amp;($BM$16+1)&amp;"-"&amp;MIN($BM$16+24,$BO$16)&amp;")"&amp;IF($BP$16&lt;&gt;"","  · "&amp;$BP$16,"")&amp;"  · "&amp;TEXT(IFERROR(INDEX($BS$13:$BS$28,$BL$16)/$BO$16,0),"0%"))</f>
        <v>Panel 1B-AC  (puertos 1-24)  · C  · 100%</v>
      </c>
      <c r="U70" s="40"/>
      <c r="V70" s="40"/>
      <c r="W70" s="40"/>
      <c r="X70" s="40"/>
      <c r="BA70">
        <f>IF(OR(Catalogo!$C70="",Catalogo!$B70="Espacio libre",Catalogo!$B70="Espacio reservado"),0,COUNTIF($C$13:$C$42,Catalogo!$C70)+IF($E$7=Catalogo!$C70,N($K$7),0)+IF($E$8=Catalogo!$C70,N($N$8),0)+IF(Proyecto!$D$12=Catalogo!$C70,$AQ$4,0)+SUMIF($C$49:$C$58,Catalogo!$C70,$K$49:$K$58))</f>
        <v>0</v>
      </c>
    </row>
    <row r="71" spans="2:82" hidden="1" x14ac:dyDescent="0.45">
      <c r="B71" s="5" t="s">
        <v>410</v>
      </c>
      <c r="C71" s="5" t="s">
        <v>411</v>
      </c>
      <c r="D71" s="5" t="s">
        <v>389</v>
      </c>
      <c r="E71" s="5" t="s">
        <v>412</v>
      </c>
      <c r="F71" s="5" t="s">
        <v>413</v>
      </c>
      <c r="H71" s="5" t="s">
        <v>410</v>
      </c>
      <c r="I71" s="5" t="s">
        <v>411</v>
      </c>
      <c r="J71" s="5" t="s">
        <v>389</v>
      </c>
      <c r="K71" s="5" t="s">
        <v>412</v>
      </c>
      <c r="L71" s="5" t="s">
        <v>413</v>
      </c>
      <c r="N71" s="5" t="s">
        <v>410</v>
      </c>
      <c r="O71" s="5" t="s">
        <v>411</v>
      </c>
      <c r="P71" s="5" t="s">
        <v>389</v>
      </c>
      <c r="Q71" s="5" t="s">
        <v>412</v>
      </c>
      <c r="R71" s="5" t="s">
        <v>413</v>
      </c>
      <c r="T71" s="5" t="s">
        <v>410</v>
      </c>
      <c r="U71" s="5" t="s">
        <v>411</v>
      </c>
      <c r="V71" s="5" t="s">
        <v>389</v>
      </c>
      <c r="W71" s="5" t="s">
        <v>412</v>
      </c>
      <c r="X71" s="5" t="s">
        <v>413</v>
      </c>
      <c r="BA71">
        <f>IF(OR(Catalogo!$C71="",Catalogo!$B71="Espacio libre",Catalogo!$B71="Espacio reservado"),0,COUNTIF($C$13:$C$42,Catalogo!$C71)+IF($E$7=Catalogo!$C71,N($K$7),0)+IF($E$8=Catalogo!$C71,N($N$8),0)+IF(Proyecto!$D$12=Catalogo!$C71,$AQ$4,0)+SUMIF($C$49:$C$58,Catalogo!$C71,$K$49:$K$58))</f>
        <v>0</v>
      </c>
    </row>
    <row r="72" spans="2:82" hidden="1" x14ac:dyDescent="0.45">
      <c r="B72" s="6"/>
      <c r="C72" s="9" t="str">
        <f>IF(CA72="","",CA72&amp;"-"&amp;TEXT(0+COUNTIF($CA$72:CA72,CA72),"000"))</f>
        <v>D-001</v>
      </c>
      <c r="D72" s="9" t="str">
        <f>IF(AND($BN$13&lt;&gt;"",($BM$13+1)&lt;=$BO$13),$BN$13,"")</f>
        <v>1B-AA</v>
      </c>
      <c r="E72" s="9" t="str">
        <f>IF(AND($BN$13&lt;&gt;"",($BM$13+1)&lt;=$BO$13),TEXT(($BM$13+1),"00"),"")</f>
        <v>01</v>
      </c>
      <c r="F72" s="9" t="str">
        <f>IF(AND($BN$13&lt;&gt;"",($BM$13+1)&lt;=$BO$13),$BN$13&amp;"-"&amp;TEXT(($BM$13+1),"00"),"")</f>
        <v>1B-AA-01</v>
      </c>
      <c r="H72" s="6"/>
      <c r="I72" s="9" t="str">
        <f>IF(CB72="","",CB72&amp;"-"&amp;TEXT(COUNTIF($CA$72:$CA$95,CB72)+COUNTIF($CB$72:CB72,CB72),"000"))</f>
        <v>D-025</v>
      </c>
      <c r="J72" s="9" t="str">
        <f>IF(AND($BN$14&lt;&gt;"",($BM$14+1)&lt;=$BO$14),$BN$14,"")</f>
        <v>1B-AA</v>
      </c>
      <c r="K72" s="9" t="str">
        <f>IF(AND($BN$14&lt;&gt;"",($BM$14+1)&lt;=$BO$14),TEXT(($BM$14+1),"00"),"")</f>
        <v>25</v>
      </c>
      <c r="L72" s="9" t="str">
        <f>IF(AND($BN$14&lt;&gt;"",($BM$14+1)&lt;=$BO$14),$BN$14&amp;"-"&amp;TEXT(($BM$14+1),"00"),"")</f>
        <v>1B-AA-25</v>
      </c>
      <c r="N72" s="6"/>
      <c r="O72" s="9" t="str">
        <f>IF(CC72="","",CC72&amp;"-"&amp;TEXT(COUNTIF($CA$72:$CA$95,CC72)+COUNTIF($CB$72:$CB$95,CC72)+COUNTIF($CC$72:CC72,CC72),"000"))</f>
        <v>W-001</v>
      </c>
      <c r="P72" s="9" t="str">
        <f>IF(AND($BN$15&lt;&gt;"",($BM$15+1)&lt;=$BO$15),$BN$15,"")</f>
        <v>1B-AB</v>
      </c>
      <c r="Q72" s="9" t="str">
        <f>IF(AND($BN$15&lt;&gt;"",($BM$15+1)&lt;=$BO$15),TEXT(($BM$15+1),"00"),"")</f>
        <v>01</v>
      </c>
      <c r="R72" s="9" t="str">
        <f>IF(AND($BN$15&lt;&gt;"",($BM$15+1)&lt;=$BO$15),$BN$15&amp;"-"&amp;TEXT(($BM$15+1),"00"),"")</f>
        <v>1B-AB-01</v>
      </c>
      <c r="T72" s="6"/>
      <c r="U72" s="9" t="str">
        <f>IF(CD72="","",CD72&amp;"-"&amp;TEXT(COUNTIF($CA$72:$CA$95,CD72)+COUNTIF($CB$72:$CB$95,CD72)+COUNTIF($CC$72:$CC$95,CD72)+COUNTIF($CD$72:CD72,CD72),"000"))</f>
        <v>C-001</v>
      </c>
      <c r="V72" s="9" t="str">
        <f>IF(AND($BN$16&lt;&gt;"",($BM$16+1)&lt;=$BO$16),$BN$16,"")</f>
        <v>1B-AC</v>
      </c>
      <c r="W72" s="9" t="str">
        <f>IF(AND($BN$16&lt;&gt;"",($BM$16+1)&lt;=$BO$16),TEXT(($BM$16+1),"00"),"")</f>
        <v>01</v>
      </c>
      <c r="X72" s="9" t="str">
        <f>IF(AND($BN$16&lt;&gt;"",($BM$16+1)&lt;=$BO$16),$BN$16&amp;"-"&amp;TEXT(($BM$16+1),"00"),"")</f>
        <v>1B-AC-01</v>
      </c>
      <c r="BA72">
        <f>IF(OR(Catalogo!$C72="",Catalogo!$B72="Espacio libre",Catalogo!$B72="Espacio reservado"),0,COUNTIF($C$13:$C$42,Catalogo!$C72)+IF($E$7=Catalogo!$C72,N($K$7),0)+IF($E$8=Catalogo!$C72,N($N$8),0)+IF(Proyecto!$D$12=Catalogo!$C72,$AQ$4,0)+SUMIF($C$49:$C$58,Catalogo!$C72,$K$49:$K$58))</f>
        <v>0</v>
      </c>
      <c r="CA72" t="str" cm="1">
        <f t="array" ref="CA72">IF(NOT(AND($BN$13&lt;&gt;"",($BM$13+1)&lt;=$BO$13)),"",IF(B72&lt;&gt;"",IF(B72="-","",B72),IF(ISNUMBER(SEARCH(":",$BP$13)),IFERROR(_xlfn.LET(_xlpm.s,_xlfn.TEXTSPLIT($BP$13,","),_xlpm.k,FIND(":",_xlpm.s),INDEX(TRIM(LEFT(_xlpm.s,_xlpm.k-1)),_xlfn.XMATCH(($BM$13+1),_xlfn.SCAN(0,--MID(_xlpm.s,_xlpm.k+1,9),_xlfn.LAMBDA(_xlpm.a,_xlpm.v,_xlpm.a+_xlpm.v)),1))),""),IF(($BM$13+1)&lt;=$BQ$13,$BP$13,""))))</f>
        <v>D</v>
      </c>
      <c r="CB72" t="str" cm="1">
        <f t="array" ref="CB72">IF(NOT(AND($BN$14&lt;&gt;"",($BM$14+1)&lt;=$BO$14)),"",IF(H72&lt;&gt;"",IF(H72="-","",H72),IF(ISNUMBER(SEARCH(":",$BP$14)),IFERROR(_xlfn.LET(_xlpm.s,_xlfn.TEXTSPLIT($BP$14,","),_xlpm.k,FIND(":",_xlpm.s),INDEX(TRIM(LEFT(_xlpm.s,_xlpm.k-1)),_xlfn.XMATCH(($BM$14+1),_xlfn.SCAN(0,--MID(_xlpm.s,_xlpm.k+1,9),_xlfn.LAMBDA(_xlpm.a,_xlpm.v,_xlpm.a+_xlpm.v)),1))),""),IF(($BM$14+1)&lt;=$BQ$14,$BP$14,""))))</f>
        <v>D</v>
      </c>
      <c r="CC72" t="str" cm="1">
        <f t="array" ref="CC72">IF(NOT(AND($BN$15&lt;&gt;"",($BM$15+1)&lt;=$BO$15)),"",IF(N72&lt;&gt;"",IF(N72="-","",N72),IF(ISNUMBER(SEARCH(":",$BP$15)),IFERROR(_xlfn.LET(_xlpm.s,_xlfn.TEXTSPLIT($BP$15,","),_xlpm.k,FIND(":",_xlpm.s),INDEX(TRIM(LEFT(_xlpm.s,_xlpm.k-1)),_xlfn.XMATCH(($BM$15+1),_xlfn.SCAN(0,--MID(_xlpm.s,_xlpm.k+1,9),_xlfn.LAMBDA(_xlpm.a,_xlpm.v,_xlpm.a+_xlpm.v)),1))),""),IF(($BM$15+1)&lt;=$BQ$15,$BP$15,""))))</f>
        <v>W</v>
      </c>
      <c r="CD72" t="str" cm="1">
        <f t="array" ref="CD72">IF(NOT(AND($BN$16&lt;&gt;"",($BM$16+1)&lt;=$BO$16)),"",IF(T72&lt;&gt;"",IF(T72="-","",T72),IF(ISNUMBER(SEARCH(":",$BP$16)),IFERROR(_xlfn.LET(_xlpm.s,_xlfn.TEXTSPLIT($BP$16,","),_xlpm.k,FIND(":",_xlpm.s),INDEX(TRIM(LEFT(_xlpm.s,_xlpm.k-1)),_xlfn.XMATCH(($BM$16+1),_xlfn.SCAN(0,--MID(_xlpm.s,_xlpm.k+1,9),_xlfn.LAMBDA(_xlpm.a,_xlpm.v,_xlpm.a+_xlpm.v)),1))),""),IF(($BM$16+1)&lt;=$BQ$16,$BP$16,""))))</f>
        <v>C</v>
      </c>
    </row>
    <row r="73" spans="2:82" hidden="1" x14ac:dyDescent="0.45">
      <c r="B73" s="6"/>
      <c r="C73" s="9" t="str">
        <f>IF(CA73="","",CA73&amp;"-"&amp;TEXT(0+COUNTIF($CA$72:CA73,CA73),"000"))</f>
        <v>D-002</v>
      </c>
      <c r="D73" s="9" t="str">
        <f>IF(AND($BN$13&lt;&gt;"",($BM$13+2)&lt;=$BO$13),$BN$13,"")</f>
        <v>1B-AA</v>
      </c>
      <c r="E73" s="9" t="str">
        <f>IF(AND($BN$13&lt;&gt;"",($BM$13+2)&lt;=$BO$13),TEXT(($BM$13+2),"00"),"")</f>
        <v>02</v>
      </c>
      <c r="F73" s="9" t="str">
        <f>IF(AND($BN$13&lt;&gt;"",($BM$13+2)&lt;=$BO$13),$BN$13&amp;"-"&amp;TEXT(($BM$13+2),"00"),"")</f>
        <v>1B-AA-02</v>
      </c>
      <c r="H73" s="6"/>
      <c r="I73" s="9" t="str">
        <f>IF(CB73="","",CB73&amp;"-"&amp;TEXT(COUNTIF($CA$72:$CA$95,CB73)+COUNTIF($CB$72:CB73,CB73),"000"))</f>
        <v>D-026</v>
      </c>
      <c r="J73" s="9" t="str">
        <f>IF(AND($BN$14&lt;&gt;"",($BM$14+2)&lt;=$BO$14),$BN$14,"")</f>
        <v>1B-AA</v>
      </c>
      <c r="K73" s="9" t="str">
        <f>IF(AND($BN$14&lt;&gt;"",($BM$14+2)&lt;=$BO$14),TEXT(($BM$14+2),"00"),"")</f>
        <v>26</v>
      </c>
      <c r="L73" s="9" t="str">
        <f>IF(AND($BN$14&lt;&gt;"",($BM$14+2)&lt;=$BO$14),$BN$14&amp;"-"&amp;TEXT(($BM$14+2),"00"),"")</f>
        <v>1B-AA-26</v>
      </c>
      <c r="N73" s="6"/>
      <c r="O73" s="9" t="str">
        <f>IF(CC73="","",CC73&amp;"-"&amp;TEXT(COUNTIF($CA$72:$CA$95,CC73)+COUNTIF($CB$72:$CB$95,CC73)+COUNTIF($CC$72:CC73,CC73),"000"))</f>
        <v>W-002</v>
      </c>
      <c r="P73" s="9" t="str">
        <f>IF(AND($BN$15&lt;&gt;"",($BM$15+2)&lt;=$BO$15),$BN$15,"")</f>
        <v>1B-AB</v>
      </c>
      <c r="Q73" s="9" t="str">
        <f>IF(AND($BN$15&lt;&gt;"",($BM$15+2)&lt;=$BO$15),TEXT(($BM$15+2),"00"),"")</f>
        <v>02</v>
      </c>
      <c r="R73" s="9" t="str">
        <f>IF(AND($BN$15&lt;&gt;"",($BM$15+2)&lt;=$BO$15),$BN$15&amp;"-"&amp;TEXT(($BM$15+2),"00"),"")</f>
        <v>1B-AB-02</v>
      </c>
      <c r="T73" s="6"/>
      <c r="U73" s="9" t="str">
        <f>IF(CD73="","",CD73&amp;"-"&amp;TEXT(COUNTIF($CA$72:$CA$95,CD73)+COUNTIF($CB$72:$CB$95,CD73)+COUNTIF($CC$72:$CC$95,CD73)+COUNTIF($CD$72:CD73,CD73),"000"))</f>
        <v>C-002</v>
      </c>
      <c r="V73" s="9" t="str">
        <f>IF(AND($BN$16&lt;&gt;"",($BM$16+2)&lt;=$BO$16),$BN$16,"")</f>
        <v>1B-AC</v>
      </c>
      <c r="W73" s="9" t="str">
        <f>IF(AND($BN$16&lt;&gt;"",($BM$16+2)&lt;=$BO$16),TEXT(($BM$16+2),"00"),"")</f>
        <v>02</v>
      </c>
      <c r="X73" s="9" t="str">
        <f>IF(AND($BN$16&lt;&gt;"",($BM$16+2)&lt;=$BO$16),$BN$16&amp;"-"&amp;TEXT(($BM$16+2),"00"),"")</f>
        <v>1B-AC-02</v>
      </c>
      <c r="BA73">
        <f>IF(OR(Catalogo!$C73="",Catalogo!$B73="Espacio libre",Catalogo!$B73="Espacio reservado"),0,COUNTIF($C$13:$C$42,Catalogo!$C73)+IF($E$7=Catalogo!$C73,N($K$7),0)+IF($E$8=Catalogo!$C73,N($N$8),0)+IF(Proyecto!$D$12=Catalogo!$C73,$AQ$4,0)+SUMIF($C$49:$C$58,Catalogo!$C73,$K$49:$K$58))</f>
        <v>0</v>
      </c>
      <c r="CA73" t="str" cm="1">
        <f t="array" ref="CA73">IF(NOT(AND($BN$13&lt;&gt;"",($BM$13+2)&lt;=$BO$13)),"",IF(B73&lt;&gt;"",IF(B73="-","",B73),IF(ISNUMBER(SEARCH(":",$BP$13)),IFERROR(_xlfn.LET(_xlpm.s,_xlfn.TEXTSPLIT($BP$13,","),_xlpm.k,FIND(":",_xlpm.s),INDEX(TRIM(LEFT(_xlpm.s,_xlpm.k-1)),_xlfn.XMATCH(($BM$13+2),_xlfn.SCAN(0,--MID(_xlpm.s,_xlpm.k+1,9),_xlfn.LAMBDA(_xlpm.a,_xlpm.v,_xlpm.a+_xlpm.v)),1))),""),IF(($BM$13+2)&lt;=$BQ$13,$BP$13,""))))</f>
        <v>D</v>
      </c>
      <c r="CB73" t="str" cm="1">
        <f t="array" ref="CB73">IF(NOT(AND($BN$14&lt;&gt;"",($BM$14+2)&lt;=$BO$14)),"",IF(H73&lt;&gt;"",IF(H73="-","",H73),IF(ISNUMBER(SEARCH(":",$BP$14)),IFERROR(_xlfn.LET(_xlpm.s,_xlfn.TEXTSPLIT($BP$14,","),_xlpm.k,FIND(":",_xlpm.s),INDEX(TRIM(LEFT(_xlpm.s,_xlpm.k-1)),_xlfn.XMATCH(($BM$14+2),_xlfn.SCAN(0,--MID(_xlpm.s,_xlpm.k+1,9),_xlfn.LAMBDA(_xlpm.a,_xlpm.v,_xlpm.a+_xlpm.v)),1))),""),IF(($BM$14+2)&lt;=$BQ$14,$BP$14,""))))</f>
        <v>D</v>
      </c>
      <c r="CC73" t="str" cm="1">
        <f t="array" ref="CC73">IF(NOT(AND($BN$15&lt;&gt;"",($BM$15+2)&lt;=$BO$15)),"",IF(N73&lt;&gt;"",IF(N73="-","",N73),IF(ISNUMBER(SEARCH(":",$BP$15)),IFERROR(_xlfn.LET(_xlpm.s,_xlfn.TEXTSPLIT($BP$15,","),_xlpm.k,FIND(":",_xlpm.s),INDEX(TRIM(LEFT(_xlpm.s,_xlpm.k-1)),_xlfn.XMATCH(($BM$15+2),_xlfn.SCAN(0,--MID(_xlpm.s,_xlpm.k+1,9),_xlfn.LAMBDA(_xlpm.a,_xlpm.v,_xlpm.a+_xlpm.v)),1))),""),IF(($BM$15+2)&lt;=$BQ$15,$BP$15,""))))</f>
        <v>W</v>
      </c>
      <c r="CD73" t="str" cm="1">
        <f t="array" ref="CD73">IF(NOT(AND($BN$16&lt;&gt;"",($BM$16+2)&lt;=$BO$16)),"",IF(T73&lt;&gt;"",IF(T73="-","",T73),IF(ISNUMBER(SEARCH(":",$BP$16)),IFERROR(_xlfn.LET(_xlpm.s,_xlfn.TEXTSPLIT($BP$16,","),_xlpm.k,FIND(":",_xlpm.s),INDEX(TRIM(LEFT(_xlpm.s,_xlpm.k-1)),_xlfn.XMATCH(($BM$16+2),_xlfn.SCAN(0,--MID(_xlpm.s,_xlpm.k+1,9),_xlfn.LAMBDA(_xlpm.a,_xlpm.v,_xlpm.a+_xlpm.v)),1))),""),IF(($BM$16+2)&lt;=$BQ$16,$BP$16,""))))</f>
        <v>C</v>
      </c>
    </row>
    <row r="74" spans="2:82" hidden="1" x14ac:dyDescent="0.45">
      <c r="B74" s="6"/>
      <c r="C74" s="9" t="str">
        <f>IF(CA74="","",CA74&amp;"-"&amp;TEXT(0+COUNTIF($CA$72:CA74,CA74),"000"))</f>
        <v>D-003</v>
      </c>
      <c r="D74" s="9" t="str">
        <f>IF(AND($BN$13&lt;&gt;"",($BM$13+3)&lt;=$BO$13),$BN$13,"")</f>
        <v>1B-AA</v>
      </c>
      <c r="E74" s="9" t="str">
        <f>IF(AND($BN$13&lt;&gt;"",($BM$13+3)&lt;=$BO$13),TEXT(($BM$13+3),"00"),"")</f>
        <v>03</v>
      </c>
      <c r="F74" s="9" t="str">
        <f>IF(AND($BN$13&lt;&gt;"",($BM$13+3)&lt;=$BO$13),$BN$13&amp;"-"&amp;TEXT(($BM$13+3),"00"),"")</f>
        <v>1B-AA-03</v>
      </c>
      <c r="H74" s="6"/>
      <c r="I74" s="9" t="str">
        <f>IF(CB74="","",CB74&amp;"-"&amp;TEXT(COUNTIF($CA$72:$CA$95,CB74)+COUNTIF($CB$72:CB74,CB74),"000"))</f>
        <v>D-027</v>
      </c>
      <c r="J74" s="9" t="str">
        <f>IF(AND($BN$14&lt;&gt;"",($BM$14+3)&lt;=$BO$14),$BN$14,"")</f>
        <v>1B-AA</v>
      </c>
      <c r="K74" s="9" t="str">
        <f>IF(AND($BN$14&lt;&gt;"",($BM$14+3)&lt;=$BO$14),TEXT(($BM$14+3),"00"),"")</f>
        <v>27</v>
      </c>
      <c r="L74" s="9" t="str">
        <f>IF(AND($BN$14&lt;&gt;"",($BM$14+3)&lt;=$BO$14),$BN$14&amp;"-"&amp;TEXT(($BM$14+3),"00"),"")</f>
        <v>1B-AA-27</v>
      </c>
      <c r="N74" s="6"/>
      <c r="O74" s="9" t="str">
        <f>IF(CC74="","",CC74&amp;"-"&amp;TEXT(COUNTIF($CA$72:$CA$95,CC74)+COUNTIF($CB$72:$CB$95,CC74)+COUNTIF($CC$72:CC74,CC74),"000"))</f>
        <v>W-003</v>
      </c>
      <c r="P74" s="9" t="str">
        <f>IF(AND($BN$15&lt;&gt;"",($BM$15+3)&lt;=$BO$15),$BN$15,"")</f>
        <v>1B-AB</v>
      </c>
      <c r="Q74" s="9" t="str">
        <f>IF(AND($BN$15&lt;&gt;"",($BM$15+3)&lt;=$BO$15),TEXT(($BM$15+3),"00"),"")</f>
        <v>03</v>
      </c>
      <c r="R74" s="9" t="str">
        <f>IF(AND($BN$15&lt;&gt;"",($BM$15+3)&lt;=$BO$15),$BN$15&amp;"-"&amp;TEXT(($BM$15+3),"00"),"")</f>
        <v>1B-AB-03</v>
      </c>
      <c r="T74" s="6"/>
      <c r="U74" s="9" t="str">
        <f>IF(CD74="","",CD74&amp;"-"&amp;TEXT(COUNTIF($CA$72:$CA$95,CD74)+COUNTIF($CB$72:$CB$95,CD74)+COUNTIF($CC$72:$CC$95,CD74)+COUNTIF($CD$72:CD74,CD74),"000"))</f>
        <v>C-003</v>
      </c>
      <c r="V74" s="9" t="str">
        <f>IF(AND($BN$16&lt;&gt;"",($BM$16+3)&lt;=$BO$16),$BN$16,"")</f>
        <v>1B-AC</v>
      </c>
      <c r="W74" s="9" t="str">
        <f>IF(AND($BN$16&lt;&gt;"",($BM$16+3)&lt;=$BO$16),TEXT(($BM$16+3),"00"),"")</f>
        <v>03</v>
      </c>
      <c r="X74" s="9" t="str">
        <f>IF(AND($BN$16&lt;&gt;"",($BM$16+3)&lt;=$BO$16),$BN$16&amp;"-"&amp;TEXT(($BM$16+3),"00"),"")</f>
        <v>1B-AC-03</v>
      </c>
      <c r="BA74">
        <f>IF(OR(Catalogo!$C74="",Catalogo!$B74="Espacio libre",Catalogo!$B74="Espacio reservado"),0,COUNTIF($C$13:$C$42,Catalogo!$C74)+IF($E$7=Catalogo!$C74,N($K$7),0)+IF($E$8=Catalogo!$C74,N($N$8),0)+IF(Proyecto!$D$12=Catalogo!$C74,$AQ$4,0)+SUMIF($C$49:$C$58,Catalogo!$C74,$K$49:$K$58))</f>
        <v>0</v>
      </c>
      <c r="CA74" t="str" cm="1">
        <f t="array" ref="CA74">IF(NOT(AND($BN$13&lt;&gt;"",($BM$13+3)&lt;=$BO$13)),"",IF(B74&lt;&gt;"",IF(B74="-","",B74),IF(ISNUMBER(SEARCH(":",$BP$13)),IFERROR(_xlfn.LET(_xlpm.s,_xlfn.TEXTSPLIT($BP$13,","),_xlpm.k,FIND(":",_xlpm.s),INDEX(TRIM(LEFT(_xlpm.s,_xlpm.k-1)),_xlfn.XMATCH(($BM$13+3),_xlfn.SCAN(0,--MID(_xlpm.s,_xlpm.k+1,9),_xlfn.LAMBDA(_xlpm.a,_xlpm.v,_xlpm.a+_xlpm.v)),1))),""),IF(($BM$13+3)&lt;=$BQ$13,$BP$13,""))))</f>
        <v>D</v>
      </c>
      <c r="CB74" t="str" cm="1">
        <f t="array" ref="CB74">IF(NOT(AND($BN$14&lt;&gt;"",($BM$14+3)&lt;=$BO$14)),"",IF(H74&lt;&gt;"",IF(H74="-","",H74),IF(ISNUMBER(SEARCH(":",$BP$14)),IFERROR(_xlfn.LET(_xlpm.s,_xlfn.TEXTSPLIT($BP$14,","),_xlpm.k,FIND(":",_xlpm.s),INDEX(TRIM(LEFT(_xlpm.s,_xlpm.k-1)),_xlfn.XMATCH(($BM$14+3),_xlfn.SCAN(0,--MID(_xlpm.s,_xlpm.k+1,9),_xlfn.LAMBDA(_xlpm.a,_xlpm.v,_xlpm.a+_xlpm.v)),1))),""),IF(($BM$14+3)&lt;=$BQ$14,$BP$14,""))))</f>
        <v>D</v>
      </c>
      <c r="CC74" t="str" cm="1">
        <f t="array" ref="CC74">IF(NOT(AND($BN$15&lt;&gt;"",($BM$15+3)&lt;=$BO$15)),"",IF(N74&lt;&gt;"",IF(N74="-","",N74),IF(ISNUMBER(SEARCH(":",$BP$15)),IFERROR(_xlfn.LET(_xlpm.s,_xlfn.TEXTSPLIT($BP$15,","),_xlpm.k,FIND(":",_xlpm.s),INDEX(TRIM(LEFT(_xlpm.s,_xlpm.k-1)),_xlfn.XMATCH(($BM$15+3),_xlfn.SCAN(0,--MID(_xlpm.s,_xlpm.k+1,9),_xlfn.LAMBDA(_xlpm.a,_xlpm.v,_xlpm.a+_xlpm.v)),1))),""),IF(($BM$15+3)&lt;=$BQ$15,$BP$15,""))))</f>
        <v>W</v>
      </c>
      <c r="CD74" t="str" cm="1">
        <f t="array" ref="CD74">IF(NOT(AND($BN$16&lt;&gt;"",($BM$16+3)&lt;=$BO$16)),"",IF(T74&lt;&gt;"",IF(T74="-","",T74),IF(ISNUMBER(SEARCH(":",$BP$16)),IFERROR(_xlfn.LET(_xlpm.s,_xlfn.TEXTSPLIT($BP$16,","),_xlpm.k,FIND(":",_xlpm.s),INDEX(TRIM(LEFT(_xlpm.s,_xlpm.k-1)),_xlfn.XMATCH(($BM$16+3),_xlfn.SCAN(0,--MID(_xlpm.s,_xlpm.k+1,9),_xlfn.LAMBDA(_xlpm.a,_xlpm.v,_xlpm.a+_xlpm.v)),1))),""),IF(($BM$16+3)&lt;=$BQ$16,$BP$16,""))))</f>
        <v>C</v>
      </c>
    </row>
    <row r="75" spans="2:82" hidden="1" x14ac:dyDescent="0.45">
      <c r="B75" s="6"/>
      <c r="C75" s="9" t="str">
        <f>IF(CA75="","",CA75&amp;"-"&amp;TEXT(0+COUNTIF($CA$72:CA75,CA75),"000"))</f>
        <v>D-004</v>
      </c>
      <c r="D75" s="9" t="str">
        <f>IF(AND($BN$13&lt;&gt;"",($BM$13+4)&lt;=$BO$13),$BN$13,"")</f>
        <v>1B-AA</v>
      </c>
      <c r="E75" s="9" t="str">
        <f>IF(AND($BN$13&lt;&gt;"",($BM$13+4)&lt;=$BO$13),TEXT(($BM$13+4),"00"),"")</f>
        <v>04</v>
      </c>
      <c r="F75" s="9" t="str">
        <f>IF(AND($BN$13&lt;&gt;"",($BM$13+4)&lt;=$BO$13),$BN$13&amp;"-"&amp;TEXT(($BM$13+4),"00"),"")</f>
        <v>1B-AA-04</v>
      </c>
      <c r="H75" s="6"/>
      <c r="I75" s="9" t="str">
        <f>IF(CB75="","",CB75&amp;"-"&amp;TEXT(COUNTIF($CA$72:$CA$95,CB75)+COUNTIF($CB$72:CB75,CB75),"000"))</f>
        <v>D-028</v>
      </c>
      <c r="J75" s="9" t="str">
        <f>IF(AND($BN$14&lt;&gt;"",($BM$14+4)&lt;=$BO$14),$BN$14,"")</f>
        <v>1B-AA</v>
      </c>
      <c r="K75" s="9" t="str">
        <f>IF(AND($BN$14&lt;&gt;"",($BM$14+4)&lt;=$BO$14),TEXT(($BM$14+4),"00"),"")</f>
        <v>28</v>
      </c>
      <c r="L75" s="9" t="str">
        <f>IF(AND($BN$14&lt;&gt;"",($BM$14+4)&lt;=$BO$14),$BN$14&amp;"-"&amp;TEXT(($BM$14+4),"00"),"")</f>
        <v>1B-AA-28</v>
      </c>
      <c r="N75" s="6"/>
      <c r="O75" s="9" t="str">
        <f>IF(CC75="","",CC75&amp;"-"&amp;TEXT(COUNTIF($CA$72:$CA$95,CC75)+COUNTIF($CB$72:$CB$95,CC75)+COUNTIF($CC$72:CC75,CC75),"000"))</f>
        <v>W-004</v>
      </c>
      <c r="P75" s="9" t="str">
        <f>IF(AND($BN$15&lt;&gt;"",($BM$15+4)&lt;=$BO$15),$BN$15,"")</f>
        <v>1B-AB</v>
      </c>
      <c r="Q75" s="9" t="str">
        <f>IF(AND($BN$15&lt;&gt;"",($BM$15+4)&lt;=$BO$15),TEXT(($BM$15+4),"00"),"")</f>
        <v>04</v>
      </c>
      <c r="R75" s="9" t="str">
        <f>IF(AND($BN$15&lt;&gt;"",($BM$15+4)&lt;=$BO$15),$BN$15&amp;"-"&amp;TEXT(($BM$15+4),"00"),"")</f>
        <v>1B-AB-04</v>
      </c>
      <c r="T75" s="6"/>
      <c r="U75" s="9" t="str">
        <f>IF(CD75="","",CD75&amp;"-"&amp;TEXT(COUNTIF($CA$72:$CA$95,CD75)+COUNTIF($CB$72:$CB$95,CD75)+COUNTIF($CC$72:$CC$95,CD75)+COUNTIF($CD$72:CD75,CD75),"000"))</f>
        <v>C-004</v>
      </c>
      <c r="V75" s="9" t="str">
        <f>IF(AND($BN$16&lt;&gt;"",($BM$16+4)&lt;=$BO$16),$BN$16,"")</f>
        <v>1B-AC</v>
      </c>
      <c r="W75" s="9" t="str">
        <f>IF(AND($BN$16&lt;&gt;"",($BM$16+4)&lt;=$BO$16),TEXT(($BM$16+4),"00"),"")</f>
        <v>04</v>
      </c>
      <c r="X75" s="9" t="str">
        <f>IF(AND($BN$16&lt;&gt;"",($BM$16+4)&lt;=$BO$16),$BN$16&amp;"-"&amp;TEXT(($BM$16+4),"00"),"")</f>
        <v>1B-AC-04</v>
      </c>
      <c r="BA75">
        <f>IF(OR(Catalogo!$C75="",Catalogo!$B75="Espacio libre",Catalogo!$B75="Espacio reservado"),0,COUNTIF($C$13:$C$42,Catalogo!$C75)+IF($E$7=Catalogo!$C75,N($K$7),0)+IF($E$8=Catalogo!$C75,N($N$8),0)+IF(Proyecto!$D$12=Catalogo!$C75,$AQ$4,0)+SUMIF($C$49:$C$58,Catalogo!$C75,$K$49:$K$58))</f>
        <v>0</v>
      </c>
      <c r="CA75" t="str" cm="1">
        <f t="array" ref="CA75">IF(NOT(AND($BN$13&lt;&gt;"",($BM$13+4)&lt;=$BO$13)),"",IF(B75&lt;&gt;"",IF(B75="-","",B75),IF(ISNUMBER(SEARCH(":",$BP$13)),IFERROR(_xlfn.LET(_xlpm.s,_xlfn.TEXTSPLIT($BP$13,","),_xlpm.k,FIND(":",_xlpm.s),INDEX(TRIM(LEFT(_xlpm.s,_xlpm.k-1)),_xlfn.XMATCH(($BM$13+4),_xlfn.SCAN(0,--MID(_xlpm.s,_xlpm.k+1,9),_xlfn.LAMBDA(_xlpm.a,_xlpm.v,_xlpm.a+_xlpm.v)),1))),""),IF(($BM$13+4)&lt;=$BQ$13,$BP$13,""))))</f>
        <v>D</v>
      </c>
      <c r="CB75" t="str" cm="1">
        <f t="array" ref="CB75">IF(NOT(AND($BN$14&lt;&gt;"",($BM$14+4)&lt;=$BO$14)),"",IF(H75&lt;&gt;"",IF(H75="-","",H75),IF(ISNUMBER(SEARCH(":",$BP$14)),IFERROR(_xlfn.LET(_xlpm.s,_xlfn.TEXTSPLIT($BP$14,","),_xlpm.k,FIND(":",_xlpm.s),INDEX(TRIM(LEFT(_xlpm.s,_xlpm.k-1)),_xlfn.XMATCH(($BM$14+4),_xlfn.SCAN(0,--MID(_xlpm.s,_xlpm.k+1,9),_xlfn.LAMBDA(_xlpm.a,_xlpm.v,_xlpm.a+_xlpm.v)),1))),""),IF(($BM$14+4)&lt;=$BQ$14,$BP$14,""))))</f>
        <v>D</v>
      </c>
      <c r="CC75" t="str" cm="1">
        <f t="array" ref="CC75">IF(NOT(AND($BN$15&lt;&gt;"",($BM$15+4)&lt;=$BO$15)),"",IF(N75&lt;&gt;"",IF(N75="-","",N75),IF(ISNUMBER(SEARCH(":",$BP$15)),IFERROR(_xlfn.LET(_xlpm.s,_xlfn.TEXTSPLIT($BP$15,","),_xlpm.k,FIND(":",_xlpm.s),INDEX(TRIM(LEFT(_xlpm.s,_xlpm.k-1)),_xlfn.XMATCH(($BM$15+4),_xlfn.SCAN(0,--MID(_xlpm.s,_xlpm.k+1,9),_xlfn.LAMBDA(_xlpm.a,_xlpm.v,_xlpm.a+_xlpm.v)),1))),""),IF(($BM$15+4)&lt;=$BQ$15,$BP$15,""))))</f>
        <v>W</v>
      </c>
      <c r="CD75" t="str" cm="1">
        <f t="array" ref="CD75">IF(NOT(AND($BN$16&lt;&gt;"",($BM$16+4)&lt;=$BO$16)),"",IF(T75&lt;&gt;"",IF(T75="-","",T75),IF(ISNUMBER(SEARCH(":",$BP$16)),IFERROR(_xlfn.LET(_xlpm.s,_xlfn.TEXTSPLIT($BP$16,","),_xlpm.k,FIND(":",_xlpm.s),INDEX(TRIM(LEFT(_xlpm.s,_xlpm.k-1)),_xlfn.XMATCH(($BM$16+4),_xlfn.SCAN(0,--MID(_xlpm.s,_xlpm.k+1,9),_xlfn.LAMBDA(_xlpm.a,_xlpm.v,_xlpm.a+_xlpm.v)),1))),""),IF(($BM$16+4)&lt;=$BQ$16,$BP$16,""))))</f>
        <v>C</v>
      </c>
    </row>
    <row r="76" spans="2:82" hidden="1" x14ac:dyDescent="0.45">
      <c r="B76" s="6"/>
      <c r="C76" s="9" t="str">
        <f>IF(CA76="","",CA76&amp;"-"&amp;TEXT(0+COUNTIF($CA$72:CA76,CA76),"000"))</f>
        <v>D-005</v>
      </c>
      <c r="D76" s="9" t="str">
        <f>IF(AND($BN$13&lt;&gt;"",($BM$13+5)&lt;=$BO$13),$BN$13,"")</f>
        <v>1B-AA</v>
      </c>
      <c r="E76" s="9" t="str">
        <f>IF(AND($BN$13&lt;&gt;"",($BM$13+5)&lt;=$BO$13),TEXT(($BM$13+5),"00"),"")</f>
        <v>05</v>
      </c>
      <c r="F76" s="9" t="str">
        <f>IF(AND($BN$13&lt;&gt;"",($BM$13+5)&lt;=$BO$13),$BN$13&amp;"-"&amp;TEXT(($BM$13+5),"00"),"")</f>
        <v>1B-AA-05</v>
      </c>
      <c r="H76" s="6"/>
      <c r="I76" s="9" t="str">
        <f>IF(CB76="","",CB76&amp;"-"&amp;TEXT(COUNTIF($CA$72:$CA$95,CB76)+COUNTIF($CB$72:CB76,CB76),"000"))</f>
        <v>D-029</v>
      </c>
      <c r="J76" s="9" t="str">
        <f>IF(AND($BN$14&lt;&gt;"",($BM$14+5)&lt;=$BO$14),$BN$14,"")</f>
        <v>1B-AA</v>
      </c>
      <c r="K76" s="9" t="str">
        <f>IF(AND($BN$14&lt;&gt;"",($BM$14+5)&lt;=$BO$14),TEXT(($BM$14+5),"00"),"")</f>
        <v>29</v>
      </c>
      <c r="L76" s="9" t="str">
        <f>IF(AND($BN$14&lt;&gt;"",($BM$14+5)&lt;=$BO$14),$BN$14&amp;"-"&amp;TEXT(($BM$14+5),"00"),"")</f>
        <v>1B-AA-29</v>
      </c>
      <c r="N76" s="6"/>
      <c r="O76" s="9" t="str">
        <f>IF(CC76="","",CC76&amp;"-"&amp;TEXT(COUNTIF($CA$72:$CA$95,CC76)+COUNTIF($CB$72:$CB$95,CC76)+COUNTIF($CC$72:CC76,CC76),"000"))</f>
        <v>W-005</v>
      </c>
      <c r="P76" s="9" t="str">
        <f>IF(AND($BN$15&lt;&gt;"",($BM$15+5)&lt;=$BO$15),$BN$15,"")</f>
        <v>1B-AB</v>
      </c>
      <c r="Q76" s="9" t="str">
        <f>IF(AND($BN$15&lt;&gt;"",($BM$15+5)&lt;=$BO$15),TEXT(($BM$15+5),"00"),"")</f>
        <v>05</v>
      </c>
      <c r="R76" s="9" t="str">
        <f>IF(AND($BN$15&lt;&gt;"",($BM$15+5)&lt;=$BO$15),$BN$15&amp;"-"&amp;TEXT(($BM$15+5),"00"),"")</f>
        <v>1B-AB-05</v>
      </c>
      <c r="T76" s="6"/>
      <c r="U76" s="9" t="str">
        <f>IF(CD76="","",CD76&amp;"-"&amp;TEXT(COUNTIF($CA$72:$CA$95,CD76)+COUNTIF($CB$72:$CB$95,CD76)+COUNTIF($CC$72:$CC$95,CD76)+COUNTIF($CD$72:CD76,CD76),"000"))</f>
        <v>C-005</v>
      </c>
      <c r="V76" s="9" t="str">
        <f>IF(AND($BN$16&lt;&gt;"",($BM$16+5)&lt;=$BO$16),$BN$16,"")</f>
        <v>1B-AC</v>
      </c>
      <c r="W76" s="9" t="str">
        <f>IF(AND($BN$16&lt;&gt;"",($BM$16+5)&lt;=$BO$16),TEXT(($BM$16+5),"00"),"")</f>
        <v>05</v>
      </c>
      <c r="X76" s="9" t="str">
        <f>IF(AND($BN$16&lt;&gt;"",($BM$16+5)&lt;=$BO$16),$BN$16&amp;"-"&amp;TEXT(($BM$16+5),"00"),"")</f>
        <v>1B-AC-05</v>
      </c>
      <c r="BA76">
        <f>IF(OR(Catalogo!$C76="",Catalogo!$B76="Espacio libre",Catalogo!$B76="Espacio reservado"),0,COUNTIF($C$13:$C$42,Catalogo!$C76)+IF($E$7=Catalogo!$C76,N($K$7),0)+IF($E$8=Catalogo!$C76,N($N$8),0)+IF(Proyecto!$D$12=Catalogo!$C76,$AQ$4,0)+SUMIF($C$49:$C$58,Catalogo!$C76,$K$49:$K$58))</f>
        <v>0</v>
      </c>
      <c r="CA76" t="str" cm="1">
        <f t="array" ref="CA76">IF(NOT(AND($BN$13&lt;&gt;"",($BM$13+5)&lt;=$BO$13)),"",IF(B76&lt;&gt;"",IF(B76="-","",B76),IF(ISNUMBER(SEARCH(":",$BP$13)),IFERROR(_xlfn.LET(_xlpm.s,_xlfn.TEXTSPLIT($BP$13,","),_xlpm.k,FIND(":",_xlpm.s),INDEX(TRIM(LEFT(_xlpm.s,_xlpm.k-1)),_xlfn.XMATCH(($BM$13+5),_xlfn.SCAN(0,--MID(_xlpm.s,_xlpm.k+1,9),_xlfn.LAMBDA(_xlpm.a,_xlpm.v,_xlpm.a+_xlpm.v)),1))),""),IF(($BM$13+5)&lt;=$BQ$13,$BP$13,""))))</f>
        <v>D</v>
      </c>
      <c r="CB76" t="str" cm="1">
        <f t="array" ref="CB76">IF(NOT(AND($BN$14&lt;&gt;"",($BM$14+5)&lt;=$BO$14)),"",IF(H76&lt;&gt;"",IF(H76="-","",H76),IF(ISNUMBER(SEARCH(":",$BP$14)),IFERROR(_xlfn.LET(_xlpm.s,_xlfn.TEXTSPLIT($BP$14,","),_xlpm.k,FIND(":",_xlpm.s),INDEX(TRIM(LEFT(_xlpm.s,_xlpm.k-1)),_xlfn.XMATCH(($BM$14+5),_xlfn.SCAN(0,--MID(_xlpm.s,_xlpm.k+1,9),_xlfn.LAMBDA(_xlpm.a,_xlpm.v,_xlpm.a+_xlpm.v)),1))),""),IF(($BM$14+5)&lt;=$BQ$14,$BP$14,""))))</f>
        <v>D</v>
      </c>
      <c r="CC76" t="str" cm="1">
        <f t="array" ref="CC76">IF(NOT(AND($BN$15&lt;&gt;"",($BM$15+5)&lt;=$BO$15)),"",IF(N76&lt;&gt;"",IF(N76="-","",N76),IF(ISNUMBER(SEARCH(":",$BP$15)),IFERROR(_xlfn.LET(_xlpm.s,_xlfn.TEXTSPLIT($BP$15,","),_xlpm.k,FIND(":",_xlpm.s),INDEX(TRIM(LEFT(_xlpm.s,_xlpm.k-1)),_xlfn.XMATCH(($BM$15+5),_xlfn.SCAN(0,--MID(_xlpm.s,_xlpm.k+1,9),_xlfn.LAMBDA(_xlpm.a,_xlpm.v,_xlpm.a+_xlpm.v)),1))),""),IF(($BM$15+5)&lt;=$BQ$15,$BP$15,""))))</f>
        <v>W</v>
      </c>
      <c r="CD76" t="str" cm="1">
        <f t="array" ref="CD76">IF(NOT(AND($BN$16&lt;&gt;"",($BM$16+5)&lt;=$BO$16)),"",IF(T76&lt;&gt;"",IF(T76="-","",T76),IF(ISNUMBER(SEARCH(":",$BP$16)),IFERROR(_xlfn.LET(_xlpm.s,_xlfn.TEXTSPLIT($BP$16,","),_xlpm.k,FIND(":",_xlpm.s),INDEX(TRIM(LEFT(_xlpm.s,_xlpm.k-1)),_xlfn.XMATCH(($BM$16+5),_xlfn.SCAN(0,--MID(_xlpm.s,_xlpm.k+1,9),_xlfn.LAMBDA(_xlpm.a,_xlpm.v,_xlpm.a+_xlpm.v)),1))),""),IF(($BM$16+5)&lt;=$BQ$16,$BP$16,""))))</f>
        <v>C</v>
      </c>
    </row>
    <row r="77" spans="2:82" hidden="1" x14ac:dyDescent="0.45">
      <c r="B77" s="6"/>
      <c r="C77" s="9" t="str">
        <f>IF(CA77="","",CA77&amp;"-"&amp;TEXT(0+COUNTIF($CA$72:CA77,CA77),"000"))</f>
        <v>D-006</v>
      </c>
      <c r="D77" s="9" t="str">
        <f>IF(AND($BN$13&lt;&gt;"",($BM$13+6)&lt;=$BO$13),$BN$13,"")</f>
        <v>1B-AA</v>
      </c>
      <c r="E77" s="9" t="str">
        <f>IF(AND($BN$13&lt;&gt;"",($BM$13+6)&lt;=$BO$13),TEXT(($BM$13+6),"00"),"")</f>
        <v>06</v>
      </c>
      <c r="F77" s="9" t="str">
        <f>IF(AND($BN$13&lt;&gt;"",($BM$13+6)&lt;=$BO$13),$BN$13&amp;"-"&amp;TEXT(($BM$13+6),"00"),"")</f>
        <v>1B-AA-06</v>
      </c>
      <c r="H77" s="6"/>
      <c r="I77" s="9" t="str">
        <f>IF(CB77="","",CB77&amp;"-"&amp;TEXT(COUNTIF($CA$72:$CA$95,CB77)+COUNTIF($CB$72:CB77,CB77),"000"))</f>
        <v>D-030</v>
      </c>
      <c r="J77" s="9" t="str">
        <f>IF(AND($BN$14&lt;&gt;"",($BM$14+6)&lt;=$BO$14),$BN$14,"")</f>
        <v>1B-AA</v>
      </c>
      <c r="K77" s="9" t="str">
        <f>IF(AND($BN$14&lt;&gt;"",($BM$14+6)&lt;=$BO$14),TEXT(($BM$14+6),"00"),"")</f>
        <v>30</v>
      </c>
      <c r="L77" s="9" t="str">
        <f>IF(AND($BN$14&lt;&gt;"",($BM$14+6)&lt;=$BO$14),$BN$14&amp;"-"&amp;TEXT(($BM$14+6),"00"),"")</f>
        <v>1B-AA-30</v>
      </c>
      <c r="N77" s="6"/>
      <c r="O77" s="9" t="str">
        <f>IF(CC77="","",CC77&amp;"-"&amp;TEXT(COUNTIF($CA$72:$CA$95,CC77)+COUNTIF($CB$72:$CB$95,CC77)+COUNTIF($CC$72:CC77,CC77),"000"))</f>
        <v>W-006</v>
      </c>
      <c r="P77" s="9" t="str">
        <f>IF(AND($BN$15&lt;&gt;"",($BM$15+6)&lt;=$BO$15),$BN$15,"")</f>
        <v>1B-AB</v>
      </c>
      <c r="Q77" s="9" t="str">
        <f>IF(AND($BN$15&lt;&gt;"",($BM$15+6)&lt;=$BO$15),TEXT(($BM$15+6),"00"),"")</f>
        <v>06</v>
      </c>
      <c r="R77" s="9" t="str">
        <f>IF(AND($BN$15&lt;&gt;"",($BM$15+6)&lt;=$BO$15),$BN$15&amp;"-"&amp;TEXT(($BM$15+6),"00"),"")</f>
        <v>1B-AB-06</v>
      </c>
      <c r="T77" s="6"/>
      <c r="U77" s="9" t="str">
        <f>IF(CD77="","",CD77&amp;"-"&amp;TEXT(COUNTIF($CA$72:$CA$95,CD77)+COUNTIF($CB$72:$CB$95,CD77)+COUNTIF($CC$72:$CC$95,CD77)+COUNTIF($CD$72:CD77,CD77),"000"))</f>
        <v>C-006</v>
      </c>
      <c r="V77" s="9" t="str">
        <f>IF(AND($BN$16&lt;&gt;"",($BM$16+6)&lt;=$BO$16),$BN$16,"")</f>
        <v>1B-AC</v>
      </c>
      <c r="W77" s="9" t="str">
        <f>IF(AND($BN$16&lt;&gt;"",($BM$16+6)&lt;=$BO$16),TEXT(($BM$16+6),"00"),"")</f>
        <v>06</v>
      </c>
      <c r="X77" s="9" t="str">
        <f>IF(AND($BN$16&lt;&gt;"",($BM$16+6)&lt;=$BO$16),$BN$16&amp;"-"&amp;TEXT(($BM$16+6),"00"),"")</f>
        <v>1B-AC-06</v>
      </c>
      <c r="BA77">
        <f>IF(OR(Catalogo!$C77="",Catalogo!$B77="Espacio libre",Catalogo!$B77="Espacio reservado"),0,COUNTIF($C$13:$C$42,Catalogo!$C77)+IF($E$7=Catalogo!$C77,N($K$7),0)+IF($E$8=Catalogo!$C77,N($N$8),0)+IF(Proyecto!$D$12=Catalogo!$C77,$AQ$4,0)+SUMIF($C$49:$C$58,Catalogo!$C77,$K$49:$K$58))</f>
        <v>0</v>
      </c>
      <c r="CA77" t="str" cm="1">
        <f t="array" ref="CA77">IF(NOT(AND($BN$13&lt;&gt;"",($BM$13+6)&lt;=$BO$13)),"",IF(B77&lt;&gt;"",IF(B77="-","",B77),IF(ISNUMBER(SEARCH(":",$BP$13)),IFERROR(_xlfn.LET(_xlpm.s,_xlfn.TEXTSPLIT($BP$13,","),_xlpm.k,FIND(":",_xlpm.s),INDEX(TRIM(LEFT(_xlpm.s,_xlpm.k-1)),_xlfn.XMATCH(($BM$13+6),_xlfn.SCAN(0,--MID(_xlpm.s,_xlpm.k+1,9),_xlfn.LAMBDA(_xlpm.a,_xlpm.v,_xlpm.a+_xlpm.v)),1))),""),IF(($BM$13+6)&lt;=$BQ$13,$BP$13,""))))</f>
        <v>D</v>
      </c>
      <c r="CB77" t="str" cm="1">
        <f t="array" ref="CB77">IF(NOT(AND($BN$14&lt;&gt;"",($BM$14+6)&lt;=$BO$14)),"",IF(H77&lt;&gt;"",IF(H77="-","",H77),IF(ISNUMBER(SEARCH(":",$BP$14)),IFERROR(_xlfn.LET(_xlpm.s,_xlfn.TEXTSPLIT($BP$14,","),_xlpm.k,FIND(":",_xlpm.s),INDEX(TRIM(LEFT(_xlpm.s,_xlpm.k-1)),_xlfn.XMATCH(($BM$14+6),_xlfn.SCAN(0,--MID(_xlpm.s,_xlpm.k+1,9),_xlfn.LAMBDA(_xlpm.a,_xlpm.v,_xlpm.a+_xlpm.v)),1))),""),IF(($BM$14+6)&lt;=$BQ$14,$BP$14,""))))</f>
        <v>D</v>
      </c>
      <c r="CC77" t="str" cm="1">
        <f t="array" ref="CC77">IF(NOT(AND($BN$15&lt;&gt;"",($BM$15+6)&lt;=$BO$15)),"",IF(N77&lt;&gt;"",IF(N77="-","",N77),IF(ISNUMBER(SEARCH(":",$BP$15)),IFERROR(_xlfn.LET(_xlpm.s,_xlfn.TEXTSPLIT($BP$15,","),_xlpm.k,FIND(":",_xlpm.s),INDEX(TRIM(LEFT(_xlpm.s,_xlpm.k-1)),_xlfn.XMATCH(($BM$15+6),_xlfn.SCAN(0,--MID(_xlpm.s,_xlpm.k+1,9),_xlfn.LAMBDA(_xlpm.a,_xlpm.v,_xlpm.a+_xlpm.v)),1))),""),IF(($BM$15+6)&lt;=$BQ$15,$BP$15,""))))</f>
        <v>W</v>
      </c>
      <c r="CD77" t="str" cm="1">
        <f t="array" ref="CD77">IF(NOT(AND($BN$16&lt;&gt;"",($BM$16+6)&lt;=$BO$16)),"",IF(T77&lt;&gt;"",IF(T77="-","",T77),IF(ISNUMBER(SEARCH(":",$BP$16)),IFERROR(_xlfn.LET(_xlpm.s,_xlfn.TEXTSPLIT($BP$16,","),_xlpm.k,FIND(":",_xlpm.s),INDEX(TRIM(LEFT(_xlpm.s,_xlpm.k-1)),_xlfn.XMATCH(($BM$16+6),_xlfn.SCAN(0,--MID(_xlpm.s,_xlpm.k+1,9),_xlfn.LAMBDA(_xlpm.a,_xlpm.v,_xlpm.a+_xlpm.v)),1))),""),IF(($BM$16+6)&lt;=$BQ$16,$BP$16,""))))</f>
        <v>C</v>
      </c>
    </row>
    <row r="78" spans="2:82" hidden="1" x14ac:dyDescent="0.45">
      <c r="B78" s="6"/>
      <c r="C78" s="9" t="str">
        <f>IF(CA78="","",CA78&amp;"-"&amp;TEXT(0+COUNTIF($CA$72:CA78,CA78),"000"))</f>
        <v>D-007</v>
      </c>
      <c r="D78" s="9" t="str">
        <f>IF(AND($BN$13&lt;&gt;"",($BM$13+7)&lt;=$BO$13),$BN$13,"")</f>
        <v>1B-AA</v>
      </c>
      <c r="E78" s="9" t="str">
        <f>IF(AND($BN$13&lt;&gt;"",($BM$13+7)&lt;=$BO$13),TEXT(($BM$13+7),"00"),"")</f>
        <v>07</v>
      </c>
      <c r="F78" s="9" t="str">
        <f>IF(AND($BN$13&lt;&gt;"",($BM$13+7)&lt;=$BO$13),$BN$13&amp;"-"&amp;TEXT(($BM$13+7),"00"),"")</f>
        <v>1B-AA-07</v>
      </c>
      <c r="H78" s="6"/>
      <c r="I78" s="9" t="str">
        <f>IF(CB78="","",CB78&amp;"-"&amp;TEXT(COUNTIF($CA$72:$CA$95,CB78)+COUNTIF($CB$72:CB78,CB78),"000"))</f>
        <v>D-031</v>
      </c>
      <c r="J78" s="9" t="str">
        <f>IF(AND($BN$14&lt;&gt;"",($BM$14+7)&lt;=$BO$14),$BN$14,"")</f>
        <v>1B-AA</v>
      </c>
      <c r="K78" s="9" t="str">
        <f>IF(AND($BN$14&lt;&gt;"",($BM$14+7)&lt;=$BO$14),TEXT(($BM$14+7),"00"),"")</f>
        <v>31</v>
      </c>
      <c r="L78" s="9" t="str">
        <f>IF(AND($BN$14&lt;&gt;"",($BM$14+7)&lt;=$BO$14),$BN$14&amp;"-"&amp;TEXT(($BM$14+7),"00"),"")</f>
        <v>1B-AA-31</v>
      </c>
      <c r="N78" s="6"/>
      <c r="O78" s="9" t="str">
        <f>IF(CC78="","",CC78&amp;"-"&amp;TEXT(COUNTIF($CA$72:$CA$95,CC78)+COUNTIF($CB$72:$CB$95,CC78)+COUNTIF($CC$72:CC78,CC78),"000"))</f>
        <v>W-007</v>
      </c>
      <c r="P78" s="9" t="str">
        <f>IF(AND($BN$15&lt;&gt;"",($BM$15+7)&lt;=$BO$15),$BN$15,"")</f>
        <v>1B-AB</v>
      </c>
      <c r="Q78" s="9" t="str">
        <f>IF(AND($BN$15&lt;&gt;"",($BM$15+7)&lt;=$BO$15),TEXT(($BM$15+7),"00"),"")</f>
        <v>07</v>
      </c>
      <c r="R78" s="9" t="str">
        <f>IF(AND($BN$15&lt;&gt;"",($BM$15+7)&lt;=$BO$15),$BN$15&amp;"-"&amp;TEXT(($BM$15+7),"00"),"")</f>
        <v>1B-AB-07</v>
      </c>
      <c r="T78" s="6"/>
      <c r="U78" s="9" t="str">
        <f>IF(CD78="","",CD78&amp;"-"&amp;TEXT(COUNTIF($CA$72:$CA$95,CD78)+COUNTIF($CB$72:$CB$95,CD78)+COUNTIF($CC$72:$CC$95,CD78)+COUNTIF($CD$72:CD78,CD78),"000"))</f>
        <v>C-007</v>
      </c>
      <c r="V78" s="9" t="str">
        <f>IF(AND($BN$16&lt;&gt;"",($BM$16+7)&lt;=$BO$16),$BN$16,"")</f>
        <v>1B-AC</v>
      </c>
      <c r="W78" s="9" t="str">
        <f>IF(AND($BN$16&lt;&gt;"",($BM$16+7)&lt;=$BO$16),TEXT(($BM$16+7),"00"),"")</f>
        <v>07</v>
      </c>
      <c r="X78" s="9" t="str">
        <f>IF(AND($BN$16&lt;&gt;"",($BM$16+7)&lt;=$BO$16),$BN$16&amp;"-"&amp;TEXT(($BM$16+7),"00"),"")</f>
        <v>1B-AC-07</v>
      </c>
      <c r="BA78">
        <f>IF(OR(Catalogo!$C78="",Catalogo!$B78="Espacio libre",Catalogo!$B78="Espacio reservado"),0,COUNTIF($C$13:$C$42,Catalogo!$C78)+IF($E$7=Catalogo!$C78,N($K$7),0)+IF($E$8=Catalogo!$C78,N($N$8),0)+IF(Proyecto!$D$12=Catalogo!$C78,$AQ$4,0)+SUMIF($C$49:$C$58,Catalogo!$C78,$K$49:$K$58))</f>
        <v>0</v>
      </c>
      <c r="CA78" t="str" cm="1">
        <f t="array" ref="CA78">IF(NOT(AND($BN$13&lt;&gt;"",($BM$13+7)&lt;=$BO$13)),"",IF(B78&lt;&gt;"",IF(B78="-","",B78),IF(ISNUMBER(SEARCH(":",$BP$13)),IFERROR(_xlfn.LET(_xlpm.s,_xlfn.TEXTSPLIT($BP$13,","),_xlpm.k,FIND(":",_xlpm.s),INDEX(TRIM(LEFT(_xlpm.s,_xlpm.k-1)),_xlfn.XMATCH(($BM$13+7),_xlfn.SCAN(0,--MID(_xlpm.s,_xlpm.k+1,9),_xlfn.LAMBDA(_xlpm.a,_xlpm.v,_xlpm.a+_xlpm.v)),1))),""),IF(($BM$13+7)&lt;=$BQ$13,$BP$13,""))))</f>
        <v>D</v>
      </c>
      <c r="CB78" t="str" cm="1">
        <f t="array" ref="CB78">IF(NOT(AND($BN$14&lt;&gt;"",($BM$14+7)&lt;=$BO$14)),"",IF(H78&lt;&gt;"",IF(H78="-","",H78),IF(ISNUMBER(SEARCH(":",$BP$14)),IFERROR(_xlfn.LET(_xlpm.s,_xlfn.TEXTSPLIT($BP$14,","),_xlpm.k,FIND(":",_xlpm.s),INDEX(TRIM(LEFT(_xlpm.s,_xlpm.k-1)),_xlfn.XMATCH(($BM$14+7),_xlfn.SCAN(0,--MID(_xlpm.s,_xlpm.k+1,9),_xlfn.LAMBDA(_xlpm.a,_xlpm.v,_xlpm.a+_xlpm.v)),1))),""),IF(($BM$14+7)&lt;=$BQ$14,$BP$14,""))))</f>
        <v>D</v>
      </c>
      <c r="CC78" t="str" cm="1">
        <f t="array" ref="CC78">IF(NOT(AND($BN$15&lt;&gt;"",($BM$15+7)&lt;=$BO$15)),"",IF(N78&lt;&gt;"",IF(N78="-","",N78),IF(ISNUMBER(SEARCH(":",$BP$15)),IFERROR(_xlfn.LET(_xlpm.s,_xlfn.TEXTSPLIT($BP$15,","),_xlpm.k,FIND(":",_xlpm.s),INDEX(TRIM(LEFT(_xlpm.s,_xlpm.k-1)),_xlfn.XMATCH(($BM$15+7),_xlfn.SCAN(0,--MID(_xlpm.s,_xlpm.k+1,9),_xlfn.LAMBDA(_xlpm.a,_xlpm.v,_xlpm.a+_xlpm.v)),1))),""),IF(($BM$15+7)&lt;=$BQ$15,$BP$15,""))))</f>
        <v>W</v>
      </c>
      <c r="CD78" t="str" cm="1">
        <f t="array" ref="CD78">IF(NOT(AND($BN$16&lt;&gt;"",($BM$16+7)&lt;=$BO$16)),"",IF(T78&lt;&gt;"",IF(T78="-","",T78),IF(ISNUMBER(SEARCH(":",$BP$16)),IFERROR(_xlfn.LET(_xlpm.s,_xlfn.TEXTSPLIT($BP$16,","),_xlpm.k,FIND(":",_xlpm.s),INDEX(TRIM(LEFT(_xlpm.s,_xlpm.k-1)),_xlfn.XMATCH(($BM$16+7),_xlfn.SCAN(0,--MID(_xlpm.s,_xlpm.k+1,9),_xlfn.LAMBDA(_xlpm.a,_xlpm.v,_xlpm.a+_xlpm.v)),1))),""),IF(($BM$16+7)&lt;=$BQ$16,$BP$16,""))))</f>
        <v>C</v>
      </c>
    </row>
    <row r="79" spans="2:82" hidden="1" x14ac:dyDescent="0.45">
      <c r="B79" s="6"/>
      <c r="C79" s="9" t="str">
        <f>IF(CA79="","",CA79&amp;"-"&amp;TEXT(0+COUNTIF($CA$72:CA79,CA79),"000"))</f>
        <v>D-008</v>
      </c>
      <c r="D79" s="9" t="str">
        <f>IF(AND($BN$13&lt;&gt;"",($BM$13+8)&lt;=$BO$13),$BN$13,"")</f>
        <v>1B-AA</v>
      </c>
      <c r="E79" s="9" t="str">
        <f>IF(AND($BN$13&lt;&gt;"",($BM$13+8)&lt;=$BO$13),TEXT(($BM$13+8),"00"),"")</f>
        <v>08</v>
      </c>
      <c r="F79" s="9" t="str">
        <f>IF(AND($BN$13&lt;&gt;"",($BM$13+8)&lt;=$BO$13),$BN$13&amp;"-"&amp;TEXT(($BM$13+8),"00"),"")</f>
        <v>1B-AA-08</v>
      </c>
      <c r="H79" s="6"/>
      <c r="I79" s="9" t="str">
        <f>IF(CB79="","",CB79&amp;"-"&amp;TEXT(COUNTIF($CA$72:$CA$95,CB79)+COUNTIF($CB$72:CB79,CB79),"000"))</f>
        <v>D-032</v>
      </c>
      <c r="J79" s="9" t="str">
        <f>IF(AND($BN$14&lt;&gt;"",($BM$14+8)&lt;=$BO$14),$BN$14,"")</f>
        <v>1B-AA</v>
      </c>
      <c r="K79" s="9" t="str">
        <f>IF(AND($BN$14&lt;&gt;"",($BM$14+8)&lt;=$BO$14),TEXT(($BM$14+8),"00"),"")</f>
        <v>32</v>
      </c>
      <c r="L79" s="9" t="str">
        <f>IF(AND($BN$14&lt;&gt;"",($BM$14+8)&lt;=$BO$14),$BN$14&amp;"-"&amp;TEXT(($BM$14+8),"00"),"")</f>
        <v>1B-AA-32</v>
      </c>
      <c r="N79" s="6"/>
      <c r="O79" s="9" t="str">
        <f>IF(CC79="","",CC79&amp;"-"&amp;TEXT(COUNTIF($CA$72:$CA$95,CC79)+COUNTIF($CB$72:$CB$95,CC79)+COUNTIF($CC$72:CC79,CC79),"000"))</f>
        <v>W-008</v>
      </c>
      <c r="P79" s="9" t="str">
        <f>IF(AND($BN$15&lt;&gt;"",($BM$15+8)&lt;=$BO$15),$BN$15,"")</f>
        <v>1B-AB</v>
      </c>
      <c r="Q79" s="9" t="str">
        <f>IF(AND($BN$15&lt;&gt;"",($BM$15+8)&lt;=$BO$15),TEXT(($BM$15+8),"00"),"")</f>
        <v>08</v>
      </c>
      <c r="R79" s="9" t="str">
        <f>IF(AND($BN$15&lt;&gt;"",($BM$15+8)&lt;=$BO$15),$BN$15&amp;"-"&amp;TEXT(($BM$15+8),"00"),"")</f>
        <v>1B-AB-08</v>
      </c>
      <c r="T79" s="6"/>
      <c r="U79" s="9" t="str">
        <f>IF(CD79="","",CD79&amp;"-"&amp;TEXT(COUNTIF($CA$72:$CA$95,CD79)+COUNTIF($CB$72:$CB$95,CD79)+COUNTIF($CC$72:$CC$95,CD79)+COUNTIF($CD$72:CD79,CD79),"000"))</f>
        <v>C-008</v>
      </c>
      <c r="V79" s="9" t="str">
        <f>IF(AND($BN$16&lt;&gt;"",($BM$16+8)&lt;=$BO$16),$BN$16,"")</f>
        <v>1B-AC</v>
      </c>
      <c r="W79" s="9" t="str">
        <f>IF(AND($BN$16&lt;&gt;"",($BM$16+8)&lt;=$BO$16),TEXT(($BM$16+8),"00"),"")</f>
        <v>08</v>
      </c>
      <c r="X79" s="9" t="str">
        <f>IF(AND($BN$16&lt;&gt;"",($BM$16+8)&lt;=$BO$16),$BN$16&amp;"-"&amp;TEXT(($BM$16+8),"00"),"")</f>
        <v>1B-AC-08</v>
      </c>
      <c r="BA79">
        <f>IF(OR(Catalogo!$C79="",Catalogo!$B79="Espacio libre",Catalogo!$B79="Espacio reservado"),0,COUNTIF($C$13:$C$42,Catalogo!$C79)+IF($E$7=Catalogo!$C79,N($K$7),0)+IF($E$8=Catalogo!$C79,N($N$8),0)+IF(Proyecto!$D$12=Catalogo!$C79,$AQ$4,0)+SUMIF($C$49:$C$58,Catalogo!$C79,$K$49:$K$58))</f>
        <v>0</v>
      </c>
      <c r="CA79" t="str" cm="1">
        <f t="array" ref="CA79">IF(NOT(AND($BN$13&lt;&gt;"",($BM$13+8)&lt;=$BO$13)),"",IF(B79&lt;&gt;"",IF(B79="-","",B79),IF(ISNUMBER(SEARCH(":",$BP$13)),IFERROR(_xlfn.LET(_xlpm.s,_xlfn.TEXTSPLIT($BP$13,","),_xlpm.k,FIND(":",_xlpm.s),INDEX(TRIM(LEFT(_xlpm.s,_xlpm.k-1)),_xlfn.XMATCH(($BM$13+8),_xlfn.SCAN(0,--MID(_xlpm.s,_xlpm.k+1,9),_xlfn.LAMBDA(_xlpm.a,_xlpm.v,_xlpm.a+_xlpm.v)),1))),""),IF(($BM$13+8)&lt;=$BQ$13,$BP$13,""))))</f>
        <v>D</v>
      </c>
      <c r="CB79" t="str" cm="1">
        <f t="array" ref="CB79">IF(NOT(AND($BN$14&lt;&gt;"",($BM$14+8)&lt;=$BO$14)),"",IF(H79&lt;&gt;"",IF(H79="-","",H79),IF(ISNUMBER(SEARCH(":",$BP$14)),IFERROR(_xlfn.LET(_xlpm.s,_xlfn.TEXTSPLIT($BP$14,","),_xlpm.k,FIND(":",_xlpm.s),INDEX(TRIM(LEFT(_xlpm.s,_xlpm.k-1)),_xlfn.XMATCH(($BM$14+8),_xlfn.SCAN(0,--MID(_xlpm.s,_xlpm.k+1,9),_xlfn.LAMBDA(_xlpm.a,_xlpm.v,_xlpm.a+_xlpm.v)),1))),""),IF(($BM$14+8)&lt;=$BQ$14,$BP$14,""))))</f>
        <v>D</v>
      </c>
      <c r="CC79" t="str" cm="1">
        <f t="array" ref="CC79">IF(NOT(AND($BN$15&lt;&gt;"",($BM$15+8)&lt;=$BO$15)),"",IF(N79&lt;&gt;"",IF(N79="-","",N79),IF(ISNUMBER(SEARCH(":",$BP$15)),IFERROR(_xlfn.LET(_xlpm.s,_xlfn.TEXTSPLIT($BP$15,","),_xlpm.k,FIND(":",_xlpm.s),INDEX(TRIM(LEFT(_xlpm.s,_xlpm.k-1)),_xlfn.XMATCH(($BM$15+8),_xlfn.SCAN(0,--MID(_xlpm.s,_xlpm.k+1,9),_xlfn.LAMBDA(_xlpm.a,_xlpm.v,_xlpm.a+_xlpm.v)),1))),""),IF(($BM$15+8)&lt;=$BQ$15,$BP$15,""))))</f>
        <v>W</v>
      </c>
      <c r="CD79" t="str" cm="1">
        <f t="array" ref="CD79">IF(NOT(AND($BN$16&lt;&gt;"",($BM$16+8)&lt;=$BO$16)),"",IF(T79&lt;&gt;"",IF(T79="-","",T79),IF(ISNUMBER(SEARCH(":",$BP$16)),IFERROR(_xlfn.LET(_xlpm.s,_xlfn.TEXTSPLIT($BP$16,","),_xlpm.k,FIND(":",_xlpm.s),INDEX(TRIM(LEFT(_xlpm.s,_xlpm.k-1)),_xlfn.XMATCH(($BM$16+8),_xlfn.SCAN(0,--MID(_xlpm.s,_xlpm.k+1,9),_xlfn.LAMBDA(_xlpm.a,_xlpm.v,_xlpm.a+_xlpm.v)),1))),""),IF(($BM$16+8)&lt;=$BQ$16,$BP$16,""))))</f>
        <v>C</v>
      </c>
    </row>
    <row r="80" spans="2:82" hidden="1" x14ac:dyDescent="0.45">
      <c r="B80" s="6"/>
      <c r="C80" s="9" t="str">
        <f>IF(CA80="","",CA80&amp;"-"&amp;TEXT(0+COUNTIF($CA$72:CA80,CA80),"000"))</f>
        <v>D-009</v>
      </c>
      <c r="D80" s="9" t="str">
        <f>IF(AND($BN$13&lt;&gt;"",($BM$13+9)&lt;=$BO$13),$BN$13,"")</f>
        <v>1B-AA</v>
      </c>
      <c r="E80" s="9" t="str">
        <f>IF(AND($BN$13&lt;&gt;"",($BM$13+9)&lt;=$BO$13),TEXT(($BM$13+9),"00"),"")</f>
        <v>09</v>
      </c>
      <c r="F80" s="9" t="str">
        <f>IF(AND($BN$13&lt;&gt;"",($BM$13+9)&lt;=$BO$13),$BN$13&amp;"-"&amp;TEXT(($BM$13+9),"00"),"")</f>
        <v>1B-AA-09</v>
      </c>
      <c r="H80" s="6"/>
      <c r="I80" s="9" t="str">
        <f>IF(CB80="","",CB80&amp;"-"&amp;TEXT(COUNTIF($CA$72:$CA$95,CB80)+COUNTIF($CB$72:CB80,CB80),"000"))</f>
        <v>D-033</v>
      </c>
      <c r="J80" s="9" t="str">
        <f>IF(AND($BN$14&lt;&gt;"",($BM$14+9)&lt;=$BO$14),$BN$14,"")</f>
        <v>1B-AA</v>
      </c>
      <c r="K80" s="9" t="str">
        <f>IF(AND($BN$14&lt;&gt;"",($BM$14+9)&lt;=$BO$14),TEXT(($BM$14+9),"00"),"")</f>
        <v>33</v>
      </c>
      <c r="L80" s="9" t="str">
        <f>IF(AND($BN$14&lt;&gt;"",($BM$14+9)&lt;=$BO$14),$BN$14&amp;"-"&amp;TEXT(($BM$14+9),"00"),"")</f>
        <v>1B-AA-33</v>
      </c>
      <c r="N80" s="6"/>
      <c r="O80" s="9" t="str">
        <f>IF(CC80="","",CC80&amp;"-"&amp;TEXT(COUNTIF($CA$72:$CA$95,CC80)+COUNTIF($CB$72:$CB$95,CC80)+COUNTIF($CC$72:CC80,CC80),"000"))</f>
        <v>W-009</v>
      </c>
      <c r="P80" s="9" t="str">
        <f>IF(AND($BN$15&lt;&gt;"",($BM$15+9)&lt;=$BO$15),$BN$15,"")</f>
        <v>1B-AB</v>
      </c>
      <c r="Q80" s="9" t="str">
        <f>IF(AND($BN$15&lt;&gt;"",($BM$15+9)&lt;=$BO$15),TEXT(($BM$15+9),"00"),"")</f>
        <v>09</v>
      </c>
      <c r="R80" s="9" t="str">
        <f>IF(AND($BN$15&lt;&gt;"",($BM$15+9)&lt;=$BO$15),$BN$15&amp;"-"&amp;TEXT(($BM$15+9),"00"),"")</f>
        <v>1B-AB-09</v>
      </c>
      <c r="T80" s="6"/>
      <c r="U80" s="9" t="str">
        <f>IF(CD80="","",CD80&amp;"-"&amp;TEXT(COUNTIF($CA$72:$CA$95,CD80)+COUNTIF($CB$72:$CB$95,CD80)+COUNTIF($CC$72:$CC$95,CD80)+COUNTIF($CD$72:CD80,CD80),"000"))</f>
        <v>C-009</v>
      </c>
      <c r="V80" s="9" t="str">
        <f>IF(AND($BN$16&lt;&gt;"",($BM$16+9)&lt;=$BO$16),$BN$16,"")</f>
        <v>1B-AC</v>
      </c>
      <c r="W80" s="9" t="str">
        <f>IF(AND($BN$16&lt;&gt;"",($BM$16+9)&lt;=$BO$16),TEXT(($BM$16+9),"00"),"")</f>
        <v>09</v>
      </c>
      <c r="X80" s="9" t="str">
        <f>IF(AND($BN$16&lt;&gt;"",($BM$16+9)&lt;=$BO$16),$BN$16&amp;"-"&amp;TEXT(($BM$16+9),"00"),"")</f>
        <v>1B-AC-09</v>
      </c>
      <c r="BA80">
        <f>IF(OR(Catalogo!$C80="",Catalogo!$B80="Espacio libre",Catalogo!$B80="Espacio reservado"),0,COUNTIF($C$13:$C$42,Catalogo!$C80)+IF($E$7=Catalogo!$C80,N($K$7),0)+IF($E$8=Catalogo!$C80,N($N$8),0)+IF(Proyecto!$D$12=Catalogo!$C80,$AQ$4,0)+SUMIF($C$49:$C$58,Catalogo!$C80,$K$49:$K$58))</f>
        <v>0</v>
      </c>
      <c r="CA80" t="str" cm="1">
        <f t="array" ref="CA80">IF(NOT(AND($BN$13&lt;&gt;"",($BM$13+9)&lt;=$BO$13)),"",IF(B80&lt;&gt;"",IF(B80="-","",B80),IF(ISNUMBER(SEARCH(":",$BP$13)),IFERROR(_xlfn.LET(_xlpm.s,_xlfn.TEXTSPLIT($BP$13,","),_xlpm.k,FIND(":",_xlpm.s),INDEX(TRIM(LEFT(_xlpm.s,_xlpm.k-1)),_xlfn.XMATCH(($BM$13+9),_xlfn.SCAN(0,--MID(_xlpm.s,_xlpm.k+1,9),_xlfn.LAMBDA(_xlpm.a,_xlpm.v,_xlpm.a+_xlpm.v)),1))),""),IF(($BM$13+9)&lt;=$BQ$13,$BP$13,""))))</f>
        <v>D</v>
      </c>
      <c r="CB80" t="str" cm="1">
        <f t="array" ref="CB80">IF(NOT(AND($BN$14&lt;&gt;"",($BM$14+9)&lt;=$BO$14)),"",IF(H80&lt;&gt;"",IF(H80="-","",H80),IF(ISNUMBER(SEARCH(":",$BP$14)),IFERROR(_xlfn.LET(_xlpm.s,_xlfn.TEXTSPLIT($BP$14,","),_xlpm.k,FIND(":",_xlpm.s),INDEX(TRIM(LEFT(_xlpm.s,_xlpm.k-1)),_xlfn.XMATCH(($BM$14+9),_xlfn.SCAN(0,--MID(_xlpm.s,_xlpm.k+1,9),_xlfn.LAMBDA(_xlpm.a,_xlpm.v,_xlpm.a+_xlpm.v)),1))),""),IF(($BM$14+9)&lt;=$BQ$14,$BP$14,""))))</f>
        <v>D</v>
      </c>
      <c r="CC80" t="str" cm="1">
        <f t="array" ref="CC80">IF(NOT(AND($BN$15&lt;&gt;"",($BM$15+9)&lt;=$BO$15)),"",IF(N80&lt;&gt;"",IF(N80="-","",N80),IF(ISNUMBER(SEARCH(":",$BP$15)),IFERROR(_xlfn.LET(_xlpm.s,_xlfn.TEXTSPLIT($BP$15,","),_xlpm.k,FIND(":",_xlpm.s),INDEX(TRIM(LEFT(_xlpm.s,_xlpm.k-1)),_xlfn.XMATCH(($BM$15+9),_xlfn.SCAN(0,--MID(_xlpm.s,_xlpm.k+1,9),_xlfn.LAMBDA(_xlpm.a,_xlpm.v,_xlpm.a+_xlpm.v)),1))),""),IF(($BM$15+9)&lt;=$BQ$15,$BP$15,""))))</f>
        <v>W</v>
      </c>
      <c r="CD80" t="str" cm="1">
        <f t="array" ref="CD80">IF(NOT(AND($BN$16&lt;&gt;"",($BM$16+9)&lt;=$BO$16)),"",IF(T80&lt;&gt;"",IF(T80="-","",T80),IF(ISNUMBER(SEARCH(":",$BP$16)),IFERROR(_xlfn.LET(_xlpm.s,_xlfn.TEXTSPLIT($BP$16,","),_xlpm.k,FIND(":",_xlpm.s),INDEX(TRIM(LEFT(_xlpm.s,_xlpm.k-1)),_xlfn.XMATCH(($BM$16+9),_xlfn.SCAN(0,--MID(_xlpm.s,_xlpm.k+1,9),_xlfn.LAMBDA(_xlpm.a,_xlpm.v,_xlpm.a+_xlpm.v)),1))),""),IF(($BM$16+9)&lt;=$BQ$16,$BP$16,""))))</f>
        <v>C</v>
      </c>
    </row>
    <row r="81" spans="2:82" hidden="1" x14ac:dyDescent="0.45">
      <c r="B81" s="6"/>
      <c r="C81" s="9" t="str">
        <f>IF(CA81="","",CA81&amp;"-"&amp;TEXT(0+COUNTIF($CA$72:CA81,CA81),"000"))</f>
        <v>D-010</v>
      </c>
      <c r="D81" s="9" t="str">
        <f>IF(AND($BN$13&lt;&gt;"",($BM$13+10)&lt;=$BO$13),$BN$13,"")</f>
        <v>1B-AA</v>
      </c>
      <c r="E81" s="9" t="str">
        <f>IF(AND($BN$13&lt;&gt;"",($BM$13+10)&lt;=$BO$13),TEXT(($BM$13+10),"00"),"")</f>
        <v>10</v>
      </c>
      <c r="F81" s="9" t="str">
        <f>IF(AND($BN$13&lt;&gt;"",($BM$13+10)&lt;=$BO$13),$BN$13&amp;"-"&amp;TEXT(($BM$13+10),"00"),"")</f>
        <v>1B-AA-10</v>
      </c>
      <c r="H81" s="6"/>
      <c r="I81" s="9" t="str">
        <f>IF(CB81="","",CB81&amp;"-"&amp;TEXT(COUNTIF($CA$72:$CA$95,CB81)+COUNTIF($CB$72:CB81,CB81),"000"))</f>
        <v>D-034</v>
      </c>
      <c r="J81" s="9" t="str">
        <f>IF(AND($BN$14&lt;&gt;"",($BM$14+10)&lt;=$BO$14),$BN$14,"")</f>
        <v>1B-AA</v>
      </c>
      <c r="K81" s="9" t="str">
        <f>IF(AND($BN$14&lt;&gt;"",($BM$14+10)&lt;=$BO$14),TEXT(($BM$14+10),"00"),"")</f>
        <v>34</v>
      </c>
      <c r="L81" s="9" t="str">
        <f>IF(AND($BN$14&lt;&gt;"",($BM$14+10)&lt;=$BO$14),$BN$14&amp;"-"&amp;TEXT(($BM$14+10),"00"),"")</f>
        <v>1B-AA-34</v>
      </c>
      <c r="N81" s="6"/>
      <c r="O81" s="9" t="str">
        <f>IF(CC81="","",CC81&amp;"-"&amp;TEXT(COUNTIF($CA$72:$CA$95,CC81)+COUNTIF($CB$72:$CB$95,CC81)+COUNTIF($CC$72:CC81,CC81),"000"))</f>
        <v>W-010</v>
      </c>
      <c r="P81" s="9" t="str">
        <f>IF(AND($BN$15&lt;&gt;"",($BM$15+10)&lt;=$BO$15),$BN$15,"")</f>
        <v>1B-AB</v>
      </c>
      <c r="Q81" s="9" t="str">
        <f>IF(AND($BN$15&lt;&gt;"",($BM$15+10)&lt;=$BO$15),TEXT(($BM$15+10),"00"),"")</f>
        <v>10</v>
      </c>
      <c r="R81" s="9" t="str">
        <f>IF(AND($BN$15&lt;&gt;"",($BM$15+10)&lt;=$BO$15),$BN$15&amp;"-"&amp;TEXT(($BM$15+10),"00"),"")</f>
        <v>1B-AB-10</v>
      </c>
      <c r="T81" s="6"/>
      <c r="U81" s="9" t="str">
        <f>IF(CD81="","",CD81&amp;"-"&amp;TEXT(COUNTIF($CA$72:$CA$95,CD81)+COUNTIF($CB$72:$CB$95,CD81)+COUNTIF($CC$72:$CC$95,CD81)+COUNTIF($CD$72:CD81,CD81),"000"))</f>
        <v>C-010</v>
      </c>
      <c r="V81" s="9" t="str">
        <f>IF(AND($BN$16&lt;&gt;"",($BM$16+10)&lt;=$BO$16),$BN$16,"")</f>
        <v>1B-AC</v>
      </c>
      <c r="W81" s="9" t="str">
        <f>IF(AND($BN$16&lt;&gt;"",($BM$16+10)&lt;=$BO$16),TEXT(($BM$16+10),"00"),"")</f>
        <v>10</v>
      </c>
      <c r="X81" s="9" t="str">
        <f>IF(AND($BN$16&lt;&gt;"",($BM$16+10)&lt;=$BO$16),$BN$16&amp;"-"&amp;TEXT(($BM$16+10),"00"),"")</f>
        <v>1B-AC-10</v>
      </c>
      <c r="BA81">
        <f>IF(OR(Catalogo!$C81="",Catalogo!$B81="Espacio libre",Catalogo!$B81="Espacio reservado"),0,COUNTIF($C$13:$C$42,Catalogo!$C81)+IF($E$7=Catalogo!$C81,N($K$7),0)+IF($E$8=Catalogo!$C81,N($N$8),0)+IF(Proyecto!$D$12=Catalogo!$C81,$AQ$4,0)+SUMIF($C$49:$C$58,Catalogo!$C81,$K$49:$K$58))</f>
        <v>0</v>
      </c>
      <c r="CA81" t="str" cm="1">
        <f t="array" ref="CA81">IF(NOT(AND($BN$13&lt;&gt;"",($BM$13+10)&lt;=$BO$13)),"",IF(B81&lt;&gt;"",IF(B81="-","",B81),IF(ISNUMBER(SEARCH(":",$BP$13)),IFERROR(_xlfn.LET(_xlpm.s,_xlfn.TEXTSPLIT($BP$13,","),_xlpm.k,FIND(":",_xlpm.s),INDEX(TRIM(LEFT(_xlpm.s,_xlpm.k-1)),_xlfn.XMATCH(($BM$13+10),_xlfn.SCAN(0,--MID(_xlpm.s,_xlpm.k+1,9),_xlfn.LAMBDA(_xlpm.a,_xlpm.v,_xlpm.a+_xlpm.v)),1))),""),IF(($BM$13+10)&lt;=$BQ$13,$BP$13,""))))</f>
        <v>D</v>
      </c>
      <c r="CB81" t="str" cm="1">
        <f t="array" ref="CB81">IF(NOT(AND($BN$14&lt;&gt;"",($BM$14+10)&lt;=$BO$14)),"",IF(H81&lt;&gt;"",IF(H81="-","",H81),IF(ISNUMBER(SEARCH(":",$BP$14)),IFERROR(_xlfn.LET(_xlpm.s,_xlfn.TEXTSPLIT($BP$14,","),_xlpm.k,FIND(":",_xlpm.s),INDEX(TRIM(LEFT(_xlpm.s,_xlpm.k-1)),_xlfn.XMATCH(($BM$14+10),_xlfn.SCAN(0,--MID(_xlpm.s,_xlpm.k+1,9),_xlfn.LAMBDA(_xlpm.a,_xlpm.v,_xlpm.a+_xlpm.v)),1))),""),IF(($BM$14+10)&lt;=$BQ$14,$BP$14,""))))</f>
        <v>D</v>
      </c>
      <c r="CC81" t="str" cm="1">
        <f t="array" ref="CC81">IF(NOT(AND($BN$15&lt;&gt;"",($BM$15+10)&lt;=$BO$15)),"",IF(N81&lt;&gt;"",IF(N81="-","",N81),IF(ISNUMBER(SEARCH(":",$BP$15)),IFERROR(_xlfn.LET(_xlpm.s,_xlfn.TEXTSPLIT($BP$15,","),_xlpm.k,FIND(":",_xlpm.s),INDEX(TRIM(LEFT(_xlpm.s,_xlpm.k-1)),_xlfn.XMATCH(($BM$15+10),_xlfn.SCAN(0,--MID(_xlpm.s,_xlpm.k+1,9),_xlfn.LAMBDA(_xlpm.a,_xlpm.v,_xlpm.a+_xlpm.v)),1))),""),IF(($BM$15+10)&lt;=$BQ$15,$BP$15,""))))</f>
        <v>W</v>
      </c>
      <c r="CD81" t="str" cm="1">
        <f t="array" ref="CD81">IF(NOT(AND($BN$16&lt;&gt;"",($BM$16+10)&lt;=$BO$16)),"",IF(T81&lt;&gt;"",IF(T81="-","",T81),IF(ISNUMBER(SEARCH(":",$BP$16)),IFERROR(_xlfn.LET(_xlpm.s,_xlfn.TEXTSPLIT($BP$16,","),_xlpm.k,FIND(":",_xlpm.s),INDEX(TRIM(LEFT(_xlpm.s,_xlpm.k-1)),_xlfn.XMATCH(($BM$16+10),_xlfn.SCAN(0,--MID(_xlpm.s,_xlpm.k+1,9),_xlfn.LAMBDA(_xlpm.a,_xlpm.v,_xlpm.a+_xlpm.v)),1))),""),IF(($BM$16+10)&lt;=$BQ$16,$BP$16,""))))</f>
        <v>C</v>
      </c>
    </row>
    <row r="82" spans="2:82" hidden="1" x14ac:dyDescent="0.45">
      <c r="B82" s="6"/>
      <c r="C82" s="9" t="str">
        <f>IF(CA82="","",CA82&amp;"-"&amp;TEXT(0+COUNTIF($CA$72:CA82,CA82),"000"))</f>
        <v>D-011</v>
      </c>
      <c r="D82" s="9" t="str">
        <f>IF(AND($BN$13&lt;&gt;"",($BM$13+11)&lt;=$BO$13),$BN$13,"")</f>
        <v>1B-AA</v>
      </c>
      <c r="E82" s="9" t="str">
        <f>IF(AND($BN$13&lt;&gt;"",($BM$13+11)&lt;=$BO$13),TEXT(($BM$13+11),"00"),"")</f>
        <v>11</v>
      </c>
      <c r="F82" s="9" t="str">
        <f>IF(AND($BN$13&lt;&gt;"",($BM$13+11)&lt;=$BO$13),$BN$13&amp;"-"&amp;TEXT(($BM$13+11),"00"),"")</f>
        <v>1B-AA-11</v>
      </c>
      <c r="H82" s="6"/>
      <c r="I82" s="9" t="str">
        <f>IF(CB82="","",CB82&amp;"-"&amp;TEXT(COUNTIF($CA$72:$CA$95,CB82)+COUNTIF($CB$72:CB82,CB82),"000"))</f>
        <v>D-035</v>
      </c>
      <c r="J82" s="9" t="str">
        <f>IF(AND($BN$14&lt;&gt;"",($BM$14+11)&lt;=$BO$14),$BN$14,"")</f>
        <v>1B-AA</v>
      </c>
      <c r="K82" s="9" t="str">
        <f>IF(AND($BN$14&lt;&gt;"",($BM$14+11)&lt;=$BO$14),TEXT(($BM$14+11),"00"),"")</f>
        <v>35</v>
      </c>
      <c r="L82" s="9" t="str">
        <f>IF(AND($BN$14&lt;&gt;"",($BM$14+11)&lt;=$BO$14),$BN$14&amp;"-"&amp;TEXT(($BM$14+11),"00"),"")</f>
        <v>1B-AA-35</v>
      </c>
      <c r="N82" s="6"/>
      <c r="O82" s="9" t="str">
        <f>IF(CC82="","",CC82&amp;"-"&amp;TEXT(COUNTIF($CA$72:$CA$95,CC82)+COUNTIF($CB$72:$CB$95,CC82)+COUNTIF($CC$72:CC82,CC82),"000"))</f>
        <v>W-011</v>
      </c>
      <c r="P82" s="9" t="str">
        <f>IF(AND($BN$15&lt;&gt;"",($BM$15+11)&lt;=$BO$15),$BN$15,"")</f>
        <v>1B-AB</v>
      </c>
      <c r="Q82" s="9" t="str">
        <f>IF(AND($BN$15&lt;&gt;"",($BM$15+11)&lt;=$BO$15),TEXT(($BM$15+11),"00"),"")</f>
        <v>11</v>
      </c>
      <c r="R82" s="9" t="str">
        <f>IF(AND($BN$15&lt;&gt;"",($BM$15+11)&lt;=$BO$15),$BN$15&amp;"-"&amp;TEXT(($BM$15+11),"00"),"")</f>
        <v>1B-AB-11</v>
      </c>
      <c r="T82" s="6"/>
      <c r="U82" s="9" t="str">
        <f>IF(CD82="","",CD82&amp;"-"&amp;TEXT(COUNTIF($CA$72:$CA$95,CD82)+COUNTIF($CB$72:$CB$95,CD82)+COUNTIF($CC$72:$CC$95,CD82)+COUNTIF($CD$72:CD82,CD82),"000"))</f>
        <v>C-011</v>
      </c>
      <c r="V82" s="9" t="str">
        <f>IF(AND($BN$16&lt;&gt;"",($BM$16+11)&lt;=$BO$16),$BN$16,"")</f>
        <v>1B-AC</v>
      </c>
      <c r="W82" s="9" t="str">
        <f>IF(AND($BN$16&lt;&gt;"",($BM$16+11)&lt;=$BO$16),TEXT(($BM$16+11),"00"),"")</f>
        <v>11</v>
      </c>
      <c r="X82" s="9" t="str">
        <f>IF(AND($BN$16&lt;&gt;"",($BM$16+11)&lt;=$BO$16),$BN$16&amp;"-"&amp;TEXT(($BM$16+11),"00"),"")</f>
        <v>1B-AC-11</v>
      </c>
      <c r="BA82">
        <f>IF(OR(Catalogo!$C82="",Catalogo!$B82="Espacio libre",Catalogo!$B82="Espacio reservado"),0,COUNTIF($C$13:$C$42,Catalogo!$C82)+IF($E$7=Catalogo!$C82,N($K$7),0)+IF($E$8=Catalogo!$C82,N($N$8),0)+IF(Proyecto!$D$12=Catalogo!$C82,$AQ$4,0)+SUMIF($C$49:$C$58,Catalogo!$C82,$K$49:$K$58))</f>
        <v>0</v>
      </c>
      <c r="CA82" t="str" cm="1">
        <f t="array" ref="CA82">IF(NOT(AND($BN$13&lt;&gt;"",($BM$13+11)&lt;=$BO$13)),"",IF(B82&lt;&gt;"",IF(B82="-","",B82),IF(ISNUMBER(SEARCH(":",$BP$13)),IFERROR(_xlfn.LET(_xlpm.s,_xlfn.TEXTSPLIT($BP$13,","),_xlpm.k,FIND(":",_xlpm.s),INDEX(TRIM(LEFT(_xlpm.s,_xlpm.k-1)),_xlfn.XMATCH(($BM$13+11),_xlfn.SCAN(0,--MID(_xlpm.s,_xlpm.k+1,9),_xlfn.LAMBDA(_xlpm.a,_xlpm.v,_xlpm.a+_xlpm.v)),1))),""),IF(($BM$13+11)&lt;=$BQ$13,$BP$13,""))))</f>
        <v>D</v>
      </c>
      <c r="CB82" t="str" cm="1">
        <f t="array" ref="CB82">IF(NOT(AND($BN$14&lt;&gt;"",($BM$14+11)&lt;=$BO$14)),"",IF(H82&lt;&gt;"",IF(H82="-","",H82),IF(ISNUMBER(SEARCH(":",$BP$14)),IFERROR(_xlfn.LET(_xlpm.s,_xlfn.TEXTSPLIT($BP$14,","),_xlpm.k,FIND(":",_xlpm.s),INDEX(TRIM(LEFT(_xlpm.s,_xlpm.k-1)),_xlfn.XMATCH(($BM$14+11),_xlfn.SCAN(0,--MID(_xlpm.s,_xlpm.k+1,9),_xlfn.LAMBDA(_xlpm.a,_xlpm.v,_xlpm.a+_xlpm.v)),1))),""),IF(($BM$14+11)&lt;=$BQ$14,$BP$14,""))))</f>
        <v>D</v>
      </c>
      <c r="CC82" t="str" cm="1">
        <f t="array" ref="CC82">IF(NOT(AND($BN$15&lt;&gt;"",($BM$15+11)&lt;=$BO$15)),"",IF(N82&lt;&gt;"",IF(N82="-","",N82),IF(ISNUMBER(SEARCH(":",$BP$15)),IFERROR(_xlfn.LET(_xlpm.s,_xlfn.TEXTSPLIT($BP$15,","),_xlpm.k,FIND(":",_xlpm.s),INDEX(TRIM(LEFT(_xlpm.s,_xlpm.k-1)),_xlfn.XMATCH(($BM$15+11),_xlfn.SCAN(0,--MID(_xlpm.s,_xlpm.k+1,9),_xlfn.LAMBDA(_xlpm.a,_xlpm.v,_xlpm.a+_xlpm.v)),1))),""),IF(($BM$15+11)&lt;=$BQ$15,$BP$15,""))))</f>
        <v>W</v>
      </c>
      <c r="CD82" t="str" cm="1">
        <f t="array" ref="CD82">IF(NOT(AND($BN$16&lt;&gt;"",($BM$16+11)&lt;=$BO$16)),"",IF(T82&lt;&gt;"",IF(T82="-","",T82),IF(ISNUMBER(SEARCH(":",$BP$16)),IFERROR(_xlfn.LET(_xlpm.s,_xlfn.TEXTSPLIT($BP$16,","),_xlpm.k,FIND(":",_xlpm.s),INDEX(TRIM(LEFT(_xlpm.s,_xlpm.k-1)),_xlfn.XMATCH(($BM$16+11),_xlfn.SCAN(0,--MID(_xlpm.s,_xlpm.k+1,9),_xlfn.LAMBDA(_xlpm.a,_xlpm.v,_xlpm.a+_xlpm.v)),1))),""),IF(($BM$16+11)&lt;=$BQ$16,$BP$16,""))))</f>
        <v>C</v>
      </c>
    </row>
    <row r="83" spans="2:82" hidden="1" x14ac:dyDescent="0.45">
      <c r="B83" s="6"/>
      <c r="C83" s="9" t="str">
        <f>IF(CA83="","",CA83&amp;"-"&amp;TEXT(0+COUNTIF($CA$72:CA83,CA83),"000"))</f>
        <v>D-012</v>
      </c>
      <c r="D83" s="9" t="str">
        <f>IF(AND($BN$13&lt;&gt;"",($BM$13+12)&lt;=$BO$13),$BN$13,"")</f>
        <v>1B-AA</v>
      </c>
      <c r="E83" s="9" t="str">
        <f>IF(AND($BN$13&lt;&gt;"",($BM$13+12)&lt;=$BO$13),TEXT(($BM$13+12),"00"),"")</f>
        <v>12</v>
      </c>
      <c r="F83" s="9" t="str">
        <f>IF(AND($BN$13&lt;&gt;"",($BM$13+12)&lt;=$BO$13),$BN$13&amp;"-"&amp;TEXT(($BM$13+12),"00"),"")</f>
        <v>1B-AA-12</v>
      </c>
      <c r="H83" s="6"/>
      <c r="I83" s="9" t="str">
        <f>IF(CB83="","",CB83&amp;"-"&amp;TEXT(COUNTIF($CA$72:$CA$95,CB83)+COUNTIF($CB$72:CB83,CB83),"000"))</f>
        <v>D-036</v>
      </c>
      <c r="J83" s="9" t="str">
        <f>IF(AND($BN$14&lt;&gt;"",($BM$14+12)&lt;=$BO$14),$BN$14,"")</f>
        <v>1B-AA</v>
      </c>
      <c r="K83" s="9" t="str">
        <f>IF(AND($BN$14&lt;&gt;"",($BM$14+12)&lt;=$BO$14),TEXT(($BM$14+12),"00"),"")</f>
        <v>36</v>
      </c>
      <c r="L83" s="9" t="str">
        <f>IF(AND($BN$14&lt;&gt;"",($BM$14+12)&lt;=$BO$14),$BN$14&amp;"-"&amp;TEXT(($BM$14+12),"00"),"")</f>
        <v>1B-AA-36</v>
      </c>
      <c r="N83" s="6"/>
      <c r="O83" s="9" t="str">
        <f>IF(CC83="","",CC83&amp;"-"&amp;TEXT(COUNTIF($CA$72:$CA$95,CC83)+COUNTIF($CB$72:$CB$95,CC83)+COUNTIF($CC$72:CC83,CC83),"000"))</f>
        <v>W-012</v>
      </c>
      <c r="P83" s="9" t="str">
        <f>IF(AND($BN$15&lt;&gt;"",($BM$15+12)&lt;=$BO$15),$BN$15,"")</f>
        <v>1B-AB</v>
      </c>
      <c r="Q83" s="9" t="str">
        <f>IF(AND($BN$15&lt;&gt;"",($BM$15+12)&lt;=$BO$15),TEXT(($BM$15+12),"00"),"")</f>
        <v>12</v>
      </c>
      <c r="R83" s="9" t="str">
        <f>IF(AND($BN$15&lt;&gt;"",($BM$15+12)&lt;=$BO$15),$BN$15&amp;"-"&amp;TEXT(($BM$15+12),"00"),"")</f>
        <v>1B-AB-12</v>
      </c>
      <c r="T83" s="6"/>
      <c r="U83" s="9" t="str">
        <f>IF(CD83="","",CD83&amp;"-"&amp;TEXT(COUNTIF($CA$72:$CA$95,CD83)+COUNTIF($CB$72:$CB$95,CD83)+COUNTIF($CC$72:$CC$95,CD83)+COUNTIF($CD$72:CD83,CD83),"000"))</f>
        <v>C-012</v>
      </c>
      <c r="V83" s="9" t="str">
        <f>IF(AND($BN$16&lt;&gt;"",($BM$16+12)&lt;=$BO$16),$BN$16,"")</f>
        <v>1B-AC</v>
      </c>
      <c r="W83" s="9" t="str">
        <f>IF(AND($BN$16&lt;&gt;"",($BM$16+12)&lt;=$BO$16),TEXT(($BM$16+12),"00"),"")</f>
        <v>12</v>
      </c>
      <c r="X83" s="9" t="str">
        <f>IF(AND($BN$16&lt;&gt;"",($BM$16+12)&lt;=$BO$16),$BN$16&amp;"-"&amp;TEXT(($BM$16+12),"00"),"")</f>
        <v>1B-AC-12</v>
      </c>
      <c r="BA83">
        <f>IF(OR(Catalogo!$C83="",Catalogo!$B83="Espacio libre",Catalogo!$B83="Espacio reservado"),0,COUNTIF($C$13:$C$42,Catalogo!$C83)+IF($E$7=Catalogo!$C83,N($K$7),0)+IF($E$8=Catalogo!$C83,N($N$8),0)+IF(Proyecto!$D$12=Catalogo!$C83,$AQ$4,0)+SUMIF($C$49:$C$58,Catalogo!$C83,$K$49:$K$58))</f>
        <v>0</v>
      </c>
      <c r="CA83" t="str" cm="1">
        <f t="array" ref="CA83">IF(NOT(AND($BN$13&lt;&gt;"",($BM$13+12)&lt;=$BO$13)),"",IF(B83&lt;&gt;"",IF(B83="-","",B83),IF(ISNUMBER(SEARCH(":",$BP$13)),IFERROR(_xlfn.LET(_xlpm.s,_xlfn.TEXTSPLIT($BP$13,","),_xlpm.k,FIND(":",_xlpm.s),INDEX(TRIM(LEFT(_xlpm.s,_xlpm.k-1)),_xlfn.XMATCH(($BM$13+12),_xlfn.SCAN(0,--MID(_xlpm.s,_xlpm.k+1,9),_xlfn.LAMBDA(_xlpm.a,_xlpm.v,_xlpm.a+_xlpm.v)),1))),""),IF(($BM$13+12)&lt;=$BQ$13,$BP$13,""))))</f>
        <v>D</v>
      </c>
      <c r="CB83" t="str" cm="1">
        <f t="array" ref="CB83">IF(NOT(AND($BN$14&lt;&gt;"",($BM$14+12)&lt;=$BO$14)),"",IF(H83&lt;&gt;"",IF(H83="-","",H83),IF(ISNUMBER(SEARCH(":",$BP$14)),IFERROR(_xlfn.LET(_xlpm.s,_xlfn.TEXTSPLIT($BP$14,","),_xlpm.k,FIND(":",_xlpm.s),INDEX(TRIM(LEFT(_xlpm.s,_xlpm.k-1)),_xlfn.XMATCH(($BM$14+12),_xlfn.SCAN(0,--MID(_xlpm.s,_xlpm.k+1,9),_xlfn.LAMBDA(_xlpm.a,_xlpm.v,_xlpm.a+_xlpm.v)),1))),""),IF(($BM$14+12)&lt;=$BQ$14,$BP$14,""))))</f>
        <v>D</v>
      </c>
      <c r="CC83" t="str" cm="1">
        <f t="array" ref="CC83">IF(NOT(AND($BN$15&lt;&gt;"",($BM$15+12)&lt;=$BO$15)),"",IF(N83&lt;&gt;"",IF(N83="-","",N83),IF(ISNUMBER(SEARCH(":",$BP$15)),IFERROR(_xlfn.LET(_xlpm.s,_xlfn.TEXTSPLIT($BP$15,","),_xlpm.k,FIND(":",_xlpm.s),INDEX(TRIM(LEFT(_xlpm.s,_xlpm.k-1)),_xlfn.XMATCH(($BM$15+12),_xlfn.SCAN(0,--MID(_xlpm.s,_xlpm.k+1,9),_xlfn.LAMBDA(_xlpm.a,_xlpm.v,_xlpm.a+_xlpm.v)),1))),""),IF(($BM$15+12)&lt;=$BQ$15,$BP$15,""))))</f>
        <v>W</v>
      </c>
      <c r="CD83" t="str" cm="1">
        <f t="array" ref="CD83">IF(NOT(AND($BN$16&lt;&gt;"",($BM$16+12)&lt;=$BO$16)),"",IF(T83&lt;&gt;"",IF(T83="-","",T83),IF(ISNUMBER(SEARCH(":",$BP$16)),IFERROR(_xlfn.LET(_xlpm.s,_xlfn.TEXTSPLIT($BP$16,","),_xlpm.k,FIND(":",_xlpm.s),INDEX(TRIM(LEFT(_xlpm.s,_xlpm.k-1)),_xlfn.XMATCH(($BM$16+12),_xlfn.SCAN(0,--MID(_xlpm.s,_xlpm.k+1,9),_xlfn.LAMBDA(_xlpm.a,_xlpm.v,_xlpm.a+_xlpm.v)),1))),""),IF(($BM$16+12)&lt;=$BQ$16,$BP$16,""))))</f>
        <v>C</v>
      </c>
    </row>
    <row r="84" spans="2:82" hidden="1" x14ac:dyDescent="0.45">
      <c r="B84" s="6"/>
      <c r="C84" s="9" t="str">
        <f>IF(CA84="","",CA84&amp;"-"&amp;TEXT(0+COUNTIF($CA$72:CA84,CA84),"000"))</f>
        <v>D-013</v>
      </c>
      <c r="D84" s="9" t="str">
        <f>IF(AND($BN$13&lt;&gt;"",($BM$13+13)&lt;=$BO$13),$BN$13,"")</f>
        <v>1B-AA</v>
      </c>
      <c r="E84" s="9" t="str">
        <f>IF(AND($BN$13&lt;&gt;"",($BM$13+13)&lt;=$BO$13),TEXT(($BM$13+13),"00"),"")</f>
        <v>13</v>
      </c>
      <c r="F84" s="9" t="str">
        <f>IF(AND($BN$13&lt;&gt;"",($BM$13+13)&lt;=$BO$13),$BN$13&amp;"-"&amp;TEXT(($BM$13+13),"00"),"")</f>
        <v>1B-AA-13</v>
      </c>
      <c r="H84" s="6"/>
      <c r="I84" s="9" t="str">
        <f>IF(CB84="","",CB84&amp;"-"&amp;TEXT(COUNTIF($CA$72:$CA$95,CB84)+COUNTIF($CB$72:CB84,CB84),"000"))</f>
        <v>D-037</v>
      </c>
      <c r="J84" s="9" t="str">
        <f>IF(AND($BN$14&lt;&gt;"",($BM$14+13)&lt;=$BO$14),$BN$14,"")</f>
        <v>1B-AA</v>
      </c>
      <c r="K84" s="9" t="str">
        <f>IF(AND($BN$14&lt;&gt;"",($BM$14+13)&lt;=$BO$14),TEXT(($BM$14+13),"00"),"")</f>
        <v>37</v>
      </c>
      <c r="L84" s="9" t="str">
        <f>IF(AND($BN$14&lt;&gt;"",($BM$14+13)&lt;=$BO$14),$BN$14&amp;"-"&amp;TEXT(($BM$14+13),"00"),"")</f>
        <v>1B-AA-37</v>
      </c>
      <c r="N84" s="6"/>
      <c r="O84" s="9" t="str">
        <f>IF(CC84="","",CC84&amp;"-"&amp;TEXT(COUNTIF($CA$72:$CA$95,CC84)+COUNTIF($CB$72:$CB$95,CC84)+COUNTIF($CC$72:CC84,CC84),"000"))</f>
        <v>W-013</v>
      </c>
      <c r="P84" s="9" t="str">
        <f>IF(AND($BN$15&lt;&gt;"",($BM$15+13)&lt;=$BO$15),$BN$15,"")</f>
        <v>1B-AB</v>
      </c>
      <c r="Q84" s="9" t="str">
        <f>IF(AND($BN$15&lt;&gt;"",($BM$15+13)&lt;=$BO$15),TEXT(($BM$15+13),"00"),"")</f>
        <v>13</v>
      </c>
      <c r="R84" s="9" t="str">
        <f>IF(AND($BN$15&lt;&gt;"",($BM$15+13)&lt;=$BO$15),$BN$15&amp;"-"&amp;TEXT(($BM$15+13),"00"),"")</f>
        <v>1B-AB-13</v>
      </c>
      <c r="T84" s="6"/>
      <c r="U84" s="9" t="str">
        <f>IF(CD84="","",CD84&amp;"-"&amp;TEXT(COUNTIF($CA$72:$CA$95,CD84)+COUNTIF($CB$72:$CB$95,CD84)+COUNTIF($CC$72:$CC$95,CD84)+COUNTIF($CD$72:CD84,CD84),"000"))</f>
        <v>C-013</v>
      </c>
      <c r="V84" s="9" t="str">
        <f>IF(AND($BN$16&lt;&gt;"",($BM$16+13)&lt;=$BO$16),$BN$16,"")</f>
        <v>1B-AC</v>
      </c>
      <c r="W84" s="9" t="str">
        <f>IF(AND($BN$16&lt;&gt;"",($BM$16+13)&lt;=$BO$16),TEXT(($BM$16+13),"00"),"")</f>
        <v>13</v>
      </c>
      <c r="X84" s="9" t="str">
        <f>IF(AND($BN$16&lt;&gt;"",($BM$16+13)&lt;=$BO$16),$BN$16&amp;"-"&amp;TEXT(($BM$16+13),"00"),"")</f>
        <v>1B-AC-13</v>
      </c>
      <c r="BA84">
        <f>IF(OR(Catalogo!$C84="",Catalogo!$B84="Espacio libre",Catalogo!$B84="Espacio reservado"),0,COUNTIF($C$13:$C$42,Catalogo!$C84)+IF($E$7=Catalogo!$C84,N($K$7),0)+IF($E$8=Catalogo!$C84,N($N$8),0)+IF(Proyecto!$D$12=Catalogo!$C84,$AQ$4,0)+SUMIF($C$49:$C$58,Catalogo!$C84,$K$49:$K$58))</f>
        <v>0</v>
      </c>
      <c r="CA84" t="str" cm="1">
        <f t="array" ref="CA84">IF(NOT(AND($BN$13&lt;&gt;"",($BM$13+13)&lt;=$BO$13)),"",IF(B84&lt;&gt;"",IF(B84="-","",B84),IF(ISNUMBER(SEARCH(":",$BP$13)),IFERROR(_xlfn.LET(_xlpm.s,_xlfn.TEXTSPLIT($BP$13,","),_xlpm.k,FIND(":",_xlpm.s),INDEX(TRIM(LEFT(_xlpm.s,_xlpm.k-1)),_xlfn.XMATCH(($BM$13+13),_xlfn.SCAN(0,--MID(_xlpm.s,_xlpm.k+1,9),_xlfn.LAMBDA(_xlpm.a,_xlpm.v,_xlpm.a+_xlpm.v)),1))),""),IF(($BM$13+13)&lt;=$BQ$13,$BP$13,""))))</f>
        <v>D</v>
      </c>
      <c r="CB84" t="str" cm="1">
        <f t="array" ref="CB84">IF(NOT(AND($BN$14&lt;&gt;"",($BM$14+13)&lt;=$BO$14)),"",IF(H84&lt;&gt;"",IF(H84="-","",H84),IF(ISNUMBER(SEARCH(":",$BP$14)),IFERROR(_xlfn.LET(_xlpm.s,_xlfn.TEXTSPLIT($BP$14,","),_xlpm.k,FIND(":",_xlpm.s),INDEX(TRIM(LEFT(_xlpm.s,_xlpm.k-1)),_xlfn.XMATCH(($BM$14+13),_xlfn.SCAN(0,--MID(_xlpm.s,_xlpm.k+1,9),_xlfn.LAMBDA(_xlpm.a,_xlpm.v,_xlpm.a+_xlpm.v)),1))),""),IF(($BM$14+13)&lt;=$BQ$14,$BP$14,""))))</f>
        <v>D</v>
      </c>
      <c r="CC84" t="str" cm="1">
        <f t="array" ref="CC84">IF(NOT(AND($BN$15&lt;&gt;"",($BM$15+13)&lt;=$BO$15)),"",IF(N84&lt;&gt;"",IF(N84="-","",N84),IF(ISNUMBER(SEARCH(":",$BP$15)),IFERROR(_xlfn.LET(_xlpm.s,_xlfn.TEXTSPLIT($BP$15,","),_xlpm.k,FIND(":",_xlpm.s),INDEX(TRIM(LEFT(_xlpm.s,_xlpm.k-1)),_xlfn.XMATCH(($BM$15+13),_xlfn.SCAN(0,--MID(_xlpm.s,_xlpm.k+1,9),_xlfn.LAMBDA(_xlpm.a,_xlpm.v,_xlpm.a+_xlpm.v)),1))),""),IF(($BM$15+13)&lt;=$BQ$15,$BP$15,""))))</f>
        <v>W</v>
      </c>
      <c r="CD84" t="str" cm="1">
        <f t="array" ref="CD84">IF(NOT(AND($BN$16&lt;&gt;"",($BM$16+13)&lt;=$BO$16)),"",IF(T84&lt;&gt;"",IF(T84="-","",T84),IF(ISNUMBER(SEARCH(":",$BP$16)),IFERROR(_xlfn.LET(_xlpm.s,_xlfn.TEXTSPLIT($BP$16,","),_xlpm.k,FIND(":",_xlpm.s),INDEX(TRIM(LEFT(_xlpm.s,_xlpm.k-1)),_xlfn.XMATCH(($BM$16+13),_xlfn.SCAN(0,--MID(_xlpm.s,_xlpm.k+1,9),_xlfn.LAMBDA(_xlpm.a,_xlpm.v,_xlpm.a+_xlpm.v)),1))),""),IF(($BM$16+13)&lt;=$BQ$16,$BP$16,""))))</f>
        <v>C</v>
      </c>
    </row>
    <row r="85" spans="2:82" hidden="1" x14ac:dyDescent="0.45">
      <c r="B85" s="6"/>
      <c r="C85" s="9" t="str">
        <f>IF(CA85="","",CA85&amp;"-"&amp;TEXT(0+COUNTIF($CA$72:CA85,CA85),"000"))</f>
        <v>D-014</v>
      </c>
      <c r="D85" s="9" t="str">
        <f>IF(AND($BN$13&lt;&gt;"",($BM$13+14)&lt;=$BO$13),$BN$13,"")</f>
        <v>1B-AA</v>
      </c>
      <c r="E85" s="9" t="str">
        <f>IF(AND($BN$13&lt;&gt;"",($BM$13+14)&lt;=$BO$13),TEXT(($BM$13+14),"00"),"")</f>
        <v>14</v>
      </c>
      <c r="F85" s="9" t="str">
        <f>IF(AND($BN$13&lt;&gt;"",($BM$13+14)&lt;=$BO$13),$BN$13&amp;"-"&amp;TEXT(($BM$13+14),"00"),"")</f>
        <v>1B-AA-14</v>
      </c>
      <c r="H85" s="6"/>
      <c r="I85" s="9" t="str">
        <f>IF(CB85="","",CB85&amp;"-"&amp;TEXT(COUNTIF($CA$72:$CA$95,CB85)+COUNTIF($CB$72:CB85,CB85),"000"))</f>
        <v>D-038</v>
      </c>
      <c r="J85" s="9" t="str">
        <f>IF(AND($BN$14&lt;&gt;"",($BM$14+14)&lt;=$BO$14),$BN$14,"")</f>
        <v>1B-AA</v>
      </c>
      <c r="K85" s="9" t="str">
        <f>IF(AND($BN$14&lt;&gt;"",($BM$14+14)&lt;=$BO$14),TEXT(($BM$14+14),"00"),"")</f>
        <v>38</v>
      </c>
      <c r="L85" s="9" t="str">
        <f>IF(AND($BN$14&lt;&gt;"",($BM$14+14)&lt;=$BO$14),$BN$14&amp;"-"&amp;TEXT(($BM$14+14),"00"),"")</f>
        <v>1B-AA-38</v>
      </c>
      <c r="N85" s="6"/>
      <c r="O85" s="9" t="str">
        <f>IF(CC85="","",CC85&amp;"-"&amp;TEXT(COUNTIF($CA$72:$CA$95,CC85)+COUNTIF($CB$72:$CB$95,CC85)+COUNTIF($CC$72:CC85,CC85),"000"))</f>
        <v>W-014</v>
      </c>
      <c r="P85" s="9" t="str">
        <f>IF(AND($BN$15&lt;&gt;"",($BM$15+14)&lt;=$BO$15),$BN$15,"")</f>
        <v>1B-AB</v>
      </c>
      <c r="Q85" s="9" t="str">
        <f>IF(AND($BN$15&lt;&gt;"",($BM$15+14)&lt;=$BO$15),TEXT(($BM$15+14),"00"),"")</f>
        <v>14</v>
      </c>
      <c r="R85" s="9" t="str">
        <f>IF(AND($BN$15&lt;&gt;"",($BM$15+14)&lt;=$BO$15),$BN$15&amp;"-"&amp;TEXT(($BM$15+14),"00"),"")</f>
        <v>1B-AB-14</v>
      </c>
      <c r="T85" s="6"/>
      <c r="U85" s="9" t="str">
        <f>IF(CD85="","",CD85&amp;"-"&amp;TEXT(COUNTIF($CA$72:$CA$95,CD85)+COUNTIF($CB$72:$CB$95,CD85)+COUNTIF($CC$72:$CC$95,CD85)+COUNTIF($CD$72:CD85,CD85),"000"))</f>
        <v>C-014</v>
      </c>
      <c r="V85" s="9" t="str">
        <f>IF(AND($BN$16&lt;&gt;"",($BM$16+14)&lt;=$BO$16),$BN$16,"")</f>
        <v>1B-AC</v>
      </c>
      <c r="W85" s="9" t="str">
        <f>IF(AND($BN$16&lt;&gt;"",($BM$16+14)&lt;=$BO$16),TEXT(($BM$16+14),"00"),"")</f>
        <v>14</v>
      </c>
      <c r="X85" s="9" t="str">
        <f>IF(AND($BN$16&lt;&gt;"",($BM$16+14)&lt;=$BO$16),$BN$16&amp;"-"&amp;TEXT(($BM$16+14),"00"),"")</f>
        <v>1B-AC-14</v>
      </c>
      <c r="BA85">
        <f>IF(OR(Catalogo!$C85="",Catalogo!$B85="Espacio libre",Catalogo!$B85="Espacio reservado"),0,COUNTIF($C$13:$C$42,Catalogo!$C85)+IF($E$7=Catalogo!$C85,N($K$7),0)+IF($E$8=Catalogo!$C85,N($N$8),0)+IF(Proyecto!$D$12=Catalogo!$C85,$AQ$4,0)+SUMIF($C$49:$C$58,Catalogo!$C85,$K$49:$K$58))</f>
        <v>0</v>
      </c>
      <c r="CA85" t="str" cm="1">
        <f t="array" ref="CA85">IF(NOT(AND($BN$13&lt;&gt;"",($BM$13+14)&lt;=$BO$13)),"",IF(B85&lt;&gt;"",IF(B85="-","",B85),IF(ISNUMBER(SEARCH(":",$BP$13)),IFERROR(_xlfn.LET(_xlpm.s,_xlfn.TEXTSPLIT($BP$13,","),_xlpm.k,FIND(":",_xlpm.s),INDEX(TRIM(LEFT(_xlpm.s,_xlpm.k-1)),_xlfn.XMATCH(($BM$13+14),_xlfn.SCAN(0,--MID(_xlpm.s,_xlpm.k+1,9),_xlfn.LAMBDA(_xlpm.a,_xlpm.v,_xlpm.a+_xlpm.v)),1))),""),IF(($BM$13+14)&lt;=$BQ$13,$BP$13,""))))</f>
        <v>D</v>
      </c>
      <c r="CB85" t="str" cm="1">
        <f t="array" ref="CB85">IF(NOT(AND($BN$14&lt;&gt;"",($BM$14+14)&lt;=$BO$14)),"",IF(H85&lt;&gt;"",IF(H85="-","",H85),IF(ISNUMBER(SEARCH(":",$BP$14)),IFERROR(_xlfn.LET(_xlpm.s,_xlfn.TEXTSPLIT($BP$14,","),_xlpm.k,FIND(":",_xlpm.s),INDEX(TRIM(LEFT(_xlpm.s,_xlpm.k-1)),_xlfn.XMATCH(($BM$14+14),_xlfn.SCAN(0,--MID(_xlpm.s,_xlpm.k+1,9),_xlfn.LAMBDA(_xlpm.a,_xlpm.v,_xlpm.a+_xlpm.v)),1))),""),IF(($BM$14+14)&lt;=$BQ$14,$BP$14,""))))</f>
        <v>D</v>
      </c>
      <c r="CC85" t="str" cm="1">
        <f t="array" ref="CC85">IF(NOT(AND($BN$15&lt;&gt;"",($BM$15+14)&lt;=$BO$15)),"",IF(N85&lt;&gt;"",IF(N85="-","",N85),IF(ISNUMBER(SEARCH(":",$BP$15)),IFERROR(_xlfn.LET(_xlpm.s,_xlfn.TEXTSPLIT($BP$15,","),_xlpm.k,FIND(":",_xlpm.s),INDEX(TRIM(LEFT(_xlpm.s,_xlpm.k-1)),_xlfn.XMATCH(($BM$15+14),_xlfn.SCAN(0,--MID(_xlpm.s,_xlpm.k+1,9),_xlfn.LAMBDA(_xlpm.a,_xlpm.v,_xlpm.a+_xlpm.v)),1))),""),IF(($BM$15+14)&lt;=$BQ$15,$BP$15,""))))</f>
        <v>W</v>
      </c>
      <c r="CD85" t="str" cm="1">
        <f t="array" ref="CD85">IF(NOT(AND($BN$16&lt;&gt;"",($BM$16+14)&lt;=$BO$16)),"",IF(T85&lt;&gt;"",IF(T85="-","",T85),IF(ISNUMBER(SEARCH(":",$BP$16)),IFERROR(_xlfn.LET(_xlpm.s,_xlfn.TEXTSPLIT($BP$16,","),_xlpm.k,FIND(":",_xlpm.s),INDEX(TRIM(LEFT(_xlpm.s,_xlpm.k-1)),_xlfn.XMATCH(($BM$16+14),_xlfn.SCAN(0,--MID(_xlpm.s,_xlpm.k+1,9),_xlfn.LAMBDA(_xlpm.a,_xlpm.v,_xlpm.a+_xlpm.v)),1))),""),IF(($BM$16+14)&lt;=$BQ$16,$BP$16,""))))</f>
        <v>C</v>
      </c>
    </row>
    <row r="86" spans="2:82" hidden="1" x14ac:dyDescent="0.45">
      <c r="B86" s="6"/>
      <c r="C86" s="9" t="str">
        <f>IF(CA86="","",CA86&amp;"-"&amp;TEXT(0+COUNTIF($CA$72:CA86,CA86),"000"))</f>
        <v>D-015</v>
      </c>
      <c r="D86" s="9" t="str">
        <f>IF(AND($BN$13&lt;&gt;"",($BM$13+15)&lt;=$BO$13),$BN$13,"")</f>
        <v>1B-AA</v>
      </c>
      <c r="E86" s="9" t="str">
        <f>IF(AND($BN$13&lt;&gt;"",($BM$13+15)&lt;=$BO$13),TEXT(($BM$13+15),"00"),"")</f>
        <v>15</v>
      </c>
      <c r="F86" s="9" t="str">
        <f>IF(AND($BN$13&lt;&gt;"",($BM$13+15)&lt;=$BO$13),$BN$13&amp;"-"&amp;TEXT(($BM$13+15),"00"),"")</f>
        <v>1B-AA-15</v>
      </c>
      <c r="H86" s="6"/>
      <c r="I86" s="9" t="str">
        <f>IF(CB86="","",CB86&amp;"-"&amp;TEXT(COUNTIF($CA$72:$CA$95,CB86)+COUNTIF($CB$72:CB86,CB86),"000"))</f>
        <v>D-039</v>
      </c>
      <c r="J86" s="9" t="str">
        <f>IF(AND($BN$14&lt;&gt;"",($BM$14+15)&lt;=$BO$14),$BN$14,"")</f>
        <v>1B-AA</v>
      </c>
      <c r="K86" s="9" t="str">
        <f>IF(AND($BN$14&lt;&gt;"",($BM$14+15)&lt;=$BO$14),TEXT(($BM$14+15),"00"),"")</f>
        <v>39</v>
      </c>
      <c r="L86" s="9" t="str">
        <f>IF(AND($BN$14&lt;&gt;"",($BM$14+15)&lt;=$BO$14),$BN$14&amp;"-"&amp;TEXT(($BM$14+15),"00"),"")</f>
        <v>1B-AA-39</v>
      </c>
      <c r="N86" s="6"/>
      <c r="O86" s="9" t="str">
        <f>IF(CC86="","",CC86&amp;"-"&amp;TEXT(COUNTIF($CA$72:$CA$95,CC86)+COUNTIF($CB$72:$CB$95,CC86)+COUNTIF($CC$72:CC86,CC86),"000"))</f>
        <v>W-015</v>
      </c>
      <c r="P86" s="9" t="str">
        <f>IF(AND($BN$15&lt;&gt;"",($BM$15+15)&lt;=$BO$15),$BN$15,"")</f>
        <v>1B-AB</v>
      </c>
      <c r="Q86" s="9" t="str">
        <f>IF(AND($BN$15&lt;&gt;"",($BM$15+15)&lt;=$BO$15),TEXT(($BM$15+15),"00"),"")</f>
        <v>15</v>
      </c>
      <c r="R86" s="9" t="str">
        <f>IF(AND($BN$15&lt;&gt;"",($BM$15+15)&lt;=$BO$15),$BN$15&amp;"-"&amp;TEXT(($BM$15+15),"00"),"")</f>
        <v>1B-AB-15</v>
      </c>
      <c r="T86" s="6"/>
      <c r="U86" s="9" t="str">
        <f>IF(CD86="","",CD86&amp;"-"&amp;TEXT(COUNTIF($CA$72:$CA$95,CD86)+COUNTIF($CB$72:$CB$95,CD86)+COUNTIF($CC$72:$CC$95,CD86)+COUNTIF($CD$72:CD86,CD86),"000"))</f>
        <v>C-015</v>
      </c>
      <c r="V86" s="9" t="str">
        <f>IF(AND($BN$16&lt;&gt;"",($BM$16+15)&lt;=$BO$16),$BN$16,"")</f>
        <v>1B-AC</v>
      </c>
      <c r="W86" s="9" t="str">
        <f>IF(AND($BN$16&lt;&gt;"",($BM$16+15)&lt;=$BO$16),TEXT(($BM$16+15),"00"),"")</f>
        <v>15</v>
      </c>
      <c r="X86" s="9" t="str">
        <f>IF(AND($BN$16&lt;&gt;"",($BM$16+15)&lt;=$BO$16),$BN$16&amp;"-"&amp;TEXT(($BM$16+15),"00"),"")</f>
        <v>1B-AC-15</v>
      </c>
      <c r="BA86">
        <f>IF(OR(Catalogo!$C86="",Catalogo!$B86="Espacio libre",Catalogo!$B86="Espacio reservado"),0,COUNTIF($C$13:$C$42,Catalogo!$C86)+IF($E$7=Catalogo!$C86,N($K$7),0)+IF($E$8=Catalogo!$C86,N($N$8),0)+IF(Proyecto!$D$12=Catalogo!$C86,$AQ$4,0)+SUMIF($C$49:$C$58,Catalogo!$C86,$K$49:$K$58))</f>
        <v>0</v>
      </c>
      <c r="CA86" t="str" cm="1">
        <f t="array" ref="CA86">IF(NOT(AND($BN$13&lt;&gt;"",($BM$13+15)&lt;=$BO$13)),"",IF(B86&lt;&gt;"",IF(B86="-","",B86),IF(ISNUMBER(SEARCH(":",$BP$13)),IFERROR(_xlfn.LET(_xlpm.s,_xlfn.TEXTSPLIT($BP$13,","),_xlpm.k,FIND(":",_xlpm.s),INDEX(TRIM(LEFT(_xlpm.s,_xlpm.k-1)),_xlfn.XMATCH(($BM$13+15),_xlfn.SCAN(0,--MID(_xlpm.s,_xlpm.k+1,9),_xlfn.LAMBDA(_xlpm.a,_xlpm.v,_xlpm.a+_xlpm.v)),1))),""),IF(($BM$13+15)&lt;=$BQ$13,$BP$13,""))))</f>
        <v>D</v>
      </c>
      <c r="CB86" t="str" cm="1">
        <f t="array" ref="CB86">IF(NOT(AND($BN$14&lt;&gt;"",($BM$14+15)&lt;=$BO$14)),"",IF(H86&lt;&gt;"",IF(H86="-","",H86),IF(ISNUMBER(SEARCH(":",$BP$14)),IFERROR(_xlfn.LET(_xlpm.s,_xlfn.TEXTSPLIT($BP$14,","),_xlpm.k,FIND(":",_xlpm.s),INDEX(TRIM(LEFT(_xlpm.s,_xlpm.k-1)),_xlfn.XMATCH(($BM$14+15),_xlfn.SCAN(0,--MID(_xlpm.s,_xlpm.k+1,9),_xlfn.LAMBDA(_xlpm.a,_xlpm.v,_xlpm.a+_xlpm.v)),1))),""),IF(($BM$14+15)&lt;=$BQ$14,$BP$14,""))))</f>
        <v>D</v>
      </c>
      <c r="CC86" t="str" cm="1">
        <f t="array" ref="CC86">IF(NOT(AND($BN$15&lt;&gt;"",($BM$15+15)&lt;=$BO$15)),"",IF(N86&lt;&gt;"",IF(N86="-","",N86),IF(ISNUMBER(SEARCH(":",$BP$15)),IFERROR(_xlfn.LET(_xlpm.s,_xlfn.TEXTSPLIT($BP$15,","),_xlpm.k,FIND(":",_xlpm.s),INDEX(TRIM(LEFT(_xlpm.s,_xlpm.k-1)),_xlfn.XMATCH(($BM$15+15),_xlfn.SCAN(0,--MID(_xlpm.s,_xlpm.k+1,9),_xlfn.LAMBDA(_xlpm.a,_xlpm.v,_xlpm.a+_xlpm.v)),1))),""),IF(($BM$15+15)&lt;=$BQ$15,$BP$15,""))))</f>
        <v>W</v>
      </c>
      <c r="CD86" t="str" cm="1">
        <f t="array" ref="CD86">IF(NOT(AND($BN$16&lt;&gt;"",($BM$16+15)&lt;=$BO$16)),"",IF(T86&lt;&gt;"",IF(T86="-","",T86),IF(ISNUMBER(SEARCH(":",$BP$16)),IFERROR(_xlfn.LET(_xlpm.s,_xlfn.TEXTSPLIT($BP$16,","),_xlpm.k,FIND(":",_xlpm.s),INDEX(TRIM(LEFT(_xlpm.s,_xlpm.k-1)),_xlfn.XMATCH(($BM$16+15),_xlfn.SCAN(0,--MID(_xlpm.s,_xlpm.k+1,9),_xlfn.LAMBDA(_xlpm.a,_xlpm.v,_xlpm.a+_xlpm.v)),1))),""),IF(($BM$16+15)&lt;=$BQ$16,$BP$16,""))))</f>
        <v>C</v>
      </c>
    </row>
    <row r="87" spans="2:82" hidden="1" x14ac:dyDescent="0.45">
      <c r="B87" s="6"/>
      <c r="C87" s="9" t="str">
        <f>IF(CA87="","",CA87&amp;"-"&amp;TEXT(0+COUNTIF($CA$72:CA87,CA87),"000"))</f>
        <v>D-016</v>
      </c>
      <c r="D87" s="9" t="str">
        <f>IF(AND($BN$13&lt;&gt;"",($BM$13+16)&lt;=$BO$13),$BN$13,"")</f>
        <v>1B-AA</v>
      </c>
      <c r="E87" s="9" t="str">
        <f>IF(AND($BN$13&lt;&gt;"",($BM$13+16)&lt;=$BO$13),TEXT(($BM$13+16),"00"),"")</f>
        <v>16</v>
      </c>
      <c r="F87" s="9" t="str">
        <f>IF(AND($BN$13&lt;&gt;"",($BM$13+16)&lt;=$BO$13),$BN$13&amp;"-"&amp;TEXT(($BM$13+16),"00"),"")</f>
        <v>1B-AA-16</v>
      </c>
      <c r="H87" s="6"/>
      <c r="I87" s="9" t="str">
        <f>IF(CB87="","",CB87&amp;"-"&amp;TEXT(COUNTIF($CA$72:$CA$95,CB87)+COUNTIF($CB$72:CB87,CB87),"000"))</f>
        <v>D-040</v>
      </c>
      <c r="J87" s="9" t="str">
        <f>IF(AND($BN$14&lt;&gt;"",($BM$14+16)&lt;=$BO$14),$BN$14,"")</f>
        <v>1B-AA</v>
      </c>
      <c r="K87" s="9" t="str">
        <f>IF(AND($BN$14&lt;&gt;"",($BM$14+16)&lt;=$BO$14),TEXT(($BM$14+16),"00"),"")</f>
        <v>40</v>
      </c>
      <c r="L87" s="9" t="str">
        <f>IF(AND($BN$14&lt;&gt;"",($BM$14+16)&lt;=$BO$14),$BN$14&amp;"-"&amp;TEXT(($BM$14+16),"00"),"")</f>
        <v>1B-AA-40</v>
      </c>
      <c r="N87" s="6"/>
      <c r="O87" s="9" t="str">
        <f>IF(CC87="","",CC87&amp;"-"&amp;TEXT(COUNTIF($CA$72:$CA$95,CC87)+COUNTIF($CB$72:$CB$95,CC87)+COUNTIF($CC$72:CC87,CC87),"000"))</f>
        <v>W-016</v>
      </c>
      <c r="P87" s="9" t="str">
        <f>IF(AND($BN$15&lt;&gt;"",($BM$15+16)&lt;=$BO$15),$BN$15,"")</f>
        <v>1B-AB</v>
      </c>
      <c r="Q87" s="9" t="str">
        <f>IF(AND($BN$15&lt;&gt;"",($BM$15+16)&lt;=$BO$15),TEXT(($BM$15+16),"00"),"")</f>
        <v>16</v>
      </c>
      <c r="R87" s="9" t="str">
        <f>IF(AND($BN$15&lt;&gt;"",($BM$15+16)&lt;=$BO$15),$BN$15&amp;"-"&amp;TEXT(($BM$15+16),"00"),"")</f>
        <v>1B-AB-16</v>
      </c>
      <c r="T87" s="6"/>
      <c r="U87" s="9" t="str">
        <f>IF(CD87="","",CD87&amp;"-"&amp;TEXT(COUNTIF($CA$72:$CA$95,CD87)+COUNTIF($CB$72:$CB$95,CD87)+COUNTIF($CC$72:$CC$95,CD87)+COUNTIF($CD$72:CD87,CD87),"000"))</f>
        <v>C-016</v>
      </c>
      <c r="V87" s="9" t="str">
        <f>IF(AND($BN$16&lt;&gt;"",($BM$16+16)&lt;=$BO$16),$BN$16,"")</f>
        <v>1B-AC</v>
      </c>
      <c r="W87" s="9" t="str">
        <f>IF(AND($BN$16&lt;&gt;"",($BM$16+16)&lt;=$BO$16),TEXT(($BM$16+16),"00"),"")</f>
        <v>16</v>
      </c>
      <c r="X87" s="9" t="str">
        <f>IF(AND($BN$16&lt;&gt;"",($BM$16+16)&lt;=$BO$16),$BN$16&amp;"-"&amp;TEXT(($BM$16+16),"00"),"")</f>
        <v>1B-AC-16</v>
      </c>
      <c r="BA87">
        <f>IF(OR(Catalogo!$C87="",Catalogo!$B87="Espacio libre",Catalogo!$B87="Espacio reservado"),0,COUNTIF($C$13:$C$42,Catalogo!$C87)+IF($E$7=Catalogo!$C87,N($K$7),0)+IF($E$8=Catalogo!$C87,N($N$8),0)+IF(Proyecto!$D$12=Catalogo!$C87,$AQ$4,0)+SUMIF($C$49:$C$58,Catalogo!$C87,$K$49:$K$58))</f>
        <v>0</v>
      </c>
      <c r="CA87" t="str" cm="1">
        <f t="array" ref="CA87">IF(NOT(AND($BN$13&lt;&gt;"",($BM$13+16)&lt;=$BO$13)),"",IF(B87&lt;&gt;"",IF(B87="-","",B87),IF(ISNUMBER(SEARCH(":",$BP$13)),IFERROR(_xlfn.LET(_xlpm.s,_xlfn.TEXTSPLIT($BP$13,","),_xlpm.k,FIND(":",_xlpm.s),INDEX(TRIM(LEFT(_xlpm.s,_xlpm.k-1)),_xlfn.XMATCH(($BM$13+16),_xlfn.SCAN(0,--MID(_xlpm.s,_xlpm.k+1,9),_xlfn.LAMBDA(_xlpm.a,_xlpm.v,_xlpm.a+_xlpm.v)),1))),""),IF(($BM$13+16)&lt;=$BQ$13,$BP$13,""))))</f>
        <v>D</v>
      </c>
      <c r="CB87" t="str" cm="1">
        <f t="array" ref="CB87">IF(NOT(AND($BN$14&lt;&gt;"",($BM$14+16)&lt;=$BO$14)),"",IF(H87&lt;&gt;"",IF(H87="-","",H87),IF(ISNUMBER(SEARCH(":",$BP$14)),IFERROR(_xlfn.LET(_xlpm.s,_xlfn.TEXTSPLIT($BP$14,","),_xlpm.k,FIND(":",_xlpm.s),INDEX(TRIM(LEFT(_xlpm.s,_xlpm.k-1)),_xlfn.XMATCH(($BM$14+16),_xlfn.SCAN(0,--MID(_xlpm.s,_xlpm.k+1,9),_xlfn.LAMBDA(_xlpm.a,_xlpm.v,_xlpm.a+_xlpm.v)),1))),""),IF(($BM$14+16)&lt;=$BQ$14,$BP$14,""))))</f>
        <v>D</v>
      </c>
      <c r="CC87" t="str" cm="1">
        <f t="array" ref="CC87">IF(NOT(AND($BN$15&lt;&gt;"",($BM$15+16)&lt;=$BO$15)),"",IF(N87&lt;&gt;"",IF(N87="-","",N87),IF(ISNUMBER(SEARCH(":",$BP$15)),IFERROR(_xlfn.LET(_xlpm.s,_xlfn.TEXTSPLIT($BP$15,","),_xlpm.k,FIND(":",_xlpm.s),INDEX(TRIM(LEFT(_xlpm.s,_xlpm.k-1)),_xlfn.XMATCH(($BM$15+16),_xlfn.SCAN(0,--MID(_xlpm.s,_xlpm.k+1,9),_xlfn.LAMBDA(_xlpm.a,_xlpm.v,_xlpm.a+_xlpm.v)),1))),""),IF(($BM$15+16)&lt;=$BQ$15,$BP$15,""))))</f>
        <v>W</v>
      </c>
      <c r="CD87" t="str" cm="1">
        <f t="array" ref="CD87">IF(NOT(AND($BN$16&lt;&gt;"",($BM$16+16)&lt;=$BO$16)),"",IF(T87&lt;&gt;"",IF(T87="-","",T87),IF(ISNUMBER(SEARCH(":",$BP$16)),IFERROR(_xlfn.LET(_xlpm.s,_xlfn.TEXTSPLIT($BP$16,","),_xlpm.k,FIND(":",_xlpm.s),INDEX(TRIM(LEFT(_xlpm.s,_xlpm.k-1)),_xlfn.XMATCH(($BM$16+16),_xlfn.SCAN(0,--MID(_xlpm.s,_xlpm.k+1,9),_xlfn.LAMBDA(_xlpm.a,_xlpm.v,_xlpm.a+_xlpm.v)),1))),""),IF(($BM$16+16)&lt;=$BQ$16,$BP$16,""))))</f>
        <v>C</v>
      </c>
    </row>
    <row r="88" spans="2:82" hidden="1" x14ac:dyDescent="0.45">
      <c r="B88" s="6"/>
      <c r="C88" s="9" t="str">
        <f>IF(CA88="","",CA88&amp;"-"&amp;TEXT(0+COUNTIF($CA$72:CA88,CA88),"000"))</f>
        <v>D-017</v>
      </c>
      <c r="D88" s="9" t="str">
        <f>IF(AND($BN$13&lt;&gt;"",($BM$13+17)&lt;=$BO$13),$BN$13,"")</f>
        <v>1B-AA</v>
      </c>
      <c r="E88" s="9" t="str">
        <f>IF(AND($BN$13&lt;&gt;"",($BM$13+17)&lt;=$BO$13),TEXT(($BM$13+17),"00"),"")</f>
        <v>17</v>
      </c>
      <c r="F88" s="9" t="str">
        <f>IF(AND($BN$13&lt;&gt;"",($BM$13+17)&lt;=$BO$13),$BN$13&amp;"-"&amp;TEXT(($BM$13+17),"00"),"")</f>
        <v>1B-AA-17</v>
      </c>
      <c r="H88" s="6"/>
      <c r="I88" s="9" t="str">
        <f>IF(CB88="","",CB88&amp;"-"&amp;TEXT(COUNTIF($CA$72:$CA$95,CB88)+COUNTIF($CB$72:CB88,CB88),"000"))</f>
        <v>D-041</v>
      </c>
      <c r="J88" s="9" t="str">
        <f>IF(AND($BN$14&lt;&gt;"",($BM$14+17)&lt;=$BO$14),$BN$14,"")</f>
        <v>1B-AA</v>
      </c>
      <c r="K88" s="9" t="str">
        <f>IF(AND($BN$14&lt;&gt;"",($BM$14+17)&lt;=$BO$14),TEXT(($BM$14+17),"00"),"")</f>
        <v>41</v>
      </c>
      <c r="L88" s="9" t="str">
        <f>IF(AND($BN$14&lt;&gt;"",($BM$14+17)&lt;=$BO$14),$BN$14&amp;"-"&amp;TEXT(($BM$14+17),"00"),"")</f>
        <v>1B-AA-41</v>
      </c>
      <c r="N88" s="6"/>
      <c r="O88" s="9" t="str">
        <f>IF(CC88="","",CC88&amp;"-"&amp;TEXT(COUNTIF($CA$72:$CA$95,CC88)+COUNTIF($CB$72:$CB$95,CC88)+COUNTIF($CC$72:CC88,CC88),"000"))</f>
        <v>W-017</v>
      </c>
      <c r="P88" s="9" t="str">
        <f>IF(AND($BN$15&lt;&gt;"",($BM$15+17)&lt;=$BO$15),$BN$15,"")</f>
        <v>1B-AB</v>
      </c>
      <c r="Q88" s="9" t="str">
        <f>IF(AND($BN$15&lt;&gt;"",($BM$15+17)&lt;=$BO$15),TEXT(($BM$15+17),"00"),"")</f>
        <v>17</v>
      </c>
      <c r="R88" s="9" t="str">
        <f>IF(AND($BN$15&lt;&gt;"",($BM$15+17)&lt;=$BO$15),$BN$15&amp;"-"&amp;TEXT(($BM$15+17),"00"),"")</f>
        <v>1B-AB-17</v>
      </c>
      <c r="T88" s="6"/>
      <c r="U88" s="9" t="str">
        <f>IF(CD88="","",CD88&amp;"-"&amp;TEXT(COUNTIF($CA$72:$CA$95,CD88)+COUNTIF($CB$72:$CB$95,CD88)+COUNTIF($CC$72:$CC$95,CD88)+COUNTIF($CD$72:CD88,CD88),"000"))</f>
        <v>C-017</v>
      </c>
      <c r="V88" s="9" t="str">
        <f>IF(AND($BN$16&lt;&gt;"",($BM$16+17)&lt;=$BO$16),$BN$16,"")</f>
        <v>1B-AC</v>
      </c>
      <c r="W88" s="9" t="str">
        <f>IF(AND($BN$16&lt;&gt;"",($BM$16+17)&lt;=$BO$16),TEXT(($BM$16+17),"00"),"")</f>
        <v>17</v>
      </c>
      <c r="X88" s="9" t="str">
        <f>IF(AND($BN$16&lt;&gt;"",($BM$16+17)&lt;=$BO$16),$BN$16&amp;"-"&amp;TEXT(($BM$16+17),"00"),"")</f>
        <v>1B-AC-17</v>
      </c>
      <c r="BA88">
        <f>IF(OR(Catalogo!$C88="",Catalogo!$B88="Espacio libre",Catalogo!$B88="Espacio reservado"),0,COUNTIF($C$13:$C$42,Catalogo!$C88)+IF($E$7=Catalogo!$C88,N($K$7),0)+IF($E$8=Catalogo!$C88,N($N$8),0)+IF(Proyecto!$D$12=Catalogo!$C88,$AQ$4,0)+SUMIF($C$49:$C$58,Catalogo!$C88,$K$49:$K$58))</f>
        <v>0</v>
      </c>
      <c r="CA88" t="str" cm="1">
        <f t="array" ref="CA88">IF(NOT(AND($BN$13&lt;&gt;"",($BM$13+17)&lt;=$BO$13)),"",IF(B88&lt;&gt;"",IF(B88="-","",B88),IF(ISNUMBER(SEARCH(":",$BP$13)),IFERROR(_xlfn.LET(_xlpm.s,_xlfn.TEXTSPLIT($BP$13,","),_xlpm.k,FIND(":",_xlpm.s),INDEX(TRIM(LEFT(_xlpm.s,_xlpm.k-1)),_xlfn.XMATCH(($BM$13+17),_xlfn.SCAN(0,--MID(_xlpm.s,_xlpm.k+1,9),_xlfn.LAMBDA(_xlpm.a,_xlpm.v,_xlpm.a+_xlpm.v)),1))),""),IF(($BM$13+17)&lt;=$BQ$13,$BP$13,""))))</f>
        <v>D</v>
      </c>
      <c r="CB88" t="str" cm="1">
        <f t="array" ref="CB88">IF(NOT(AND($BN$14&lt;&gt;"",($BM$14+17)&lt;=$BO$14)),"",IF(H88&lt;&gt;"",IF(H88="-","",H88),IF(ISNUMBER(SEARCH(":",$BP$14)),IFERROR(_xlfn.LET(_xlpm.s,_xlfn.TEXTSPLIT($BP$14,","),_xlpm.k,FIND(":",_xlpm.s),INDEX(TRIM(LEFT(_xlpm.s,_xlpm.k-1)),_xlfn.XMATCH(($BM$14+17),_xlfn.SCAN(0,--MID(_xlpm.s,_xlpm.k+1,9),_xlfn.LAMBDA(_xlpm.a,_xlpm.v,_xlpm.a+_xlpm.v)),1))),""),IF(($BM$14+17)&lt;=$BQ$14,$BP$14,""))))</f>
        <v>D</v>
      </c>
      <c r="CC88" t="str" cm="1">
        <f t="array" ref="CC88">IF(NOT(AND($BN$15&lt;&gt;"",($BM$15+17)&lt;=$BO$15)),"",IF(N88&lt;&gt;"",IF(N88="-","",N88),IF(ISNUMBER(SEARCH(":",$BP$15)),IFERROR(_xlfn.LET(_xlpm.s,_xlfn.TEXTSPLIT($BP$15,","),_xlpm.k,FIND(":",_xlpm.s),INDEX(TRIM(LEFT(_xlpm.s,_xlpm.k-1)),_xlfn.XMATCH(($BM$15+17),_xlfn.SCAN(0,--MID(_xlpm.s,_xlpm.k+1,9),_xlfn.LAMBDA(_xlpm.a,_xlpm.v,_xlpm.a+_xlpm.v)),1))),""),IF(($BM$15+17)&lt;=$BQ$15,$BP$15,""))))</f>
        <v>W</v>
      </c>
      <c r="CD88" t="str" cm="1">
        <f t="array" ref="CD88">IF(NOT(AND($BN$16&lt;&gt;"",($BM$16+17)&lt;=$BO$16)),"",IF(T88&lt;&gt;"",IF(T88="-","",T88),IF(ISNUMBER(SEARCH(":",$BP$16)),IFERROR(_xlfn.LET(_xlpm.s,_xlfn.TEXTSPLIT($BP$16,","),_xlpm.k,FIND(":",_xlpm.s),INDEX(TRIM(LEFT(_xlpm.s,_xlpm.k-1)),_xlfn.XMATCH(($BM$16+17),_xlfn.SCAN(0,--MID(_xlpm.s,_xlpm.k+1,9),_xlfn.LAMBDA(_xlpm.a,_xlpm.v,_xlpm.a+_xlpm.v)),1))),""),IF(($BM$16+17)&lt;=$BQ$16,$BP$16,""))))</f>
        <v>C</v>
      </c>
    </row>
    <row r="89" spans="2:82" hidden="1" x14ac:dyDescent="0.45">
      <c r="B89" s="6"/>
      <c r="C89" s="9" t="str">
        <f>IF(CA89="","",CA89&amp;"-"&amp;TEXT(0+COUNTIF($CA$72:CA89,CA89),"000"))</f>
        <v>D-018</v>
      </c>
      <c r="D89" s="9" t="str">
        <f>IF(AND($BN$13&lt;&gt;"",($BM$13+18)&lt;=$BO$13),$BN$13,"")</f>
        <v>1B-AA</v>
      </c>
      <c r="E89" s="9" t="str">
        <f>IF(AND($BN$13&lt;&gt;"",($BM$13+18)&lt;=$BO$13),TEXT(($BM$13+18),"00"),"")</f>
        <v>18</v>
      </c>
      <c r="F89" s="9" t="str">
        <f>IF(AND($BN$13&lt;&gt;"",($BM$13+18)&lt;=$BO$13),$BN$13&amp;"-"&amp;TEXT(($BM$13+18),"00"),"")</f>
        <v>1B-AA-18</v>
      </c>
      <c r="H89" s="6"/>
      <c r="I89" s="9" t="str">
        <f>IF(CB89="","",CB89&amp;"-"&amp;TEXT(COUNTIF($CA$72:$CA$95,CB89)+COUNTIF($CB$72:CB89,CB89),"000"))</f>
        <v>D-042</v>
      </c>
      <c r="J89" s="9" t="str">
        <f>IF(AND($BN$14&lt;&gt;"",($BM$14+18)&lt;=$BO$14),$BN$14,"")</f>
        <v>1B-AA</v>
      </c>
      <c r="K89" s="9" t="str">
        <f>IF(AND($BN$14&lt;&gt;"",($BM$14+18)&lt;=$BO$14),TEXT(($BM$14+18),"00"),"")</f>
        <v>42</v>
      </c>
      <c r="L89" s="9" t="str">
        <f>IF(AND($BN$14&lt;&gt;"",($BM$14+18)&lt;=$BO$14),$BN$14&amp;"-"&amp;TEXT(($BM$14+18),"00"),"")</f>
        <v>1B-AA-42</v>
      </c>
      <c r="N89" s="6"/>
      <c r="O89" s="9" t="str">
        <f>IF(CC89="","",CC89&amp;"-"&amp;TEXT(COUNTIF($CA$72:$CA$95,CC89)+COUNTIF($CB$72:$CB$95,CC89)+COUNTIF($CC$72:CC89,CC89),"000"))</f>
        <v>W-018</v>
      </c>
      <c r="P89" s="9" t="str">
        <f>IF(AND($BN$15&lt;&gt;"",($BM$15+18)&lt;=$BO$15),$BN$15,"")</f>
        <v>1B-AB</v>
      </c>
      <c r="Q89" s="9" t="str">
        <f>IF(AND($BN$15&lt;&gt;"",($BM$15+18)&lt;=$BO$15),TEXT(($BM$15+18),"00"),"")</f>
        <v>18</v>
      </c>
      <c r="R89" s="9" t="str">
        <f>IF(AND($BN$15&lt;&gt;"",($BM$15+18)&lt;=$BO$15),$BN$15&amp;"-"&amp;TEXT(($BM$15+18),"00"),"")</f>
        <v>1B-AB-18</v>
      </c>
      <c r="T89" s="6"/>
      <c r="U89" s="9" t="str">
        <f>IF(CD89="","",CD89&amp;"-"&amp;TEXT(COUNTIF($CA$72:$CA$95,CD89)+COUNTIF($CB$72:$CB$95,CD89)+COUNTIF($CC$72:$CC$95,CD89)+COUNTIF($CD$72:CD89,CD89),"000"))</f>
        <v>C-018</v>
      </c>
      <c r="V89" s="9" t="str">
        <f>IF(AND($BN$16&lt;&gt;"",($BM$16+18)&lt;=$BO$16),$BN$16,"")</f>
        <v>1B-AC</v>
      </c>
      <c r="W89" s="9" t="str">
        <f>IF(AND($BN$16&lt;&gt;"",($BM$16+18)&lt;=$BO$16),TEXT(($BM$16+18),"00"),"")</f>
        <v>18</v>
      </c>
      <c r="X89" s="9" t="str">
        <f>IF(AND($BN$16&lt;&gt;"",($BM$16+18)&lt;=$BO$16),$BN$16&amp;"-"&amp;TEXT(($BM$16+18),"00"),"")</f>
        <v>1B-AC-18</v>
      </c>
      <c r="BA89">
        <f>IF(OR(Catalogo!$C89="",Catalogo!$B89="Espacio libre",Catalogo!$B89="Espacio reservado"),0,COUNTIF($C$13:$C$42,Catalogo!$C89)+IF($E$7=Catalogo!$C89,N($K$7),0)+IF($E$8=Catalogo!$C89,N($N$8),0)+IF(Proyecto!$D$12=Catalogo!$C89,$AQ$4,0)+SUMIF($C$49:$C$58,Catalogo!$C89,$K$49:$K$58))</f>
        <v>0</v>
      </c>
      <c r="CA89" t="str" cm="1">
        <f t="array" ref="CA89">IF(NOT(AND($BN$13&lt;&gt;"",($BM$13+18)&lt;=$BO$13)),"",IF(B89&lt;&gt;"",IF(B89="-","",B89),IF(ISNUMBER(SEARCH(":",$BP$13)),IFERROR(_xlfn.LET(_xlpm.s,_xlfn.TEXTSPLIT($BP$13,","),_xlpm.k,FIND(":",_xlpm.s),INDEX(TRIM(LEFT(_xlpm.s,_xlpm.k-1)),_xlfn.XMATCH(($BM$13+18),_xlfn.SCAN(0,--MID(_xlpm.s,_xlpm.k+1,9),_xlfn.LAMBDA(_xlpm.a,_xlpm.v,_xlpm.a+_xlpm.v)),1))),""),IF(($BM$13+18)&lt;=$BQ$13,$BP$13,""))))</f>
        <v>D</v>
      </c>
      <c r="CB89" t="str" cm="1">
        <f t="array" ref="CB89">IF(NOT(AND($BN$14&lt;&gt;"",($BM$14+18)&lt;=$BO$14)),"",IF(H89&lt;&gt;"",IF(H89="-","",H89),IF(ISNUMBER(SEARCH(":",$BP$14)),IFERROR(_xlfn.LET(_xlpm.s,_xlfn.TEXTSPLIT($BP$14,","),_xlpm.k,FIND(":",_xlpm.s),INDEX(TRIM(LEFT(_xlpm.s,_xlpm.k-1)),_xlfn.XMATCH(($BM$14+18),_xlfn.SCAN(0,--MID(_xlpm.s,_xlpm.k+1,9),_xlfn.LAMBDA(_xlpm.a,_xlpm.v,_xlpm.a+_xlpm.v)),1))),""),IF(($BM$14+18)&lt;=$BQ$14,$BP$14,""))))</f>
        <v>D</v>
      </c>
      <c r="CC89" t="str" cm="1">
        <f t="array" ref="CC89">IF(NOT(AND($BN$15&lt;&gt;"",($BM$15+18)&lt;=$BO$15)),"",IF(N89&lt;&gt;"",IF(N89="-","",N89),IF(ISNUMBER(SEARCH(":",$BP$15)),IFERROR(_xlfn.LET(_xlpm.s,_xlfn.TEXTSPLIT($BP$15,","),_xlpm.k,FIND(":",_xlpm.s),INDEX(TRIM(LEFT(_xlpm.s,_xlpm.k-1)),_xlfn.XMATCH(($BM$15+18),_xlfn.SCAN(0,--MID(_xlpm.s,_xlpm.k+1,9),_xlfn.LAMBDA(_xlpm.a,_xlpm.v,_xlpm.a+_xlpm.v)),1))),""),IF(($BM$15+18)&lt;=$BQ$15,$BP$15,""))))</f>
        <v>W</v>
      </c>
      <c r="CD89" t="str" cm="1">
        <f t="array" ref="CD89">IF(NOT(AND($BN$16&lt;&gt;"",($BM$16+18)&lt;=$BO$16)),"",IF(T89&lt;&gt;"",IF(T89="-","",T89),IF(ISNUMBER(SEARCH(":",$BP$16)),IFERROR(_xlfn.LET(_xlpm.s,_xlfn.TEXTSPLIT($BP$16,","),_xlpm.k,FIND(":",_xlpm.s),INDEX(TRIM(LEFT(_xlpm.s,_xlpm.k-1)),_xlfn.XMATCH(($BM$16+18),_xlfn.SCAN(0,--MID(_xlpm.s,_xlpm.k+1,9),_xlfn.LAMBDA(_xlpm.a,_xlpm.v,_xlpm.a+_xlpm.v)),1))),""),IF(($BM$16+18)&lt;=$BQ$16,$BP$16,""))))</f>
        <v>C</v>
      </c>
    </row>
    <row r="90" spans="2:82" hidden="1" x14ac:dyDescent="0.45">
      <c r="B90" s="6"/>
      <c r="C90" s="9" t="str">
        <f>IF(CA90="","",CA90&amp;"-"&amp;TEXT(0+COUNTIF($CA$72:CA90,CA90),"000"))</f>
        <v>D-019</v>
      </c>
      <c r="D90" s="9" t="str">
        <f>IF(AND($BN$13&lt;&gt;"",($BM$13+19)&lt;=$BO$13),$BN$13,"")</f>
        <v>1B-AA</v>
      </c>
      <c r="E90" s="9" t="str">
        <f>IF(AND($BN$13&lt;&gt;"",($BM$13+19)&lt;=$BO$13),TEXT(($BM$13+19),"00"),"")</f>
        <v>19</v>
      </c>
      <c r="F90" s="9" t="str">
        <f>IF(AND($BN$13&lt;&gt;"",($BM$13+19)&lt;=$BO$13),$BN$13&amp;"-"&amp;TEXT(($BM$13+19),"00"),"")</f>
        <v>1B-AA-19</v>
      </c>
      <c r="H90" s="6"/>
      <c r="I90" s="9" t="str">
        <f>IF(CB90="","",CB90&amp;"-"&amp;TEXT(COUNTIF($CA$72:$CA$95,CB90)+COUNTIF($CB$72:CB90,CB90),"000"))</f>
        <v>D-043</v>
      </c>
      <c r="J90" s="9" t="str">
        <f>IF(AND($BN$14&lt;&gt;"",($BM$14+19)&lt;=$BO$14),$BN$14,"")</f>
        <v>1B-AA</v>
      </c>
      <c r="K90" s="9" t="str">
        <f>IF(AND($BN$14&lt;&gt;"",($BM$14+19)&lt;=$BO$14),TEXT(($BM$14+19),"00"),"")</f>
        <v>43</v>
      </c>
      <c r="L90" s="9" t="str">
        <f>IF(AND($BN$14&lt;&gt;"",($BM$14+19)&lt;=$BO$14),$BN$14&amp;"-"&amp;TEXT(($BM$14+19),"00"),"")</f>
        <v>1B-AA-43</v>
      </c>
      <c r="N90" s="6"/>
      <c r="O90" s="9" t="str">
        <f>IF(CC90="","",CC90&amp;"-"&amp;TEXT(COUNTIF($CA$72:$CA$95,CC90)+COUNTIF($CB$72:$CB$95,CC90)+COUNTIF($CC$72:CC90,CC90),"000"))</f>
        <v>W-019</v>
      </c>
      <c r="P90" s="9" t="str">
        <f>IF(AND($BN$15&lt;&gt;"",($BM$15+19)&lt;=$BO$15),$BN$15,"")</f>
        <v>1B-AB</v>
      </c>
      <c r="Q90" s="9" t="str">
        <f>IF(AND($BN$15&lt;&gt;"",($BM$15+19)&lt;=$BO$15),TEXT(($BM$15+19),"00"),"")</f>
        <v>19</v>
      </c>
      <c r="R90" s="9" t="str">
        <f>IF(AND($BN$15&lt;&gt;"",($BM$15+19)&lt;=$BO$15),$BN$15&amp;"-"&amp;TEXT(($BM$15+19),"00"),"")</f>
        <v>1B-AB-19</v>
      </c>
      <c r="T90" s="6"/>
      <c r="U90" s="9" t="str">
        <f>IF(CD90="","",CD90&amp;"-"&amp;TEXT(COUNTIF($CA$72:$CA$95,CD90)+COUNTIF($CB$72:$CB$95,CD90)+COUNTIF($CC$72:$CC$95,CD90)+COUNTIF($CD$72:CD90,CD90),"000"))</f>
        <v>C-019</v>
      </c>
      <c r="V90" s="9" t="str">
        <f>IF(AND($BN$16&lt;&gt;"",($BM$16+19)&lt;=$BO$16),$BN$16,"")</f>
        <v>1B-AC</v>
      </c>
      <c r="W90" s="9" t="str">
        <f>IF(AND($BN$16&lt;&gt;"",($BM$16+19)&lt;=$BO$16),TEXT(($BM$16+19),"00"),"")</f>
        <v>19</v>
      </c>
      <c r="X90" s="9" t="str">
        <f>IF(AND($BN$16&lt;&gt;"",($BM$16+19)&lt;=$BO$16),$BN$16&amp;"-"&amp;TEXT(($BM$16+19),"00"),"")</f>
        <v>1B-AC-19</v>
      </c>
      <c r="BA90">
        <f>IF(OR(Catalogo!$C90="",Catalogo!$B90="Espacio libre",Catalogo!$B90="Espacio reservado"),0,COUNTIF($C$13:$C$42,Catalogo!$C90)+IF($E$7=Catalogo!$C90,N($K$7),0)+IF($E$8=Catalogo!$C90,N($N$8),0)+IF(Proyecto!$D$12=Catalogo!$C90,$AQ$4,0)+SUMIF($C$49:$C$58,Catalogo!$C90,$K$49:$K$58))</f>
        <v>0</v>
      </c>
      <c r="CA90" t="str" cm="1">
        <f t="array" ref="CA90">IF(NOT(AND($BN$13&lt;&gt;"",($BM$13+19)&lt;=$BO$13)),"",IF(B90&lt;&gt;"",IF(B90="-","",B90),IF(ISNUMBER(SEARCH(":",$BP$13)),IFERROR(_xlfn.LET(_xlpm.s,_xlfn.TEXTSPLIT($BP$13,","),_xlpm.k,FIND(":",_xlpm.s),INDEX(TRIM(LEFT(_xlpm.s,_xlpm.k-1)),_xlfn.XMATCH(($BM$13+19),_xlfn.SCAN(0,--MID(_xlpm.s,_xlpm.k+1,9),_xlfn.LAMBDA(_xlpm.a,_xlpm.v,_xlpm.a+_xlpm.v)),1))),""),IF(($BM$13+19)&lt;=$BQ$13,$BP$13,""))))</f>
        <v>D</v>
      </c>
      <c r="CB90" t="str" cm="1">
        <f t="array" ref="CB90">IF(NOT(AND($BN$14&lt;&gt;"",($BM$14+19)&lt;=$BO$14)),"",IF(H90&lt;&gt;"",IF(H90="-","",H90),IF(ISNUMBER(SEARCH(":",$BP$14)),IFERROR(_xlfn.LET(_xlpm.s,_xlfn.TEXTSPLIT($BP$14,","),_xlpm.k,FIND(":",_xlpm.s),INDEX(TRIM(LEFT(_xlpm.s,_xlpm.k-1)),_xlfn.XMATCH(($BM$14+19),_xlfn.SCAN(0,--MID(_xlpm.s,_xlpm.k+1,9),_xlfn.LAMBDA(_xlpm.a,_xlpm.v,_xlpm.a+_xlpm.v)),1))),""),IF(($BM$14+19)&lt;=$BQ$14,$BP$14,""))))</f>
        <v>D</v>
      </c>
      <c r="CC90" t="str" cm="1">
        <f t="array" ref="CC90">IF(NOT(AND($BN$15&lt;&gt;"",($BM$15+19)&lt;=$BO$15)),"",IF(N90&lt;&gt;"",IF(N90="-","",N90),IF(ISNUMBER(SEARCH(":",$BP$15)),IFERROR(_xlfn.LET(_xlpm.s,_xlfn.TEXTSPLIT($BP$15,","),_xlpm.k,FIND(":",_xlpm.s),INDEX(TRIM(LEFT(_xlpm.s,_xlpm.k-1)),_xlfn.XMATCH(($BM$15+19),_xlfn.SCAN(0,--MID(_xlpm.s,_xlpm.k+1,9),_xlfn.LAMBDA(_xlpm.a,_xlpm.v,_xlpm.a+_xlpm.v)),1))),""),IF(($BM$15+19)&lt;=$BQ$15,$BP$15,""))))</f>
        <v>W</v>
      </c>
      <c r="CD90" t="str" cm="1">
        <f t="array" ref="CD90">IF(NOT(AND($BN$16&lt;&gt;"",($BM$16+19)&lt;=$BO$16)),"",IF(T90&lt;&gt;"",IF(T90="-","",T90),IF(ISNUMBER(SEARCH(":",$BP$16)),IFERROR(_xlfn.LET(_xlpm.s,_xlfn.TEXTSPLIT($BP$16,","),_xlpm.k,FIND(":",_xlpm.s),INDEX(TRIM(LEFT(_xlpm.s,_xlpm.k-1)),_xlfn.XMATCH(($BM$16+19),_xlfn.SCAN(0,--MID(_xlpm.s,_xlpm.k+1,9),_xlfn.LAMBDA(_xlpm.a,_xlpm.v,_xlpm.a+_xlpm.v)),1))),""),IF(($BM$16+19)&lt;=$BQ$16,$BP$16,""))))</f>
        <v>C</v>
      </c>
    </row>
    <row r="91" spans="2:82" hidden="1" x14ac:dyDescent="0.45">
      <c r="B91" s="6"/>
      <c r="C91" s="9" t="str">
        <f>IF(CA91="","",CA91&amp;"-"&amp;TEXT(0+COUNTIF($CA$72:CA91,CA91),"000"))</f>
        <v>D-020</v>
      </c>
      <c r="D91" s="9" t="str">
        <f>IF(AND($BN$13&lt;&gt;"",($BM$13+20)&lt;=$BO$13),$BN$13,"")</f>
        <v>1B-AA</v>
      </c>
      <c r="E91" s="9" t="str">
        <f>IF(AND($BN$13&lt;&gt;"",($BM$13+20)&lt;=$BO$13),TEXT(($BM$13+20),"00"),"")</f>
        <v>20</v>
      </c>
      <c r="F91" s="9" t="str">
        <f>IF(AND($BN$13&lt;&gt;"",($BM$13+20)&lt;=$BO$13),$BN$13&amp;"-"&amp;TEXT(($BM$13+20),"00"),"")</f>
        <v>1B-AA-20</v>
      </c>
      <c r="H91" s="6"/>
      <c r="I91" s="9" t="str">
        <f>IF(CB91="","",CB91&amp;"-"&amp;TEXT(COUNTIF($CA$72:$CA$95,CB91)+COUNTIF($CB$72:CB91,CB91),"000"))</f>
        <v>D-044</v>
      </c>
      <c r="J91" s="9" t="str">
        <f>IF(AND($BN$14&lt;&gt;"",($BM$14+20)&lt;=$BO$14),$BN$14,"")</f>
        <v>1B-AA</v>
      </c>
      <c r="K91" s="9" t="str">
        <f>IF(AND($BN$14&lt;&gt;"",($BM$14+20)&lt;=$BO$14),TEXT(($BM$14+20),"00"),"")</f>
        <v>44</v>
      </c>
      <c r="L91" s="9" t="str">
        <f>IF(AND($BN$14&lt;&gt;"",($BM$14+20)&lt;=$BO$14),$BN$14&amp;"-"&amp;TEXT(($BM$14+20),"00"),"")</f>
        <v>1B-AA-44</v>
      </c>
      <c r="N91" s="6"/>
      <c r="O91" s="9" t="str">
        <f>IF(CC91="","",CC91&amp;"-"&amp;TEXT(COUNTIF($CA$72:$CA$95,CC91)+COUNTIF($CB$72:$CB$95,CC91)+COUNTIF($CC$72:CC91,CC91),"000"))</f>
        <v>W-020</v>
      </c>
      <c r="P91" s="9" t="str">
        <f>IF(AND($BN$15&lt;&gt;"",($BM$15+20)&lt;=$BO$15),$BN$15,"")</f>
        <v>1B-AB</v>
      </c>
      <c r="Q91" s="9" t="str">
        <f>IF(AND($BN$15&lt;&gt;"",($BM$15+20)&lt;=$BO$15),TEXT(($BM$15+20),"00"),"")</f>
        <v>20</v>
      </c>
      <c r="R91" s="9" t="str">
        <f>IF(AND($BN$15&lt;&gt;"",($BM$15+20)&lt;=$BO$15),$BN$15&amp;"-"&amp;TEXT(($BM$15+20),"00"),"")</f>
        <v>1B-AB-20</v>
      </c>
      <c r="T91" s="6"/>
      <c r="U91" s="9" t="str">
        <f>IF(CD91="","",CD91&amp;"-"&amp;TEXT(COUNTIF($CA$72:$CA$95,CD91)+COUNTIF($CB$72:$CB$95,CD91)+COUNTIF($CC$72:$CC$95,CD91)+COUNTIF($CD$72:CD91,CD91),"000"))</f>
        <v>C-020</v>
      </c>
      <c r="V91" s="9" t="str">
        <f>IF(AND($BN$16&lt;&gt;"",($BM$16+20)&lt;=$BO$16),$BN$16,"")</f>
        <v>1B-AC</v>
      </c>
      <c r="W91" s="9" t="str">
        <f>IF(AND($BN$16&lt;&gt;"",($BM$16+20)&lt;=$BO$16),TEXT(($BM$16+20),"00"),"")</f>
        <v>20</v>
      </c>
      <c r="X91" s="9" t="str">
        <f>IF(AND($BN$16&lt;&gt;"",($BM$16+20)&lt;=$BO$16),$BN$16&amp;"-"&amp;TEXT(($BM$16+20),"00"),"")</f>
        <v>1B-AC-20</v>
      </c>
      <c r="BA91">
        <f>IF(OR(Catalogo!$C91="",Catalogo!$B91="Espacio libre",Catalogo!$B91="Espacio reservado"),0,COUNTIF($C$13:$C$42,Catalogo!$C91)+IF($E$7=Catalogo!$C91,N($K$7),0)+IF($E$8=Catalogo!$C91,N($N$8),0)+IF(Proyecto!$D$12=Catalogo!$C91,$AQ$4,0)+SUMIF($C$49:$C$58,Catalogo!$C91,$K$49:$K$58))</f>
        <v>1</v>
      </c>
      <c r="CA91" t="str" cm="1">
        <f t="array" ref="CA91">IF(NOT(AND($BN$13&lt;&gt;"",($BM$13+20)&lt;=$BO$13)),"",IF(B91&lt;&gt;"",IF(B91="-","",B91),IF(ISNUMBER(SEARCH(":",$BP$13)),IFERROR(_xlfn.LET(_xlpm.s,_xlfn.TEXTSPLIT($BP$13,","),_xlpm.k,FIND(":",_xlpm.s),INDEX(TRIM(LEFT(_xlpm.s,_xlpm.k-1)),_xlfn.XMATCH(($BM$13+20),_xlfn.SCAN(0,--MID(_xlpm.s,_xlpm.k+1,9),_xlfn.LAMBDA(_xlpm.a,_xlpm.v,_xlpm.a+_xlpm.v)),1))),""),IF(($BM$13+20)&lt;=$BQ$13,$BP$13,""))))</f>
        <v>D</v>
      </c>
      <c r="CB91" t="str" cm="1">
        <f t="array" ref="CB91">IF(NOT(AND($BN$14&lt;&gt;"",($BM$14+20)&lt;=$BO$14)),"",IF(H91&lt;&gt;"",IF(H91="-","",H91),IF(ISNUMBER(SEARCH(":",$BP$14)),IFERROR(_xlfn.LET(_xlpm.s,_xlfn.TEXTSPLIT($BP$14,","),_xlpm.k,FIND(":",_xlpm.s),INDEX(TRIM(LEFT(_xlpm.s,_xlpm.k-1)),_xlfn.XMATCH(($BM$14+20),_xlfn.SCAN(0,--MID(_xlpm.s,_xlpm.k+1,9),_xlfn.LAMBDA(_xlpm.a,_xlpm.v,_xlpm.a+_xlpm.v)),1))),""),IF(($BM$14+20)&lt;=$BQ$14,$BP$14,""))))</f>
        <v>D</v>
      </c>
      <c r="CC91" t="str" cm="1">
        <f t="array" ref="CC91">IF(NOT(AND($BN$15&lt;&gt;"",($BM$15+20)&lt;=$BO$15)),"",IF(N91&lt;&gt;"",IF(N91="-","",N91),IF(ISNUMBER(SEARCH(":",$BP$15)),IFERROR(_xlfn.LET(_xlpm.s,_xlfn.TEXTSPLIT($BP$15,","),_xlpm.k,FIND(":",_xlpm.s),INDEX(TRIM(LEFT(_xlpm.s,_xlpm.k-1)),_xlfn.XMATCH(($BM$15+20),_xlfn.SCAN(0,--MID(_xlpm.s,_xlpm.k+1,9),_xlfn.LAMBDA(_xlpm.a,_xlpm.v,_xlpm.a+_xlpm.v)),1))),""),IF(($BM$15+20)&lt;=$BQ$15,$BP$15,""))))</f>
        <v>W</v>
      </c>
      <c r="CD91" t="str" cm="1">
        <f t="array" ref="CD91">IF(NOT(AND($BN$16&lt;&gt;"",($BM$16+20)&lt;=$BO$16)),"",IF(T91&lt;&gt;"",IF(T91="-","",T91),IF(ISNUMBER(SEARCH(":",$BP$16)),IFERROR(_xlfn.LET(_xlpm.s,_xlfn.TEXTSPLIT($BP$16,","),_xlpm.k,FIND(":",_xlpm.s),INDEX(TRIM(LEFT(_xlpm.s,_xlpm.k-1)),_xlfn.XMATCH(($BM$16+20),_xlfn.SCAN(0,--MID(_xlpm.s,_xlpm.k+1,9),_xlfn.LAMBDA(_xlpm.a,_xlpm.v,_xlpm.a+_xlpm.v)),1))),""),IF(($BM$16+20)&lt;=$BQ$16,$BP$16,""))))</f>
        <v>C</v>
      </c>
    </row>
    <row r="92" spans="2:82" hidden="1" x14ac:dyDescent="0.45">
      <c r="B92" s="6"/>
      <c r="C92" s="9" t="str">
        <f>IF(CA92="","",CA92&amp;"-"&amp;TEXT(0+COUNTIF($CA$72:CA92,CA92),"000"))</f>
        <v>D-021</v>
      </c>
      <c r="D92" s="9" t="str">
        <f>IF(AND($BN$13&lt;&gt;"",($BM$13+21)&lt;=$BO$13),$BN$13,"")</f>
        <v>1B-AA</v>
      </c>
      <c r="E92" s="9" t="str">
        <f>IF(AND($BN$13&lt;&gt;"",($BM$13+21)&lt;=$BO$13),TEXT(($BM$13+21),"00"),"")</f>
        <v>21</v>
      </c>
      <c r="F92" s="9" t="str">
        <f>IF(AND($BN$13&lt;&gt;"",($BM$13+21)&lt;=$BO$13),$BN$13&amp;"-"&amp;TEXT(($BM$13+21),"00"),"")</f>
        <v>1B-AA-21</v>
      </c>
      <c r="H92" s="6"/>
      <c r="I92" s="9" t="str">
        <f>IF(CB92="","",CB92&amp;"-"&amp;TEXT(COUNTIF($CA$72:$CA$95,CB92)+COUNTIF($CB$72:CB92,CB92),"000"))</f>
        <v>D-045</v>
      </c>
      <c r="J92" s="9" t="str">
        <f>IF(AND($BN$14&lt;&gt;"",($BM$14+21)&lt;=$BO$14),$BN$14,"")</f>
        <v>1B-AA</v>
      </c>
      <c r="K92" s="9" t="str">
        <f>IF(AND($BN$14&lt;&gt;"",($BM$14+21)&lt;=$BO$14),TEXT(($BM$14+21),"00"),"")</f>
        <v>45</v>
      </c>
      <c r="L92" s="9" t="str">
        <f>IF(AND($BN$14&lt;&gt;"",($BM$14+21)&lt;=$BO$14),$BN$14&amp;"-"&amp;TEXT(($BM$14+21),"00"),"")</f>
        <v>1B-AA-45</v>
      </c>
      <c r="N92" s="6"/>
      <c r="O92" s="9" t="str">
        <f>IF(CC92="","",CC92&amp;"-"&amp;TEXT(COUNTIF($CA$72:$CA$95,CC92)+COUNTIF($CB$72:$CB$95,CC92)+COUNTIF($CC$72:CC92,CC92),"000"))</f>
        <v>W-021</v>
      </c>
      <c r="P92" s="9" t="str">
        <f>IF(AND($BN$15&lt;&gt;"",($BM$15+21)&lt;=$BO$15),$BN$15,"")</f>
        <v>1B-AB</v>
      </c>
      <c r="Q92" s="9" t="str">
        <f>IF(AND($BN$15&lt;&gt;"",($BM$15+21)&lt;=$BO$15),TEXT(($BM$15+21),"00"),"")</f>
        <v>21</v>
      </c>
      <c r="R92" s="9" t="str">
        <f>IF(AND($BN$15&lt;&gt;"",($BM$15+21)&lt;=$BO$15),$BN$15&amp;"-"&amp;TEXT(($BM$15+21),"00"),"")</f>
        <v>1B-AB-21</v>
      </c>
      <c r="T92" s="6"/>
      <c r="U92" s="9" t="str">
        <f>IF(CD92="","",CD92&amp;"-"&amp;TEXT(COUNTIF($CA$72:$CA$95,CD92)+COUNTIF($CB$72:$CB$95,CD92)+COUNTIF($CC$72:$CC$95,CD92)+COUNTIF($CD$72:CD92,CD92),"000"))</f>
        <v>C-021</v>
      </c>
      <c r="V92" s="9" t="str">
        <f>IF(AND($BN$16&lt;&gt;"",($BM$16+21)&lt;=$BO$16),$BN$16,"")</f>
        <v>1B-AC</v>
      </c>
      <c r="W92" s="9" t="str">
        <f>IF(AND($BN$16&lt;&gt;"",($BM$16+21)&lt;=$BO$16),TEXT(($BM$16+21),"00"),"")</f>
        <v>21</v>
      </c>
      <c r="X92" s="9" t="str">
        <f>IF(AND($BN$16&lt;&gt;"",($BM$16+21)&lt;=$BO$16),$BN$16&amp;"-"&amp;TEXT(($BM$16+21),"00"),"")</f>
        <v>1B-AC-21</v>
      </c>
      <c r="BA92">
        <f>IF(OR(Catalogo!$C92="",Catalogo!$B92="Espacio libre",Catalogo!$B92="Espacio reservado"),0,COUNTIF($C$13:$C$42,Catalogo!$C92)+IF($E$7=Catalogo!$C92,N($K$7),0)+IF($E$8=Catalogo!$C92,N($N$8),0)+IF(Proyecto!$D$12=Catalogo!$C92,$AQ$4,0)+SUMIF($C$49:$C$58,Catalogo!$C92,$K$49:$K$58))</f>
        <v>0</v>
      </c>
      <c r="CA92" t="str" cm="1">
        <f t="array" ref="CA92">IF(NOT(AND($BN$13&lt;&gt;"",($BM$13+21)&lt;=$BO$13)),"",IF(B92&lt;&gt;"",IF(B92="-","",B92),IF(ISNUMBER(SEARCH(":",$BP$13)),IFERROR(_xlfn.LET(_xlpm.s,_xlfn.TEXTSPLIT($BP$13,","),_xlpm.k,FIND(":",_xlpm.s),INDEX(TRIM(LEFT(_xlpm.s,_xlpm.k-1)),_xlfn.XMATCH(($BM$13+21),_xlfn.SCAN(0,--MID(_xlpm.s,_xlpm.k+1,9),_xlfn.LAMBDA(_xlpm.a,_xlpm.v,_xlpm.a+_xlpm.v)),1))),""),IF(($BM$13+21)&lt;=$BQ$13,$BP$13,""))))</f>
        <v>D</v>
      </c>
      <c r="CB92" t="str" cm="1">
        <f t="array" ref="CB92">IF(NOT(AND($BN$14&lt;&gt;"",($BM$14+21)&lt;=$BO$14)),"",IF(H92&lt;&gt;"",IF(H92="-","",H92),IF(ISNUMBER(SEARCH(":",$BP$14)),IFERROR(_xlfn.LET(_xlpm.s,_xlfn.TEXTSPLIT($BP$14,","),_xlpm.k,FIND(":",_xlpm.s),INDEX(TRIM(LEFT(_xlpm.s,_xlpm.k-1)),_xlfn.XMATCH(($BM$14+21),_xlfn.SCAN(0,--MID(_xlpm.s,_xlpm.k+1,9),_xlfn.LAMBDA(_xlpm.a,_xlpm.v,_xlpm.a+_xlpm.v)),1))),""),IF(($BM$14+21)&lt;=$BQ$14,$BP$14,""))))</f>
        <v>D</v>
      </c>
      <c r="CC92" t="str" cm="1">
        <f t="array" ref="CC92">IF(NOT(AND($BN$15&lt;&gt;"",($BM$15+21)&lt;=$BO$15)),"",IF(N92&lt;&gt;"",IF(N92="-","",N92),IF(ISNUMBER(SEARCH(":",$BP$15)),IFERROR(_xlfn.LET(_xlpm.s,_xlfn.TEXTSPLIT($BP$15,","),_xlpm.k,FIND(":",_xlpm.s),INDEX(TRIM(LEFT(_xlpm.s,_xlpm.k-1)),_xlfn.XMATCH(($BM$15+21),_xlfn.SCAN(0,--MID(_xlpm.s,_xlpm.k+1,9),_xlfn.LAMBDA(_xlpm.a,_xlpm.v,_xlpm.a+_xlpm.v)),1))),""),IF(($BM$15+21)&lt;=$BQ$15,$BP$15,""))))</f>
        <v>W</v>
      </c>
      <c r="CD92" t="str" cm="1">
        <f t="array" ref="CD92">IF(NOT(AND($BN$16&lt;&gt;"",($BM$16+21)&lt;=$BO$16)),"",IF(T92&lt;&gt;"",IF(T92="-","",T92),IF(ISNUMBER(SEARCH(":",$BP$16)),IFERROR(_xlfn.LET(_xlpm.s,_xlfn.TEXTSPLIT($BP$16,","),_xlpm.k,FIND(":",_xlpm.s),INDEX(TRIM(LEFT(_xlpm.s,_xlpm.k-1)),_xlfn.XMATCH(($BM$16+21),_xlfn.SCAN(0,--MID(_xlpm.s,_xlpm.k+1,9),_xlfn.LAMBDA(_xlpm.a,_xlpm.v,_xlpm.a+_xlpm.v)),1))),""),IF(($BM$16+21)&lt;=$BQ$16,$BP$16,""))))</f>
        <v>C</v>
      </c>
    </row>
    <row r="93" spans="2:82" hidden="1" x14ac:dyDescent="0.45">
      <c r="B93" s="6"/>
      <c r="C93" s="9" t="str">
        <f>IF(CA93="","",CA93&amp;"-"&amp;TEXT(0+COUNTIF($CA$72:CA93,CA93),"000"))</f>
        <v>D-022</v>
      </c>
      <c r="D93" s="9" t="str">
        <f>IF(AND($BN$13&lt;&gt;"",($BM$13+22)&lt;=$BO$13),$BN$13,"")</f>
        <v>1B-AA</v>
      </c>
      <c r="E93" s="9" t="str">
        <f>IF(AND($BN$13&lt;&gt;"",($BM$13+22)&lt;=$BO$13),TEXT(($BM$13+22),"00"),"")</f>
        <v>22</v>
      </c>
      <c r="F93" s="9" t="str">
        <f>IF(AND($BN$13&lt;&gt;"",($BM$13+22)&lt;=$BO$13),$BN$13&amp;"-"&amp;TEXT(($BM$13+22),"00"),"")</f>
        <v>1B-AA-22</v>
      </c>
      <c r="H93" s="6"/>
      <c r="I93" s="9" t="str">
        <f>IF(CB93="","",CB93&amp;"-"&amp;TEXT(COUNTIF($CA$72:$CA$95,CB93)+COUNTIF($CB$72:CB93,CB93),"000"))</f>
        <v>D-046</v>
      </c>
      <c r="J93" s="9" t="str">
        <f>IF(AND($BN$14&lt;&gt;"",($BM$14+22)&lt;=$BO$14),$BN$14,"")</f>
        <v>1B-AA</v>
      </c>
      <c r="K93" s="9" t="str">
        <f>IF(AND($BN$14&lt;&gt;"",($BM$14+22)&lt;=$BO$14),TEXT(($BM$14+22),"00"),"")</f>
        <v>46</v>
      </c>
      <c r="L93" s="9" t="str">
        <f>IF(AND($BN$14&lt;&gt;"",($BM$14+22)&lt;=$BO$14),$BN$14&amp;"-"&amp;TEXT(($BM$14+22),"00"),"")</f>
        <v>1B-AA-46</v>
      </c>
      <c r="N93" s="6"/>
      <c r="O93" s="9" t="str">
        <f>IF(CC93="","",CC93&amp;"-"&amp;TEXT(COUNTIF($CA$72:$CA$95,CC93)+COUNTIF($CB$72:$CB$95,CC93)+COUNTIF($CC$72:CC93,CC93),"000"))</f>
        <v>W-022</v>
      </c>
      <c r="P93" s="9" t="str">
        <f>IF(AND($BN$15&lt;&gt;"",($BM$15+22)&lt;=$BO$15),$BN$15,"")</f>
        <v>1B-AB</v>
      </c>
      <c r="Q93" s="9" t="str">
        <f>IF(AND($BN$15&lt;&gt;"",($BM$15+22)&lt;=$BO$15),TEXT(($BM$15+22),"00"),"")</f>
        <v>22</v>
      </c>
      <c r="R93" s="9" t="str">
        <f>IF(AND($BN$15&lt;&gt;"",($BM$15+22)&lt;=$BO$15),$BN$15&amp;"-"&amp;TEXT(($BM$15+22),"00"),"")</f>
        <v>1B-AB-22</v>
      </c>
      <c r="T93" s="6"/>
      <c r="U93" s="9" t="str">
        <f>IF(CD93="","",CD93&amp;"-"&amp;TEXT(COUNTIF($CA$72:$CA$95,CD93)+COUNTIF($CB$72:$CB$95,CD93)+COUNTIF($CC$72:$CC$95,CD93)+COUNTIF($CD$72:CD93,CD93),"000"))</f>
        <v>C-022</v>
      </c>
      <c r="V93" s="9" t="str">
        <f>IF(AND($BN$16&lt;&gt;"",($BM$16+22)&lt;=$BO$16),$BN$16,"")</f>
        <v>1B-AC</v>
      </c>
      <c r="W93" s="9" t="str">
        <f>IF(AND($BN$16&lt;&gt;"",($BM$16+22)&lt;=$BO$16),TEXT(($BM$16+22),"00"),"")</f>
        <v>22</v>
      </c>
      <c r="X93" s="9" t="str">
        <f>IF(AND($BN$16&lt;&gt;"",($BM$16+22)&lt;=$BO$16),$BN$16&amp;"-"&amp;TEXT(($BM$16+22),"00"),"")</f>
        <v>1B-AC-22</v>
      </c>
      <c r="BA93">
        <f>IF(OR(Catalogo!$C93="",Catalogo!$B93="Espacio libre",Catalogo!$B93="Espacio reservado"),0,COUNTIF($C$13:$C$42,Catalogo!$C93)+IF($E$7=Catalogo!$C93,N($K$7),0)+IF($E$8=Catalogo!$C93,N($N$8),0)+IF(Proyecto!$D$12=Catalogo!$C93,$AQ$4,0)+SUMIF($C$49:$C$58,Catalogo!$C93,$K$49:$K$58))</f>
        <v>0</v>
      </c>
      <c r="CA93" t="str" cm="1">
        <f t="array" ref="CA93">IF(NOT(AND($BN$13&lt;&gt;"",($BM$13+22)&lt;=$BO$13)),"",IF(B93&lt;&gt;"",IF(B93="-","",B93),IF(ISNUMBER(SEARCH(":",$BP$13)),IFERROR(_xlfn.LET(_xlpm.s,_xlfn.TEXTSPLIT($BP$13,","),_xlpm.k,FIND(":",_xlpm.s),INDEX(TRIM(LEFT(_xlpm.s,_xlpm.k-1)),_xlfn.XMATCH(($BM$13+22),_xlfn.SCAN(0,--MID(_xlpm.s,_xlpm.k+1,9),_xlfn.LAMBDA(_xlpm.a,_xlpm.v,_xlpm.a+_xlpm.v)),1))),""),IF(($BM$13+22)&lt;=$BQ$13,$BP$13,""))))</f>
        <v>D</v>
      </c>
      <c r="CB93" t="str" cm="1">
        <f t="array" ref="CB93">IF(NOT(AND($BN$14&lt;&gt;"",($BM$14+22)&lt;=$BO$14)),"",IF(H93&lt;&gt;"",IF(H93="-","",H93),IF(ISNUMBER(SEARCH(":",$BP$14)),IFERROR(_xlfn.LET(_xlpm.s,_xlfn.TEXTSPLIT($BP$14,","),_xlpm.k,FIND(":",_xlpm.s),INDEX(TRIM(LEFT(_xlpm.s,_xlpm.k-1)),_xlfn.XMATCH(($BM$14+22),_xlfn.SCAN(0,--MID(_xlpm.s,_xlpm.k+1,9),_xlfn.LAMBDA(_xlpm.a,_xlpm.v,_xlpm.a+_xlpm.v)),1))),""),IF(($BM$14+22)&lt;=$BQ$14,$BP$14,""))))</f>
        <v>D</v>
      </c>
      <c r="CC93" t="str" cm="1">
        <f t="array" ref="CC93">IF(NOT(AND($BN$15&lt;&gt;"",($BM$15+22)&lt;=$BO$15)),"",IF(N93&lt;&gt;"",IF(N93="-","",N93),IF(ISNUMBER(SEARCH(":",$BP$15)),IFERROR(_xlfn.LET(_xlpm.s,_xlfn.TEXTSPLIT($BP$15,","),_xlpm.k,FIND(":",_xlpm.s),INDEX(TRIM(LEFT(_xlpm.s,_xlpm.k-1)),_xlfn.XMATCH(($BM$15+22),_xlfn.SCAN(0,--MID(_xlpm.s,_xlpm.k+1,9),_xlfn.LAMBDA(_xlpm.a,_xlpm.v,_xlpm.a+_xlpm.v)),1))),""),IF(($BM$15+22)&lt;=$BQ$15,$BP$15,""))))</f>
        <v>W</v>
      </c>
      <c r="CD93" t="str" cm="1">
        <f t="array" ref="CD93">IF(NOT(AND($BN$16&lt;&gt;"",($BM$16+22)&lt;=$BO$16)),"",IF(T93&lt;&gt;"",IF(T93="-","",T93),IF(ISNUMBER(SEARCH(":",$BP$16)),IFERROR(_xlfn.LET(_xlpm.s,_xlfn.TEXTSPLIT($BP$16,","),_xlpm.k,FIND(":",_xlpm.s),INDEX(TRIM(LEFT(_xlpm.s,_xlpm.k-1)),_xlfn.XMATCH(($BM$16+22),_xlfn.SCAN(0,--MID(_xlpm.s,_xlpm.k+1,9),_xlfn.LAMBDA(_xlpm.a,_xlpm.v,_xlpm.a+_xlpm.v)),1))),""),IF(($BM$16+22)&lt;=$BQ$16,$BP$16,""))))</f>
        <v>C</v>
      </c>
    </row>
    <row r="94" spans="2:82" hidden="1" x14ac:dyDescent="0.45">
      <c r="B94" s="6"/>
      <c r="C94" s="9" t="str">
        <f>IF(CA94="","",CA94&amp;"-"&amp;TEXT(0+COUNTIF($CA$72:CA94,CA94),"000"))</f>
        <v>D-023</v>
      </c>
      <c r="D94" s="9" t="str">
        <f>IF(AND($BN$13&lt;&gt;"",($BM$13+23)&lt;=$BO$13),$BN$13,"")</f>
        <v>1B-AA</v>
      </c>
      <c r="E94" s="9" t="str">
        <f>IF(AND($BN$13&lt;&gt;"",($BM$13+23)&lt;=$BO$13),TEXT(($BM$13+23),"00"),"")</f>
        <v>23</v>
      </c>
      <c r="F94" s="9" t="str">
        <f>IF(AND($BN$13&lt;&gt;"",($BM$13+23)&lt;=$BO$13),$BN$13&amp;"-"&amp;TEXT(($BM$13+23),"00"),"")</f>
        <v>1B-AA-23</v>
      </c>
      <c r="H94" s="6"/>
      <c r="I94" s="9" t="str">
        <f>IF(CB94="","",CB94&amp;"-"&amp;TEXT(COUNTIF($CA$72:$CA$95,CB94)+COUNTIF($CB$72:CB94,CB94),"000"))</f>
        <v>D-047</v>
      </c>
      <c r="J94" s="9" t="str">
        <f>IF(AND($BN$14&lt;&gt;"",($BM$14+23)&lt;=$BO$14),$BN$14,"")</f>
        <v>1B-AA</v>
      </c>
      <c r="K94" s="9" t="str">
        <f>IF(AND($BN$14&lt;&gt;"",($BM$14+23)&lt;=$BO$14),TEXT(($BM$14+23),"00"),"")</f>
        <v>47</v>
      </c>
      <c r="L94" s="9" t="str">
        <f>IF(AND($BN$14&lt;&gt;"",($BM$14+23)&lt;=$BO$14),$BN$14&amp;"-"&amp;TEXT(($BM$14+23),"00"),"")</f>
        <v>1B-AA-47</v>
      </c>
      <c r="N94" s="6"/>
      <c r="O94" s="9" t="str">
        <f>IF(CC94="","",CC94&amp;"-"&amp;TEXT(COUNTIF($CA$72:$CA$95,CC94)+COUNTIF($CB$72:$CB$95,CC94)+COUNTIF($CC$72:CC94,CC94),"000"))</f>
        <v>W-023</v>
      </c>
      <c r="P94" s="9" t="str">
        <f>IF(AND($BN$15&lt;&gt;"",($BM$15+23)&lt;=$BO$15),$BN$15,"")</f>
        <v>1B-AB</v>
      </c>
      <c r="Q94" s="9" t="str">
        <f>IF(AND($BN$15&lt;&gt;"",($BM$15+23)&lt;=$BO$15),TEXT(($BM$15+23),"00"),"")</f>
        <v>23</v>
      </c>
      <c r="R94" s="9" t="str">
        <f>IF(AND($BN$15&lt;&gt;"",($BM$15+23)&lt;=$BO$15),$BN$15&amp;"-"&amp;TEXT(($BM$15+23),"00"),"")</f>
        <v>1B-AB-23</v>
      </c>
      <c r="T94" s="6"/>
      <c r="U94" s="9" t="str">
        <f>IF(CD94="","",CD94&amp;"-"&amp;TEXT(COUNTIF($CA$72:$CA$95,CD94)+COUNTIF($CB$72:$CB$95,CD94)+COUNTIF($CC$72:$CC$95,CD94)+COUNTIF($CD$72:CD94,CD94),"000"))</f>
        <v>C-023</v>
      </c>
      <c r="V94" s="9" t="str">
        <f>IF(AND($BN$16&lt;&gt;"",($BM$16+23)&lt;=$BO$16),$BN$16,"")</f>
        <v>1B-AC</v>
      </c>
      <c r="W94" s="9" t="str">
        <f>IF(AND($BN$16&lt;&gt;"",($BM$16+23)&lt;=$BO$16),TEXT(($BM$16+23),"00"),"")</f>
        <v>23</v>
      </c>
      <c r="X94" s="9" t="str">
        <f>IF(AND($BN$16&lt;&gt;"",($BM$16+23)&lt;=$BO$16),$BN$16&amp;"-"&amp;TEXT(($BM$16+23),"00"),"")</f>
        <v>1B-AC-23</v>
      </c>
      <c r="BA94">
        <f>IF(OR(Catalogo!$C94="",Catalogo!$B94="Espacio libre",Catalogo!$B94="Espacio reservado"),0,COUNTIF($C$13:$C$42,Catalogo!$C94)+IF($E$7=Catalogo!$C94,N($K$7),0)+IF($E$8=Catalogo!$C94,N($N$8),0)+IF(Proyecto!$D$12=Catalogo!$C94,$AQ$4,0)+SUMIF($C$49:$C$58,Catalogo!$C94,$K$49:$K$58))</f>
        <v>0</v>
      </c>
      <c r="CA94" t="str" cm="1">
        <f t="array" ref="CA94">IF(NOT(AND($BN$13&lt;&gt;"",($BM$13+23)&lt;=$BO$13)),"",IF(B94&lt;&gt;"",IF(B94="-","",B94),IF(ISNUMBER(SEARCH(":",$BP$13)),IFERROR(_xlfn.LET(_xlpm.s,_xlfn.TEXTSPLIT($BP$13,","),_xlpm.k,FIND(":",_xlpm.s),INDEX(TRIM(LEFT(_xlpm.s,_xlpm.k-1)),_xlfn.XMATCH(($BM$13+23),_xlfn.SCAN(0,--MID(_xlpm.s,_xlpm.k+1,9),_xlfn.LAMBDA(_xlpm.a,_xlpm.v,_xlpm.a+_xlpm.v)),1))),""),IF(($BM$13+23)&lt;=$BQ$13,$BP$13,""))))</f>
        <v>D</v>
      </c>
      <c r="CB94" t="str" cm="1">
        <f t="array" ref="CB94">IF(NOT(AND($BN$14&lt;&gt;"",($BM$14+23)&lt;=$BO$14)),"",IF(H94&lt;&gt;"",IF(H94="-","",H94),IF(ISNUMBER(SEARCH(":",$BP$14)),IFERROR(_xlfn.LET(_xlpm.s,_xlfn.TEXTSPLIT($BP$14,","),_xlpm.k,FIND(":",_xlpm.s),INDEX(TRIM(LEFT(_xlpm.s,_xlpm.k-1)),_xlfn.XMATCH(($BM$14+23),_xlfn.SCAN(0,--MID(_xlpm.s,_xlpm.k+1,9),_xlfn.LAMBDA(_xlpm.a,_xlpm.v,_xlpm.a+_xlpm.v)),1))),""),IF(($BM$14+23)&lt;=$BQ$14,$BP$14,""))))</f>
        <v>D</v>
      </c>
      <c r="CC94" t="str" cm="1">
        <f t="array" ref="CC94">IF(NOT(AND($BN$15&lt;&gt;"",($BM$15+23)&lt;=$BO$15)),"",IF(N94&lt;&gt;"",IF(N94="-","",N94),IF(ISNUMBER(SEARCH(":",$BP$15)),IFERROR(_xlfn.LET(_xlpm.s,_xlfn.TEXTSPLIT($BP$15,","),_xlpm.k,FIND(":",_xlpm.s),INDEX(TRIM(LEFT(_xlpm.s,_xlpm.k-1)),_xlfn.XMATCH(($BM$15+23),_xlfn.SCAN(0,--MID(_xlpm.s,_xlpm.k+1,9),_xlfn.LAMBDA(_xlpm.a,_xlpm.v,_xlpm.a+_xlpm.v)),1))),""),IF(($BM$15+23)&lt;=$BQ$15,$BP$15,""))))</f>
        <v>W</v>
      </c>
      <c r="CD94" t="str" cm="1">
        <f t="array" ref="CD94">IF(NOT(AND($BN$16&lt;&gt;"",($BM$16+23)&lt;=$BO$16)),"",IF(T94&lt;&gt;"",IF(T94="-","",T94),IF(ISNUMBER(SEARCH(":",$BP$16)),IFERROR(_xlfn.LET(_xlpm.s,_xlfn.TEXTSPLIT($BP$16,","),_xlpm.k,FIND(":",_xlpm.s),INDEX(TRIM(LEFT(_xlpm.s,_xlpm.k-1)),_xlfn.XMATCH(($BM$16+23),_xlfn.SCAN(0,--MID(_xlpm.s,_xlpm.k+1,9),_xlfn.LAMBDA(_xlpm.a,_xlpm.v,_xlpm.a+_xlpm.v)),1))),""),IF(($BM$16+23)&lt;=$BQ$16,$BP$16,""))))</f>
        <v>C</v>
      </c>
    </row>
    <row r="95" spans="2:82" hidden="1" x14ac:dyDescent="0.45">
      <c r="B95" s="6"/>
      <c r="C95" s="9" t="str">
        <f>IF(CA95="","",CA95&amp;"-"&amp;TEXT(0+COUNTIF($CA$72:CA95,CA95),"000"))</f>
        <v>D-024</v>
      </c>
      <c r="D95" s="9" t="str">
        <f>IF(AND($BN$13&lt;&gt;"",($BM$13+24)&lt;=$BO$13),$BN$13,"")</f>
        <v>1B-AA</v>
      </c>
      <c r="E95" s="9" t="str">
        <f>IF(AND($BN$13&lt;&gt;"",($BM$13+24)&lt;=$BO$13),TEXT(($BM$13+24),"00"),"")</f>
        <v>24</v>
      </c>
      <c r="F95" s="9" t="str">
        <f>IF(AND($BN$13&lt;&gt;"",($BM$13+24)&lt;=$BO$13),$BN$13&amp;"-"&amp;TEXT(($BM$13+24),"00"),"")</f>
        <v>1B-AA-24</v>
      </c>
      <c r="H95" s="6"/>
      <c r="I95" s="9" t="str">
        <f>IF(CB95="","",CB95&amp;"-"&amp;TEXT(COUNTIF($CA$72:$CA$95,CB95)+COUNTIF($CB$72:CB95,CB95),"000"))</f>
        <v>D-048</v>
      </c>
      <c r="J95" s="9" t="str">
        <f>IF(AND($BN$14&lt;&gt;"",($BM$14+24)&lt;=$BO$14),$BN$14,"")</f>
        <v>1B-AA</v>
      </c>
      <c r="K95" s="9" t="str">
        <f>IF(AND($BN$14&lt;&gt;"",($BM$14+24)&lt;=$BO$14),TEXT(($BM$14+24),"00"),"")</f>
        <v>48</v>
      </c>
      <c r="L95" s="9" t="str">
        <f>IF(AND($BN$14&lt;&gt;"",($BM$14+24)&lt;=$BO$14),$BN$14&amp;"-"&amp;TEXT(($BM$14+24),"00"),"")</f>
        <v>1B-AA-48</v>
      </c>
      <c r="N95" s="6"/>
      <c r="O95" s="9" t="str">
        <f>IF(CC95="","",CC95&amp;"-"&amp;TEXT(COUNTIF($CA$72:$CA$95,CC95)+COUNTIF($CB$72:$CB$95,CC95)+COUNTIF($CC$72:CC95,CC95),"000"))</f>
        <v>W-024</v>
      </c>
      <c r="P95" s="9" t="str">
        <f>IF(AND($BN$15&lt;&gt;"",($BM$15+24)&lt;=$BO$15),$BN$15,"")</f>
        <v>1B-AB</v>
      </c>
      <c r="Q95" s="9" t="str">
        <f>IF(AND($BN$15&lt;&gt;"",($BM$15+24)&lt;=$BO$15),TEXT(($BM$15+24),"00"),"")</f>
        <v>24</v>
      </c>
      <c r="R95" s="9" t="str">
        <f>IF(AND($BN$15&lt;&gt;"",($BM$15+24)&lt;=$BO$15),$BN$15&amp;"-"&amp;TEXT(($BM$15+24),"00"),"")</f>
        <v>1B-AB-24</v>
      </c>
      <c r="T95" s="6"/>
      <c r="U95" s="9" t="str">
        <f>IF(CD95="","",CD95&amp;"-"&amp;TEXT(COUNTIF($CA$72:$CA$95,CD95)+COUNTIF($CB$72:$CB$95,CD95)+COUNTIF($CC$72:$CC$95,CD95)+COUNTIF($CD$72:CD95,CD95),"000"))</f>
        <v>C-024</v>
      </c>
      <c r="V95" s="9" t="str">
        <f>IF(AND($BN$16&lt;&gt;"",($BM$16+24)&lt;=$BO$16),$BN$16,"")</f>
        <v>1B-AC</v>
      </c>
      <c r="W95" s="9" t="str">
        <f>IF(AND($BN$16&lt;&gt;"",($BM$16+24)&lt;=$BO$16),TEXT(($BM$16+24),"00"),"")</f>
        <v>24</v>
      </c>
      <c r="X95" s="9" t="str">
        <f>IF(AND($BN$16&lt;&gt;"",($BM$16+24)&lt;=$BO$16),$BN$16&amp;"-"&amp;TEXT(($BM$16+24),"00"),"")</f>
        <v>1B-AC-24</v>
      </c>
      <c r="BA95">
        <f>IF(OR(Catalogo!$C95="",Catalogo!$B95="Espacio libre",Catalogo!$B95="Espacio reservado"),0,COUNTIF($C$13:$C$42,Catalogo!$C95)+IF($E$7=Catalogo!$C95,N($K$7),0)+IF($E$8=Catalogo!$C95,N($N$8),0)+IF(Proyecto!$D$12=Catalogo!$C95,$AQ$4,0)+SUMIF($C$49:$C$58,Catalogo!$C95,$K$49:$K$58))</f>
        <v>1</v>
      </c>
      <c r="CA95" t="str" cm="1">
        <f t="array" ref="CA95">IF(NOT(AND($BN$13&lt;&gt;"",($BM$13+24)&lt;=$BO$13)),"",IF(B95&lt;&gt;"",IF(B95="-","",B95),IF(ISNUMBER(SEARCH(":",$BP$13)),IFERROR(_xlfn.LET(_xlpm.s,_xlfn.TEXTSPLIT($BP$13,","),_xlpm.k,FIND(":",_xlpm.s),INDEX(TRIM(LEFT(_xlpm.s,_xlpm.k-1)),_xlfn.XMATCH(($BM$13+24),_xlfn.SCAN(0,--MID(_xlpm.s,_xlpm.k+1,9),_xlfn.LAMBDA(_xlpm.a,_xlpm.v,_xlpm.a+_xlpm.v)),1))),""),IF(($BM$13+24)&lt;=$BQ$13,$BP$13,""))))</f>
        <v>D</v>
      </c>
      <c r="CB95" t="str" cm="1">
        <f t="array" ref="CB95">IF(NOT(AND($BN$14&lt;&gt;"",($BM$14+24)&lt;=$BO$14)),"",IF(H95&lt;&gt;"",IF(H95="-","",H95),IF(ISNUMBER(SEARCH(":",$BP$14)),IFERROR(_xlfn.LET(_xlpm.s,_xlfn.TEXTSPLIT($BP$14,","),_xlpm.k,FIND(":",_xlpm.s),INDEX(TRIM(LEFT(_xlpm.s,_xlpm.k-1)),_xlfn.XMATCH(($BM$14+24),_xlfn.SCAN(0,--MID(_xlpm.s,_xlpm.k+1,9),_xlfn.LAMBDA(_xlpm.a,_xlpm.v,_xlpm.a+_xlpm.v)),1))),""),IF(($BM$14+24)&lt;=$BQ$14,$BP$14,""))))</f>
        <v>D</v>
      </c>
      <c r="CC95" t="str" cm="1">
        <f t="array" ref="CC95">IF(NOT(AND($BN$15&lt;&gt;"",($BM$15+24)&lt;=$BO$15)),"",IF(N95&lt;&gt;"",IF(N95="-","",N95),IF(ISNUMBER(SEARCH(":",$BP$15)),IFERROR(_xlfn.LET(_xlpm.s,_xlfn.TEXTSPLIT($BP$15,","),_xlpm.k,FIND(":",_xlpm.s),INDEX(TRIM(LEFT(_xlpm.s,_xlpm.k-1)),_xlfn.XMATCH(($BM$15+24),_xlfn.SCAN(0,--MID(_xlpm.s,_xlpm.k+1,9),_xlfn.LAMBDA(_xlpm.a,_xlpm.v,_xlpm.a+_xlpm.v)),1))),""),IF(($BM$15+24)&lt;=$BQ$15,$BP$15,""))))</f>
        <v>W</v>
      </c>
      <c r="CD95" t="str" cm="1">
        <f t="array" ref="CD95">IF(NOT(AND($BN$16&lt;&gt;"",($BM$16+24)&lt;=$BO$16)),"",IF(T95&lt;&gt;"",IF(T95="-","",T95),IF(ISNUMBER(SEARCH(":",$BP$16)),IFERROR(_xlfn.LET(_xlpm.s,_xlfn.TEXTSPLIT($BP$16,","),_xlpm.k,FIND(":",_xlpm.s),INDEX(TRIM(LEFT(_xlpm.s,_xlpm.k-1)),_xlfn.XMATCH(($BM$16+24),_xlfn.SCAN(0,--MID(_xlpm.s,_xlpm.k+1,9),_xlfn.LAMBDA(_xlpm.a,_xlpm.v,_xlpm.a+_xlpm.v)),1))),""),IF(($BM$16+24)&lt;=$BQ$16,$BP$16,""))))</f>
        <v>C</v>
      </c>
    </row>
    <row r="96" spans="2:82" hidden="1" x14ac:dyDescent="0.45">
      <c r="BA96">
        <f>IF(OR(Catalogo!$C96="",Catalogo!$B96="Espacio libre",Catalogo!$B96="Espacio reservado"),0,COUNTIF($C$13:$C$42,Catalogo!$C96)+IF($E$7=Catalogo!$C96,N($K$7),0)+IF($E$8=Catalogo!$C96,N($N$8),0)+IF(Proyecto!$D$12=Catalogo!$C96,$AQ$4,0)+SUMIF($C$49:$C$58,Catalogo!$C96,$K$49:$K$58))</f>
        <v>0</v>
      </c>
    </row>
    <row r="97" spans="2:82" hidden="1" x14ac:dyDescent="0.45">
      <c r="BA97">
        <f>IF(OR(Catalogo!$C97="",Catalogo!$B97="Espacio libre",Catalogo!$B97="Espacio reservado"),0,COUNTIF($C$13:$C$42,Catalogo!$C97)+IF($E$7=Catalogo!$C97,N($K$7),0)+IF($E$8=Catalogo!$C97,N($N$8),0)+IF(Proyecto!$D$12=Catalogo!$C97,$AQ$4,0)+SUMIF($C$49:$C$58,Catalogo!$C97,$K$49:$K$58))</f>
        <v>0</v>
      </c>
    </row>
    <row r="98" spans="2:82" hidden="1" x14ac:dyDescent="0.45">
      <c r="B98" s="51" t="str">
        <f>IF($BN$17="","Bloque 5 — sin panel","Panel "&amp;$BN$17&amp;"  (puertos "&amp;($BM$17+1)&amp;"-"&amp;MIN($BM$17+24,$BO$17)&amp;")"&amp;IF($BP$17&lt;&gt;"","  · "&amp;$BP$17,"")&amp;"  · "&amp;TEXT(IFERROR(INDEX($BS$13:$BS$28,$BL$17)/$BO$17,0),"0%"))</f>
        <v>Bloque 5 — sin panel</v>
      </c>
      <c r="C98" s="40"/>
      <c r="D98" s="40"/>
      <c r="E98" s="40"/>
      <c r="F98" s="40"/>
      <c r="H98" s="51" t="str">
        <f>IF($BN$18="","Bloque 6 — sin panel","Panel "&amp;$BN$18&amp;"  (puertos "&amp;($BM$18+1)&amp;"-"&amp;MIN($BM$18+24,$BO$18)&amp;")"&amp;IF($BP$18&lt;&gt;"","  · "&amp;$BP$18,"")&amp;"  · "&amp;TEXT(IFERROR(INDEX($BS$13:$BS$28,$BL$18)/$BO$18,0),"0%"))</f>
        <v>Bloque 6 — sin panel</v>
      </c>
      <c r="I98" s="40"/>
      <c r="J98" s="40"/>
      <c r="K98" s="40"/>
      <c r="L98" s="40"/>
      <c r="N98" s="51" t="str">
        <f>IF($BN$19="","Bloque 7 — sin panel","Panel "&amp;$BN$19&amp;"  (puertos "&amp;($BM$19+1)&amp;"-"&amp;MIN($BM$19+24,$BO$19)&amp;")"&amp;IF($BP$19&lt;&gt;"","  · "&amp;$BP$19,"")&amp;"  · "&amp;TEXT(IFERROR(INDEX($BS$13:$BS$28,$BL$19)/$BO$19,0),"0%"))</f>
        <v>Bloque 7 — sin panel</v>
      </c>
      <c r="O98" s="40"/>
      <c r="P98" s="40"/>
      <c r="Q98" s="40"/>
      <c r="R98" s="40"/>
      <c r="T98" s="51" t="str">
        <f>IF($BN$20="","Bloque 8 — sin panel","Panel "&amp;$BN$20&amp;"  (puertos "&amp;($BM$20+1)&amp;"-"&amp;MIN($BM$20+24,$BO$20)&amp;")"&amp;IF($BP$20&lt;&gt;"","  · "&amp;$BP$20,"")&amp;"  · "&amp;TEXT(IFERROR(INDEX($BS$13:$BS$28,$BL$20)/$BO$20,0),"0%"))</f>
        <v>Bloque 8 — sin panel</v>
      </c>
      <c r="U98" s="40"/>
      <c r="V98" s="40"/>
      <c r="W98" s="40"/>
      <c r="X98" s="40"/>
      <c r="BA98">
        <f>IF(OR(Catalogo!$C98="",Catalogo!$B98="Espacio libre",Catalogo!$B98="Espacio reservado"),0,COUNTIF($C$13:$C$42,Catalogo!$C98)+IF($E$7=Catalogo!$C98,N($K$7),0)+IF($E$8=Catalogo!$C98,N($N$8),0)+IF(Proyecto!$D$12=Catalogo!$C98,$AQ$4,0)+SUMIF($C$49:$C$58,Catalogo!$C98,$K$49:$K$58))</f>
        <v>3</v>
      </c>
    </row>
    <row r="99" spans="2:82" hidden="1" x14ac:dyDescent="0.45">
      <c r="B99" s="5" t="s">
        <v>410</v>
      </c>
      <c r="C99" s="5" t="s">
        <v>411</v>
      </c>
      <c r="D99" s="5" t="s">
        <v>389</v>
      </c>
      <c r="E99" s="5" t="s">
        <v>412</v>
      </c>
      <c r="F99" s="5" t="s">
        <v>413</v>
      </c>
      <c r="H99" s="5" t="s">
        <v>410</v>
      </c>
      <c r="I99" s="5" t="s">
        <v>411</v>
      </c>
      <c r="J99" s="5" t="s">
        <v>389</v>
      </c>
      <c r="K99" s="5" t="s">
        <v>412</v>
      </c>
      <c r="L99" s="5" t="s">
        <v>413</v>
      </c>
      <c r="N99" s="5" t="s">
        <v>410</v>
      </c>
      <c r="O99" s="5" t="s">
        <v>411</v>
      </c>
      <c r="P99" s="5" t="s">
        <v>389</v>
      </c>
      <c r="Q99" s="5" t="s">
        <v>412</v>
      </c>
      <c r="R99" s="5" t="s">
        <v>413</v>
      </c>
      <c r="T99" s="5" t="s">
        <v>410</v>
      </c>
      <c r="U99" s="5" t="s">
        <v>411</v>
      </c>
      <c r="V99" s="5" t="s">
        <v>389</v>
      </c>
      <c r="W99" s="5" t="s">
        <v>412</v>
      </c>
      <c r="X99" s="5" t="s">
        <v>413</v>
      </c>
      <c r="BA99">
        <f>IF(OR(Catalogo!$C99="",Catalogo!$B99="Espacio libre",Catalogo!$B99="Espacio reservado"),0,COUNTIF($C$13:$C$42,Catalogo!$C99)+IF($E$7=Catalogo!$C99,N($K$7),0)+IF($E$8=Catalogo!$C99,N($N$8),0)+IF(Proyecto!$D$12=Catalogo!$C99,$AQ$4,0)+SUMIF($C$49:$C$58,Catalogo!$C99,$K$49:$K$58))</f>
        <v>0</v>
      </c>
    </row>
    <row r="100" spans="2:82" hidden="1" x14ac:dyDescent="0.45">
      <c r="B100" s="6"/>
      <c r="C100" s="9" t="str">
        <f>IF(CA100="","",CA100&amp;"-"&amp;TEXT(COUNTIF($CA$72:$CA$95,CA100)+COUNTIF($CB$72:$CB$95,CA100)+COUNTIF($CC$72:$CC$95,CA100)+COUNTIF($CD$72:$CD$95,CA100)+COUNTIF($CA$100:CA100,CA100),"000"))</f>
        <v/>
      </c>
      <c r="D100" s="9" t="str">
        <f>IF(AND($BN$17&lt;&gt;"",($BM$17+1)&lt;=$BO$17),$BN$17,"")</f>
        <v/>
      </c>
      <c r="E100" s="9" t="str">
        <f>IF(AND($BN$17&lt;&gt;"",($BM$17+1)&lt;=$BO$17),TEXT(($BM$17+1),"00"),"")</f>
        <v/>
      </c>
      <c r="F100" s="9" t="str">
        <f>IF(AND($BN$17&lt;&gt;"",($BM$17+1)&lt;=$BO$17),$BN$17&amp;"-"&amp;TEXT(($BM$17+1),"00"),"")</f>
        <v/>
      </c>
      <c r="H100" s="6"/>
      <c r="I100" s="9" t="str">
        <f>IF(CB100="","",CB100&amp;"-"&amp;TEXT(COUNTIF($CA$72:$CA$95,CB100)+COUNTIF($CB$72:$CB$95,CB100)+COUNTIF($CC$72:$CC$95,CB100)+COUNTIF($CD$72:$CD$95,CB100)+COUNTIF($CA$100:$CA$123,CB100)+COUNTIF($CB$100:CB100,CB100),"000"))</f>
        <v/>
      </c>
      <c r="J100" s="9" t="str">
        <f>IF(AND($BN$18&lt;&gt;"",($BM$18+1)&lt;=$BO$18),$BN$18,"")</f>
        <v/>
      </c>
      <c r="K100" s="9" t="str">
        <f>IF(AND($BN$18&lt;&gt;"",($BM$18+1)&lt;=$BO$18),TEXT(($BM$18+1),"00"),"")</f>
        <v/>
      </c>
      <c r="L100" s="9" t="str">
        <f>IF(AND($BN$18&lt;&gt;"",($BM$18+1)&lt;=$BO$18),$BN$18&amp;"-"&amp;TEXT(($BM$18+1),"00"),"")</f>
        <v/>
      </c>
      <c r="N100" s="6"/>
      <c r="O100" s="9" t="str">
        <f>IF(CC100="","",CC100&amp;"-"&amp;TEXT(COUNTIF($CA$72:$CA$95,CC100)+COUNTIF($CB$72:$CB$95,CC100)+COUNTIF($CC$72:$CC$95,CC100)+COUNTIF($CD$72:$CD$95,CC100)+COUNTIF($CA$100:$CA$123,CC100)+COUNTIF($CB$100:$CB$123,CC100)+COUNTIF($CC$100:CC100,CC100),"000"))</f>
        <v/>
      </c>
      <c r="P100" s="9" t="str">
        <f>IF(AND($BN$19&lt;&gt;"",($BM$19+1)&lt;=$BO$19),$BN$19,"")</f>
        <v/>
      </c>
      <c r="Q100" s="9" t="str">
        <f>IF(AND($BN$19&lt;&gt;"",($BM$19+1)&lt;=$BO$19),TEXT(($BM$19+1),"00"),"")</f>
        <v/>
      </c>
      <c r="R100" s="9" t="str">
        <f>IF(AND($BN$19&lt;&gt;"",($BM$19+1)&lt;=$BO$19),$BN$19&amp;"-"&amp;TEXT(($BM$19+1),"00"),"")</f>
        <v/>
      </c>
      <c r="T100" s="6"/>
      <c r="U100" s="9" t="str">
        <f>IF(CD100="","",CD100&amp;"-"&amp;TEXT(COUNTIF($CA$72:$CA$95,CD100)+COUNTIF($CB$72:$CB$95,CD100)+COUNTIF($CC$72:$CC$95,CD100)+COUNTIF($CD$72:$CD$95,CD100)+COUNTIF($CA$100:$CA$123,CD100)+COUNTIF($CB$100:$CB$123,CD100)+COUNTIF($CC$100:$CC$123,CD100)+COUNTIF($CD$100:CD100,CD100),"000"))</f>
        <v/>
      </c>
      <c r="V100" s="9" t="str">
        <f>IF(AND($BN$20&lt;&gt;"",($BM$20+1)&lt;=$BO$20),$BN$20,"")</f>
        <v/>
      </c>
      <c r="W100" s="9" t="str">
        <f>IF(AND($BN$20&lt;&gt;"",($BM$20+1)&lt;=$BO$20),TEXT(($BM$20+1),"00"),"")</f>
        <v/>
      </c>
      <c r="X100" s="9" t="str">
        <f>IF(AND($BN$20&lt;&gt;"",($BM$20+1)&lt;=$BO$20),$BN$20&amp;"-"&amp;TEXT(($BM$20+1),"00"),"")</f>
        <v/>
      </c>
      <c r="BA100">
        <f>IF(OR(Catalogo!$C100="",Catalogo!$B100="Espacio libre",Catalogo!$B100="Espacio reservado"),0,COUNTIF($C$13:$C$42,Catalogo!$C100)+IF($E$7=Catalogo!$C100,N($K$7),0)+IF($E$8=Catalogo!$C100,N($N$8),0)+IF(Proyecto!$D$12=Catalogo!$C100,$AQ$4,0)+SUMIF($C$49:$C$58,Catalogo!$C100,$K$49:$K$58))</f>
        <v>1</v>
      </c>
      <c r="CA100" t="str" cm="1">
        <f t="array" ref="CA100">IF(NOT(AND($BN$17&lt;&gt;"",($BM$17+1)&lt;=$BO$17)),"",IF(B100&lt;&gt;"",IF(B100="-","",B100),IF(ISNUMBER(SEARCH(":",$BP$17)),IFERROR(_xlfn.LET(_xlpm.s,_xlfn.TEXTSPLIT($BP$17,","),_xlpm.k,FIND(":",_xlpm.s),INDEX(TRIM(LEFT(_xlpm.s,_xlpm.k-1)),_xlfn.XMATCH(($BM$17+1),_xlfn.SCAN(0,--MID(_xlpm.s,_xlpm.k+1,9),_xlfn.LAMBDA(_xlpm.a,_xlpm.v,_xlpm.a+_xlpm.v)),1))),""),IF(($BM$17+1)&lt;=$BQ$17,$BP$17,""))))</f>
        <v/>
      </c>
      <c r="CB100" t="str" cm="1">
        <f t="array" ref="CB100">IF(NOT(AND($BN$18&lt;&gt;"",($BM$18+1)&lt;=$BO$18)),"",IF(H100&lt;&gt;"",IF(H100="-","",H100),IF(ISNUMBER(SEARCH(":",$BP$18)),IFERROR(_xlfn.LET(_xlpm.s,_xlfn.TEXTSPLIT($BP$18,","),_xlpm.k,FIND(":",_xlpm.s),INDEX(TRIM(LEFT(_xlpm.s,_xlpm.k-1)),_xlfn.XMATCH(($BM$18+1),_xlfn.SCAN(0,--MID(_xlpm.s,_xlpm.k+1,9),_xlfn.LAMBDA(_xlpm.a,_xlpm.v,_xlpm.a+_xlpm.v)),1))),""),IF(($BM$18+1)&lt;=$BQ$18,$BP$18,""))))</f>
        <v/>
      </c>
      <c r="CC100" t="str" cm="1">
        <f t="array" ref="CC100">IF(NOT(AND($BN$19&lt;&gt;"",($BM$19+1)&lt;=$BO$19)),"",IF(N100&lt;&gt;"",IF(N100="-","",N100),IF(ISNUMBER(SEARCH(":",$BP$19)),IFERROR(_xlfn.LET(_xlpm.s,_xlfn.TEXTSPLIT($BP$19,","),_xlpm.k,FIND(":",_xlpm.s),INDEX(TRIM(LEFT(_xlpm.s,_xlpm.k-1)),_xlfn.XMATCH(($BM$19+1),_xlfn.SCAN(0,--MID(_xlpm.s,_xlpm.k+1,9),_xlfn.LAMBDA(_xlpm.a,_xlpm.v,_xlpm.a+_xlpm.v)),1))),""),IF(($BM$19+1)&lt;=$BQ$19,$BP$19,""))))</f>
        <v/>
      </c>
      <c r="CD100" t="str" cm="1">
        <f t="array" ref="CD100">IF(NOT(AND($BN$20&lt;&gt;"",($BM$20+1)&lt;=$BO$20)),"",IF(T100&lt;&gt;"",IF(T100="-","",T100),IF(ISNUMBER(SEARCH(":",$BP$20)),IFERROR(_xlfn.LET(_xlpm.s,_xlfn.TEXTSPLIT($BP$20,","),_xlpm.k,FIND(":",_xlpm.s),INDEX(TRIM(LEFT(_xlpm.s,_xlpm.k-1)),_xlfn.XMATCH(($BM$20+1),_xlfn.SCAN(0,--MID(_xlpm.s,_xlpm.k+1,9),_xlfn.LAMBDA(_xlpm.a,_xlpm.v,_xlpm.a+_xlpm.v)),1))),""),IF(($BM$20+1)&lt;=$BQ$20,$BP$20,""))))</f>
        <v/>
      </c>
    </row>
    <row r="101" spans="2:82" hidden="1" x14ac:dyDescent="0.45">
      <c r="B101" s="6"/>
      <c r="C101" s="9" t="str">
        <f>IF(CA101="","",CA101&amp;"-"&amp;TEXT(COUNTIF($CA$72:$CA$95,CA101)+COUNTIF($CB$72:$CB$95,CA101)+COUNTIF($CC$72:$CC$95,CA101)+COUNTIF($CD$72:$CD$95,CA101)+COUNTIF($CA$100:CA101,CA101),"000"))</f>
        <v/>
      </c>
      <c r="D101" s="9" t="str">
        <f>IF(AND($BN$17&lt;&gt;"",($BM$17+2)&lt;=$BO$17),$BN$17,"")</f>
        <v/>
      </c>
      <c r="E101" s="9" t="str">
        <f>IF(AND($BN$17&lt;&gt;"",($BM$17+2)&lt;=$BO$17),TEXT(($BM$17+2),"00"),"")</f>
        <v/>
      </c>
      <c r="F101" s="9" t="str">
        <f>IF(AND($BN$17&lt;&gt;"",($BM$17+2)&lt;=$BO$17),$BN$17&amp;"-"&amp;TEXT(($BM$17+2),"00"),"")</f>
        <v/>
      </c>
      <c r="H101" s="6"/>
      <c r="I101" s="9" t="str">
        <f>IF(CB101="","",CB101&amp;"-"&amp;TEXT(COUNTIF($CA$72:$CA$95,CB101)+COUNTIF($CB$72:$CB$95,CB101)+COUNTIF($CC$72:$CC$95,CB101)+COUNTIF($CD$72:$CD$95,CB101)+COUNTIF($CA$100:$CA$123,CB101)+COUNTIF($CB$100:CB101,CB101),"000"))</f>
        <v/>
      </c>
      <c r="J101" s="9" t="str">
        <f>IF(AND($BN$18&lt;&gt;"",($BM$18+2)&lt;=$BO$18),$BN$18,"")</f>
        <v/>
      </c>
      <c r="K101" s="9" t="str">
        <f>IF(AND($BN$18&lt;&gt;"",($BM$18+2)&lt;=$BO$18),TEXT(($BM$18+2),"00"),"")</f>
        <v/>
      </c>
      <c r="L101" s="9" t="str">
        <f>IF(AND($BN$18&lt;&gt;"",($BM$18+2)&lt;=$BO$18),$BN$18&amp;"-"&amp;TEXT(($BM$18+2),"00"),"")</f>
        <v/>
      </c>
      <c r="N101" s="6"/>
      <c r="O101" s="9" t="str">
        <f>IF(CC101="","",CC101&amp;"-"&amp;TEXT(COUNTIF($CA$72:$CA$95,CC101)+COUNTIF($CB$72:$CB$95,CC101)+COUNTIF($CC$72:$CC$95,CC101)+COUNTIF($CD$72:$CD$95,CC101)+COUNTIF($CA$100:$CA$123,CC101)+COUNTIF($CB$100:$CB$123,CC101)+COUNTIF($CC$100:CC101,CC101),"000"))</f>
        <v/>
      </c>
      <c r="P101" s="9" t="str">
        <f>IF(AND($BN$19&lt;&gt;"",($BM$19+2)&lt;=$BO$19),$BN$19,"")</f>
        <v/>
      </c>
      <c r="Q101" s="9" t="str">
        <f>IF(AND($BN$19&lt;&gt;"",($BM$19+2)&lt;=$BO$19),TEXT(($BM$19+2),"00"),"")</f>
        <v/>
      </c>
      <c r="R101" s="9" t="str">
        <f>IF(AND($BN$19&lt;&gt;"",($BM$19+2)&lt;=$BO$19),$BN$19&amp;"-"&amp;TEXT(($BM$19+2),"00"),"")</f>
        <v/>
      </c>
      <c r="T101" s="6"/>
      <c r="U101" s="9" t="str">
        <f>IF(CD101="","",CD101&amp;"-"&amp;TEXT(COUNTIF($CA$72:$CA$95,CD101)+COUNTIF($CB$72:$CB$95,CD101)+COUNTIF($CC$72:$CC$95,CD101)+COUNTIF($CD$72:$CD$95,CD101)+COUNTIF($CA$100:$CA$123,CD101)+COUNTIF($CB$100:$CB$123,CD101)+COUNTIF($CC$100:$CC$123,CD101)+COUNTIF($CD$100:CD101,CD101),"000"))</f>
        <v/>
      </c>
      <c r="V101" s="9" t="str">
        <f>IF(AND($BN$20&lt;&gt;"",($BM$20+2)&lt;=$BO$20),$BN$20,"")</f>
        <v/>
      </c>
      <c r="W101" s="9" t="str">
        <f>IF(AND($BN$20&lt;&gt;"",($BM$20+2)&lt;=$BO$20),TEXT(($BM$20+2),"00"),"")</f>
        <v/>
      </c>
      <c r="X101" s="9" t="str">
        <f>IF(AND($BN$20&lt;&gt;"",($BM$20+2)&lt;=$BO$20),$BN$20&amp;"-"&amp;TEXT(($BM$20+2),"00"),"")</f>
        <v/>
      </c>
      <c r="BA101">
        <f>IF(OR(Catalogo!$C101="",Catalogo!$B101="Espacio libre",Catalogo!$B101="Espacio reservado"),0,COUNTIF($C$13:$C$42,Catalogo!$C101)+IF($E$7=Catalogo!$C101,N($K$7),0)+IF($E$8=Catalogo!$C101,N($N$8),0)+IF(Proyecto!$D$12=Catalogo!$C101,$AQ$4,0)+SUMIF($C$49:$C$58,Catalogo!$C101,$K$49:$K$58))</f>
        <v>2</v>
      </c>
      <c r="CA101" t="str" cm="1">
        <f t="array" ref="CA101">IF(NOT(AND($BN$17&lt;&gt;"",($BM$17+2)&lt;=$BO$17)),"",IF(B101&lt;&gt;"",IF(B101="-","",B101),IF(ISNUMBER(SEARCH(":",$BP$17)),IFERROR(_xlfn.LET(_xlpm.s,_xlfn.TEXTSPLIT($BP$17,","),_xlpm.k,FIND(":",_xlpm.s),INDEX(TRIM(LEFT(_xlpm.s,_xlpm.k-1)),_xlfn.XMATCH(($BM$17+2),_xlfn.SCAN(0,--MID(_xlpm.s,_xlpm.k+1,9),_xlfn.LAMBDA(_xlpm.a,_xlpm.v,_xlpm.a+_xlpm.v)),1))),""),IF(($BM$17+2)&lt;=$BQ$17,$BP$17,""))))</f>
        <v/>
      </c>
      <c r="CB101" t="str" cm="1">
        <f t="array" ref="CB101">IF(NOT(AND($BN$18&lt;&gt;"",($BM$18+2)&lt;=$BO$18)),"",IF(H101&lt;&gt;"",IF(H101="-","",H101),IF(ISNUMBER(SEARCH(":",$BP$18)),IFERROR(_xlfn.LET(_xlpm.s,_xlfn.TEXTSPLIT($BP$18,","),_xlpm.k,FIND(":",_xlpm.s),INDEX(TRIM(LEFT(_xlpm.s,_xlpm.k-1)),_xlfn.XMATCH(($BM$18+2),_xlfn.SCAN(0,--MID(_xlpm.s,_xlpm.k+1,9),_xlfn.LAMBDA(_xlpm.a,_xlpm.v,_xlpm.a+_xlpm.v)),1))),""),IF(($BM$18+2)&lt;=$BQ$18,$BP$18,""))))</f>
        <v/>
      </c>
      <c r="CC101" t="str" cm="1">
        <f t="array" ref="CC101">IF(NOT(AND($BN$19&lt;&gt;"",($BM$19+2)&lt;=$BO$19)),"",IF(N101&lt;&gt;"",IF(N101="-","",N101),IF(ISNUMBER(SEARCH(":",$BP$19)),IFERROR(_xlfn.LET(_xlpm.s,_xlfn.TEXTSPLIT($BP$19,","),_xlpm.k,FIND(":",_xlpm.s),INDEX(TRIM(LEFT(_xlpm.s,_xlpm.k-1)),_xlfn.XMATCH(($BM$19+2),_xlfn.SCAN(0,--MID(_xlpm.s,_xlpm.k+1,9),_xlfn.LAMBDA(_xlpm.a,_xlpm.v,_xlpm.a+_xlpm.v)),1))),""),IF(($BM$19+2)&lt;=$BQ$19,$BP$19,""))))</f>
        <v/>
      </c>
      <c r="CD101" t="str" cm="1">
        <f t="array" ref="CD101">IF(NOT(AND($BN$20&lt;&gt;"",($BM$20+2)&lt;=$BO$20)),"",IF(T101&lt;&gt;"",IF(T101="-","",T101),IF(ISNUMBER(SEARCH(":",$BP$20)),IFERROR(_xlfn.LET(_xlpm.s,_xlfn.TEXTSPLIT($BP$20,","),_xlpm.k,FIND(":",_xlpm.s),INDEX(TRIM(LEFT(_xlpm.s,_xlpm.k-1)),_xlfn.XMATCH(($BM$20+2),_xlfn.SCAN(0,--MID(_xlpm.s,_xlpm.k+1,9),_xlfn.LAMBDA(_xlpm.a,_xlpm.v,_xlpm.a+_xlpm.v)),1))),""),IF(($BM$20+2)&lt;=$BQ$20,$BP$20,""))))</f>
        <v/>
      </c>
    </row>
    <row r="102" spans="2:82" hidden="1" x14ac:dyDescent="0.45">
      <c r="B102" s="6"/>
      <c r="C102" s="9" t="str">
        <f>IF(CA102="","",CA102&amp;"-"&amp;TEXT(COUNTIF($CA$72:$CA$95,CA102)+COUNTIF($CB$72:$CB$95,CA102)+COUNTIF($CC$72:$CC$95,CA102)+COUNTIF($CD$72:$CD$95,CA102)+COUNTIF($CA$100:CA102,CA102),"000"))</f>
        <v/>
      </c>
      <c r="D102" s="9" t="str">
        <f>IF(AND($BN$17&lt;&gt;"",($BM$17+3)&lt;=$BO$17),$BN$17,"")</f>
        <v/>
      </c>
      <c r="E102" s="9" t="str">
        <f>IF(AND($BN$17&lt;&gt;"",($BM$17+3)&lt;=$BO$17),TEXT(($BM$17+3),"00"),"")</f>
        <v/>
      </c>
      <c r="F102" s="9" t="str">
        <f>IF(AND($BN$17&lt;&gt;"",($BM$17+3)&lt;=$BO$17),$BN$17&amp;"-"&amp;TEXT(($BM$17+3),"00"),"")</f>
        <v/>
      </c>
      <c r="H102" s="6"/>
      <c r="I102" s="9" t="str">
        <f>IF(CB102="","",CB102&amp;"-"&amp;TEXT(COUNTIF($CA$72:$CA$95,CB102)+COUNTIF($CB$72:$CB$95,CB102)+COUNTIF($CC$72:$CC$95,CB102)+COUNTIF($CD$72:$CD$95,CB102)+COUNTIF($CA$100:$CA$123,CB102)+COUNTIF($CB$100:CB102,CB102),"000"))</f>
        <v/>
      </c>
      <c r="J102" s="9" t="str">
        <f>IF(AND($BN$18&lt;&gt;"",($BM$18+3)&lt;=$BO$18),$BN$18,"")</f>
        <v/>
      </c>
      <c r="K102" s="9" t="str">
        <f>IF(AND($BN$18&lt;&gt;"",($BM$18+3)&lt;=$BO$18),TEXT(($BM$18+3),"00"),"")</f>
        <v/>
      </c>
      <c r="L102" s="9" t="str">
        <f>IF(AND($BN$18&lt;&gt;"",($BM$18+3)&lt;=$BO$18),$BN$18&amp;"-"&amp;TEXT(($BM$18+3),"00"),"")</f>
        <v/>
      </c>
      <c r="N102" s="6"/>
      <c r="O102" s="9" t="str">
        <f>IF(CC102="","",CC102&amp;"-"&amp;TEXT(COUNTIF($CA$72:$CA$95,CC102)+COUNTIF($CB$72:$CB$95,CC102)+COUNTIF($CC$72:$CC$95,CC102)+COUNTIF($CD$72:$CD$95,CC102)+COUNTIF($CA$100:$CA$123,CC102)+COUNTIF($CB$100:$CB$123,CC102)+COUNTIF($CC$100:CC102,CC102),"000"))</f>
        <v/>
      </c>
      <c r="P102" s="9" t="str">
        <f>IF(AND($BN$19&lt;&gt;"",($BM$19+3)&lt;=$BO$19),$BN$19,"")</f>
        <v/>
      </c>
      <c r="Q102" s="9" t="str">
        <f>IF(AND($BN$19&lt;&gt;"",($BM$19+3)&lt;=$BO$19),TEXT(($BM$19+3),"00"),"")</f>
        <v/>
      </c>
      <c r="R102" s="9" t="str">
        <f>IF(AND($BN$19&lt;&gt;"",($BM$19+3)&lt;=$BO$19),$BN$19&amp;"-"&amp;TEXT(($BM$19+3),"00"),"")</f>
        <v/>
      </c>
      <c r="T102" s="6"/>
      <c r="U102" s="9" t="str">
        <f>IF(CD102="","",CD102&amp;"-"&amp;TEXT(COUNTIF($CA$72:$CA$95,CD102)+COUNTIF($CB$72:$CB$95,CD102)+COUNTIF($CC$72:$CC$95,CD102)+COUNTIF($CD$72:$CD$95,CD102)+COUNTIF($CA$100:$CA$123,CD102)+COUNTIF($CB$100:$CB$123,CD102)+COUNTIF($CC$100:$CC$123,CD102)+COUNTIF($CD$100:CD102,CD102),"000"))</f>
        <v/>
      </c>
      <c r="V102" s="9" t="str">
        <f>IF(AND($BN$20&lt;&gt;"",($BM$20+3)&lt;=$BO$20),$BN$20,"")</f>
        <v/>
      </c>
      <c r="W102" s="9" t="str">
        <f>IF(AND($BN$20&lt;&gt;"",($BM$20+3)&lt;=$BO$20),TEXT(($BM$20+3),"00"),"")</f>
        <v/>
      </c>
      <c r="X102" s="9" t="str">
        <f>IF(AND($BN$20&lt;&gt;"",($BM$20+3)&lt;=$BO$20),$BN$20&amp;"-"&amp;TEXT(($BM$20+3),"00"),"")</f>
        <v/>
      </c>
      <c r="BA102">
        <f>IF(OR(Catalogo!$C102="",Catalogo!$B102="Espacio libre",Catalogo!$B102="Espacio reservado"),0,COUNTIF($C$13:$C$42,Catalogo!$C102)+IF($E$7=Catalogo!$C102,N($K$7),0)+IF($E$8=Catalogo!$C102,N($N$8),0)+IF(Proyecto!$D$12=Catalogo!$C102,$AQ$4,0)+SUMIF($C$49:$C$58,Catalogo!$C102,$K$49:$K$58))</f>
        <v>0</v>
      </c>
      <c r="CA102" t="str" cm="1">
        <f t="array" ref="CA102">IF(NOT(AND($BN$17&lt;&gt;"",($BM$17+3)&lt;=$BO$17)),"",IF(B102&lt;&gt;"",IF(B102="-","",B102),IF(ISNUMBER(SEARCH(":",$BP$17)),IFERROR(_xlfn.LET(_xlpm.s,_xlfn.TEXTSPLIT($BP$17,","),_xlpm.k,FIND(":",_xlpm.s),INDEX(TRIM(LEFT(_xlpm.s,_xlpm.k-1)),_xlfn.XMATCH(($BM$17+3),_xlfn.SCAN(0,--MID(_xlpm.s,_xlpm.k+1,9),_xlfn.LAMBDA(_xlpm.a,_xlpm.v,_xlpm.a+_xlpm.v)),1))),""),IF(($BM$17+3)&lt;=$BQ$17,$BP$17,""))))</f>
        <v/>
      </c>
      <c r="CB102" t="str" cm="1">
        <f t="array" ref="CB102">IF(NOT(AND($BN$18&lt;&gt;"",($BM$18+3)&lt;=$BO$18)),"",IF(H102&lt;&gt;"",IF(H102="-","",H102),IF(ISNUMBER(SEARCH(":",$BP$18)),IFERROR(_xlfn.LET(_xlpm.s,_xlfn.TEXTSPLIT($BP$18,","),_xlpm.k,FIND(":",_xlpm.s),INDEX(TRIM(LEFT(_xlpm.s,_xlpm.k-1)),_xlfn.XMATCH(($BM$18+3),_xlfn.SCAN(0,--MID(_xlpm.s,_xlpm.k+1,9),_xlfn.LAMBDA(_xlpm.a,_xlpm.v,_xlpm.a+_xlpm.v)),1))),""),IF(($BM$18+3)&lt;=$BQ$18,$BP$18,""))))</f>
        <v/>
      </c>
      <c r="CC102" t="str" cm="1">
        <f t="array" ref="CC102">IF(NOT(AND($BN$19&lt;&gt;"",($BM$19+3)&lt;=$BO$19)),"",IF(N102&lt;&gt;"",IF(N102="-","",N102),IF(ISNUMBER(SEARCH(":",$BP$19)),IFERROR(_xlfn.LET(_xlpm.s,_xlfn.TEXTSPLIT($BP$19,","),_xlpm.k,FIND(":",_xlpm.s),INDEX(TRIM(LEFT(_xlpm.s,_xlpm.k-1)),_xlfn.XMATCH(($BM$19+3),_xlfn.SCAN(0,--MID(_xlpm.s,_xlpm.k+1,9),_xlfn.LAMBDA(_xlpm.a,_xlpm.v,_xlpm.a+_xlpm.v)),1))),""),IF(($BM$19+3)&lt;=$BQ$19,$BP$19,""))))</f>
        <v/>
      </c>
      <c r="CD102" t="str" cm="1">
        <f t="array" ref="CD102">IF(NOT(AND($BN$20&lt;&gt;"",($BM$20+3)&lt;=$BO$20)),"",IF(T102&lt;&gt;"",IF(T102="-","",T102),IF(ISNUMBER(SEARCH(":",$BP$20)),IFERROR(_xlfn.LET(_xlpm.s,_xlfn.TEXTSPLIT($BP$20,","),_xlpm.k,FIND(":",_xlpm.s),INDEX(TRIM(LEFT(_xlpm.s,_xlpm.k-1)),_xlfn.XMATCH(($BM$20+3),_xlfn.SCAN(0,--MID(_xlpm.s,_xlpm.k+1,9),_xlfn.LAMBDA(_xlpm.a,_xlpm.v,_xlpm.a+_xlpm.v)),1))),""),IF(($BM$20+3)&lt;=$BQ$20,$BP$20,""))))</f>
        <v/>
      </c>
    </row>
    <row r="103" spans="2:82" hidden="1" x14ac:dyDescent="0.45">
      <c r="B103" s="6"/>
      <c r="C103" s="9" t="str">
        <f>IF(CA103="","",CA103&amp;"-"&amp;TEXT(COUNTIF($CA$72:$CA$95,CA103)+COUNTIF($CB$72:$CB$95,CA103)+COUNTIF($CC$72:$CC$95,CA103)+COUNTIF($CD$72:$CD$95,CA103)+COUNTIF($CA$100:CA103,CA103),"000"))</f>
        <v/>
      </c>
      <c r="D103" s="9" t="str">
        <f>IF(AND($BN$17&lt;&gt;"",($BM$17+4)&lt;=$BO$17),$BN$17,"")</f>
        <v/>
      </c>
      <c r="E103" s="9" t="str">
        <f>IF(AND($BN$17&lt;&gt;"",($BM$17+4)&lt;=$BO$17),TEXT(($BM$17+4),"00"),"")</f>
        <v/>
      </c>
      <c r="F103" s="9" t="str">
        <f>IF(AND($BN$17&lt;&gt;"",($BM$17+4)&lt;=$BO$17),$BN$17&amp;"-"&amp;TEXT(($BM$17+4),"00"),"")</f>
        <v/>
      </c>
      <c r="H103" s="6"/>
      <c r="I103" s="9" t="str">
        <f>IF(CB103="","",CB103&amp;"-"&amp;TEXT(COUNTIF($CA$72:$CA$95,CB103)+COUNTIF($CB$72:$CB$95,CB103)+COUNTIF($CC$72:$CC$95,CB103)+COUNTIF($CD$72:$CD$95,CB103)+COUNTIF($CA$100:$CA$123,CB103)+COUNTIF($CB$100:CB103,CB103),"000"))</f>
        <v/>
      </c>
      <c r="J103" s="9" t="str">
        <f>IF(AND($BN$18&lt;&gt;"",($BM$18+4)&lt;=$BO$18),$BN$18,"")</f>
        <v/>
      </c>
      <c r="K103" s="9" t="str">
        <f>IF(AND($BN$18&lt;&gt;"",($BM$18+4)&lt;=$BO$18),TEXT(($BM$18+4),"00"),"")</f>
        <v/>
      </c>
      <c r="L103" s="9" t="str">
        <f>IF(AND($BN$18&lt;&gt;"",($BM$18+4)&lt;=$BO$18),$BN$18&amp;"-"&amp;TEXT(($BM$18+4),"00"),"")</f>
        <v/>
      </c>
      <c r="N103" s="6"/>
      <c r="O103" s="9" t="str">
        <f>IF(CC103="","",CC103&amp;"-"&amp;TEXT(COUNTIF($CA$72:$CA$95,CC103)+COUNTIF($CB$72:$CB$95,CC103)+COUNTIF($CC$72:$CC$95,CC103)+COUNTIF($CD$72:$CD$95,CC103)+COUNTIF($CA$100:$CA$123,CC103)+COUNTIF($CB$100:$CB$123,CC103)+COUNTIF($CC$100:CC103,CC103),"000"))</f>
        <v/>
      </c>
      <c r="P103" s="9" t="str">
        <f>IF(AND($BN$19&lt;&gt;"",($BM$19+4)&lt;=$BO$19),$BN$19,"")</f>
        <v/>
      </c>
      <c r="Q103" s="9" t="str">
        <f>IF(AND($BN$19&lt;&gt;"",($BM$19+4)&lt;=$BO$19),TEXT(($BM$19+4),"00"),"")</f>
        <v/>
      </c>
      <c r="R103" s="9" t="str">
        <f>IF(AND($BN$19&lt;&gt;"",($BM$19+4)&lt;=$BO$19),$BN$19&amp;"-"&amp;TEXT(($BM$19+4),"00"),"")</f>
        <v/>
      </c>
      <c r="T103" s="6"/>
      <c r="U103" s="9" t="str">
        <f>IF(CD103="","",CD103&amp;"-"&amp;TEXT(COUNTIF($CA$72:$CA$95,CD103)+COUNTIF($CB$72:$CB$95,CD103)+COUNTIF($CC$72:$CC$95,CD103)+COUNTIF($CD$72:$CD$95,CD103)+COUNTIF($CA$100:$CA$123,CD103)+COUNTIF($CB$100:$CB$123,CD103)+COUNTIF($CC$100:$CC$123,CD103)+COUNTIF($CD$100:CD103,CD103),"000"))</f>
        <v/>
      </c>
      <c r="V103" s="9" t="str">
        <f>IF(AND($BN$20&lt;&gt;"",($BM$20+4)&lt;=$BO$20),$BN$20,"")</f>
        <v/>
      </c>
      <c r="W103" s="9" t="str">
        <f>IF(AND($BN$20&lt;&gt;"",($BM$20+4)&lt;=$BO$20),TEXT(($BM$20+4),"00"),"")</f>
        <v/>
      </c>
      <c r="X103" s="9" t="str">
        <f>IF(AND($BN$20&lt;&gt;"",($BM$20+4)&lt;=$BO$20),$BN$20&amp;"-"&amp;TEXT(($BM$20+4),"00"),"")</f>
        <v/>
      </c>
      <c r="BA103">
        <f>IF(OR(Catalogo!$C103="",Catalogo!$B103="Espacio libre",Catalogo!$B103="Espacio reservado"),0,COUNTIF($C$13:$C$42,Catalogo!$C103)+IF($E$7=Catalogo!$C103,N($K$7),0)+IF($E$8=Catalogo!$C103,N($N$8),0)+IF(Proyecto!$D$12=Catalogo!$C103,$AQ$4,0)+SUMIF($C$49:$C$58,Catalogo!$C103,$K$49:$K$58))</f>
        <v>0</v>
      </c>
      <c r="CA103" t="str" cm="1">
        <f t="array" ref="CA103">IF(NOT(AND($BN$17&lt;&gt;"",($BM$17+4)&lt;=$BO$17)),"",IF(B103&lt;&gt;"",IF(B103="-","",B103),IF(ISNUMBER(SEARCH(":",$BP$17)),IFERROR(_xlfn.LET(_xlpm.s,_xlfn.TEXTSPLIT($BP$17,","),_xlpm.k,FIND(":",_xlpm.s),INDEX(TRIM(LEFT(_xlpm.s,_xlpm.k-1)),_xlfn.XMATCH(($BM$17+4),_xlfn.SCAN(0,--MID(_xlpm.s,_xlpm.k+1,9),_xlfn.LAMBDA(_xlpm.a,_xlpm.v,_xlpm.a+_xlpm.v)),1))),""),IF(($BM$17+4)&lt;=$BQ$17,$BP$17,""))))</f>
        <v/>
      </c>
      <c r="CB103" t="str" cm="1">
        <f t="array" ref="CB103">IF(NOT(AND($BN$18&lt;&gt;"",($BM$18+4)&lt;=$BO$18)),"",IF(H103&lt;&gt;"",IF(H103="-","",H103),IF(ISNUMBER(SEARCH(":",$BP$18)),IFERROR(_xlfn.LET(_xlpm.s,_xlfn.TEXTSPLIT($BP$18,","),_xlpm.k,FIND(":",_xlpm.s),INDEX(TRIM(LEFT(_xlpm.s,_xlpm.k-1)),_xlfn.XMATCH(($BM$18+4),_xlfn.SCAN(0,--MID(_xlpm.s,_xlpm.k+1,9),_xlfn.LAMBDA(_xlpm.a,_xlpm.v,_xlpm.a+_xlpm.v)),1))),""),IF(($BM$18+4)&lt;=$BQ$18,$BP$18,""))))</f>
        <v/>
      </c>
      <c r="CC103" t="str" cm="1">
        <f t="array" ref="CC103">IF(NOT(AND($BN$19&lt;&gt;"",($BM$19+4)&lt;=$BO$19)),"",IF(N103&lt;&gt;"",IF(N103="-","",N103),IF(ISNUMBER(SEARCH(":",$BP$19)),IFERROR(_xlfn.LET(_xlpm.s,_xlfn.TEXTSPLIT($BP$19,","),_xlpm.k,FIND(":",_xlpm.s),INDEX(TRIM(LEFT(_xlpm.s,_xlpm.k-1)),_xlfn.XMATCH(($BM$19+4),_xlfn.SCAN(0,--MID(_xlpm.s,_xlpm.k+1,9),_xlfn.LAMBDA(_xlpm.a,_xlpm.v,_xlpm.a+_xlpm.v)),1))),""),IF(($BM$19+4)&lt;=$BQ$19,$BP$19,""))))</f>
        <v/>
      </c>
      <c r="CD103" t="str" cm="1">
        <f t="array" ref="CD103">IF(NOT(AND($BN$20&lt;&gt;"",($BM$20+4)&lt;=$BO$20)),"",IF(T103&lt;&gt;"",IF(T103="-","",T103),IF(ISNUMBER(SEARCH(":",$BP$20)),IFERROR(_xlfn.LET(_xlpm.s,_xlfn.TEXTSPLIT($BP$20,","),_xlpm.k,FIND(":",_xlpm.s),INDEX(TRIM(LEFT(_xlpm.s,_xlpm.k-1)),_xlfn.XMATCH(($BM$20+4),_xlfn.SCAN(0,--MID(_xlpm.s,_xlpm.k+1,9),_xlfn.LAMBDA(_xlpm.a,_xlpm.v,_xlpm.a+_xlpm.v)),1))),""),IF(($BM$20+4)&lt;=$BQ$20,$BP$20,""))))</f>
        <v/>
      </c>
    </row>
    <row r="104" spans="2:82" hidden="1" x14ac:dyDescent="0.45">
      <c r="B104" s="6"/>
      <c r="C104" s="9" t="str">
        <f>IF(CA104="","",CA104&amp;"-"&amp;TEXT(COUNTIF($CA$72:$CA$95,CA104)+COUNTIF($CB$72:$CB$95,CA104)+COUNTIF($CC$72:$CC$95,CA104)+COUNTIF($CD$72:$CD$95,CA104)+COUNTIF($CA$100:CA104,CA104),"000"))</f>
        <v/>
      </c>
      <c r="D104" s="9" t="str">
        <f>IF(AND($BN$17&lt;&gt;"",($BM$17+5)&lt;=$BO$17),$BN$17,"")</f>
        <v/>
      </c>
      <c r="E104" s="9" t="str">
        <f>IF(AND($BN$17&lt;&gt;"",($BM$17+5)&lt;=$BO$17),TEXT(($BM$17+5),"00"),"")</f>
        <v/>
      </c>
      <c r="F104" s="9" t="str">
        <f>IF(AND($BN$17&lt;&gt;"",($BM$17+5)&lt;=$BO$17),$BN$17&amp;"-"&amp;TEXT(($BM$17+5),"00"),"")</f>
        <v/>
      </c>
      <c r="H104" s="6"/>
      <c r="I104" s="9" t="str">
        <f>IF(CB104="","",CB104&amp;"-"&amp;TEXT(COUNTIF($CA$72:$CA$95,CB104)+COUNTIF($CB$72:$CB$95,CB104)+COUNTIF($CC$72:$CC$95,CB104)+COUNTIF($CD$72:$CD$95,CB104)+COUNTIF($CA$100:$CA$123,CB104)+COUNTIF($CB$100:CB104,CB104),"000"))</f>
        <v/>
      </c>
      <c r="J104" s="9" t="str">
        <f>IF(AND($BN$18&lt;&gt;"",($BM$18+5)&lt;=$BO$18),$BN$18,"")</f>
        <v/>
      </c>
      <c r="K104" s="9" t="str">
        <f>IF(AND($BN$18&lt;&gt;"",($BM$18+5)&lt;=$BO$18),TEXT(($BM$18+5),"00"),"")</f>
        <v/>
      </c>
      <c r="L104" s="9" t="str">
        <f>IF(AND($BN$18&lt;&gt;"",($BM$18+5)&lt;=$BO$18),$BN$18&amp;"-"&amp;TEXT(($BM$18+5),"00"),"")</f>
        <v/>
      </c>
      <c r="N104" s="6"/>
      <c r="O104" s="9" t="str">
        <f>IF(CC104="","",CC104&amp;"-"&amp;TEXT(COUNTIF($CA$72:$CA$95,CC104)+COUNTIF($CB$72:$CB$95,CC104)+COUNTIF($CC$72:$CC$95,CC104)+COUNTIF($CD$72:$CD$95,CC104)+COUNTIF($CA$100:$CA$123,CC104)+COUNTIF($CB$100:$CB$123,CC104)+COUNTIF($CC$100:CC104,CC104),"000"))</f>
        <v/>
      </c>
      <c r="P104" s="9" t="str">
        <f>IF(AND($BN$19&lt;&gt;"",($BM$19+5)&lt;=$BO$19),$BN$19,"")</f>
        <v/>
      </c>
      <c r="Q104" s="9" t="str">
        <f>IF(AND($BN$19&lt;&gt;"",($BM$19+5)&lt;=$BO$19),TEXT(($BM$19+5),"00"),"")</f>
        <v/>
      </c>
      <c r="R104" s="9" t="str">
        <f>IF(AND($BN$19&lt;&gt;"",($BM$19+5)&lt;=$BO$19),$BN$19&amp;"-"&amp;TEXT(($BM$19+5),"00"),"")</f>
        <v/>
      </c>
      <c r="T104" s="6"/>
      <c r="U104" s="9" t="str">
        <f>IF(CD104="","",CD104&amp;"-"&amp;TEXT(COUNTIF($CA$72:$CA$95,CD104)+COUNTIF($CB$72:$CB$95,CD104)+COUNTIF($CC$72:$CC$95,CD104)+COUNTIF($CD$72:$CD$95,CD104)+COUNTIF($CA$100:$CA$123,CD104)+COUNTIF($CB$100:$CB$123,CD104)+COUNTIF($CC$100:$CC$123,CD104)+COUNTIF($CD$100:CD104,CD104),"000"))</f>
        <v/>
      </c>
      <c r="V104" s="9" t="str">
        <f>IF(AND($BN$20&lt;&gt;"",($BM$20+5)&lt;=$BO$20),$BN$20,"")</f>
        <v/>
      </c>
      <c r="W104" s="9" t="str">
        <f>IF(AND($BN$20&lt;&gt;"",($BM$20+5)&lt;=$BO$20),TEXT(($BM$20+5),"00"),"")</f>
        <v/>
      </c>
      <c r="X104" s="9" t="str">
        <f>IF(AND($BN$20&lt;&gt;"",($BM$20+5)&lt;=$BO$20),$BN$20&amp;"-"&amp;TEXT(($BM$20+5),"00"),"")</f>
        <v/>
      </c>
      <c r="BA104">
        <f>IF(OR(Catalogo!$C104="",Catalogo!$B104="Espacio libre",Catalogo!$B104="Espacio reservado"),0,COUNTIF($C$13:$C$42,Catalogo!$C104)+IF($E$7=Catalogo!$C104,N($K$7),0)+IF($E$8=Catalogo!$C104,N($N$8),0)+IF(Proyecto!$D$12=Catalogo!$C104,$AQ$4,0)+SUMIF($C$49:$C$58,Catalogo!$C104,$K$49:$K$58))</f>
        <v>0</v>
      </c>
      <c r="CA104" t="str" cm="1">
        <f t="array" ref="CA104">IF(NOT(AND($BN$17&lt;&gt;"",($BM$17+5)&lt;=$BO$17)),"",IF(B104&lt;&gt;"",IF(B104="-","",B104),IF(ISNUMBER(SEARCH(":",$BP$17)),IFERROR(_xlfn.LET(_xlpm.s,_xlfn.TEXTSPLIT($BP$17,","),_xlpm.k,FIND(":",_xlpm.s),INDEX(TRIM(LEFT(_xlpm.s,_xlpm.k-1)),_xlfn.XMATCH(($BM$17+5),_xlfn.SCAN(0,--MID(_xlpm.s,_xlpm.k+1,9),_xlfn.LAMBDA(_xlpm.a,_xlpm.v,_xlpm.a+_xlpm.v)),1))),""),IF(($BM$17+5)&lt;=$BQ$17,$BP$17,""))))</f>
        <v/>
      </c>
      <c r="CB104" t="str" cm="1">
        <f t="array" ref="CB104">IF(NOT(AND($BN$18&lt;&gt;"",($BM$18+5)&lt;=$BO$18)),"",IF(H104&lt;&gt;"",IF(H104="-","",H104),IF(ISNUMBER(SEARCH(":",$BP$18)),IFERROR(_xlfn.LET(_xlpm.s,_xlfn.TEXTSPLIT($BP$18,","),_xlpm.k,FIND(":",_xlpm.s),INDEX(TRIM(LEFT(_xlpm.s,_xlpm.k-1)),_xlfn.XMATCH(($BM$18+5),_xlfn.SCAN(0,--MID(_xlpm.s,_xlpm.k+1,9),_xlfn.LAMBDA(_xlpm.a,_xlpm.v,_xlpm.a+_xlpm.v)),1))),""),IF(($BM$18+5)&lt;=$BQ$18,$BP$18,""))))</f>
        <v/>
      </c>
      <c r="CC104" t="str" cm="1">
        <f t="array" ref="CC104">IF(NOT(AND($BN$19&lt;&gt;"",($BM$19+5)&lt;=$BO$19)),"",IF(N104&lt;&gt;"",IF(N104="-","",N104),IF(ISNUMBER(SEARCH(":",$BP$19)),IFERROR(_xlfn.LET(_xlpm.s,_xlfn.TEXTSPLIT($BP$19,","),_xlpm.k,FIND(":",_xlpm.s),INDEX(TRIM(LEFT(_xlpm.s,_xlpm.k-1)),_xlfn.XMATCH(($BM$19+5),_xlfn.SCAN(0,--MID(_xlpm.s,_xlpm.k+1,9),_xlfn.LAMBDA(_xlpm.a,_xlpm.v,_xlpm.a+_xlpm.v)),1))),""),IF(($BM$19+5)&lt;=$BQ$19,$BP$19,""))))</f>
        <v/>
      </c>
      <c r="CD104" t="str" cm="1">
        <f t="array" ref="CD104">IF(NOT(AND($BN$20&lt;&gt;"",($BM$20+5)&lt;=$BO$20)),"",IF(T104&lt;&gt;"",IF(T104="-","",T104),IF(ISNUMBER(SEARCH(":",$BP$20)),IFERROR(_xlfn.LET(_xlpm.s,_xlfn.TEXTSPLIT($BP$20,","),_xlpm.k,FIND(":",_xlpm.s),INDEX(TRIM(LEFT(_xlpm.s,_xlpm.k-1)),_xlfn.XMATCH(($BM$20+5),_xlfn.SCAN(0,--MID(_xlpm.s,_xlpm.k+1,9),_xlfn.LAMBDA(_xlpm.a,_xlpm.v,_xlpm.a+_xlpm.v)),1))),""),IF(($BM$20+5)&lt;=$BQ$20,$BP$20,""))))</f>
        <v/>
      </c>
    </row>
    <row r="105" spans="2:82" hidden="1" x14ac:dyDescent="0.45">
      <c r="B105" s="6"/>
      <c r="C105" s="9" t="str">
        <f>IF(CA105="","",CA105&amp;"-"&amp;TEXT(COUNTIF($CA$72:$CA$95,CA105)+COUNTIF($CB$72:$CB$95,CA105)+COUNTIF($CC$72:$CC$95,CA105)+COUNTIF($CD$72:$CD$95,CA105)+COUNTIF($CA$100:CA105,CA105),"000"))</f>
        <v/>
      </c>
      <c r="D105" s="9" t="str">
        <f>IF(AND($BN$17&lt;&gt;"",($BM$17+6)&lt;=$BO$17),$BN$17,"")</f>
        <v/>
      </c>
      <c r="E105" s="9" t="str">
        <f>IF(AND($BN$17&lt;&gt;"",($BM$17+6)&lt;=$BO$17),TEXT(($BM$17+6),"00"),"")</f>
        <v/>
      </c>
      <c r="F105" s="9" t="str">
        <f>IF(AND($BN$17&lt;&gt;"",($BM$17+6)&lt;=$BO$17),$BN$17&amp;"-"&amp;TEXT(($BM$17+6),"00"),"")</f>
        <v/>
      </c>
      <c r="H105" s="6"/>
      <c r="I105" s="9" t="str">
        <f>IF(CB105="","",CB105&amp;"-"&amp;TEXT(COUNTIF($CA$72:$CA$95,CB105)+COUNTIF($CB$72:$CB$95,CB105)+COUNTIF($CC$72:$CC$95,CB105)+COUNTIF($CD$72:$CD$95,CB105)+COUNTIF($CA$100:$CA$123,CB105)+COUNTIF($CB$100:CB105,CB105),"000"))</f>
        <v/>
      </c>
      <c r="J105" s="9" t="str">
        <f>IF(AND($BN$18&lt;&gt;"",($BM$18+6)&lt;=$BO$18),$BN$18,"")</f>
        <v/>
      </c>
      <c r="K105" s="9" t="str">
        <f>IF(AND($BN$18&lt;&gt;"",($BM$18+6)&lt;=$BO$18),TEXT(($BM$18+6),"00"),"")</f>
        <v/>
      </c>
      <c r="L105" s="9" t="str">
        <f>IF(AND($BN$18&lt;&gt;"",($BM$18+6)&lt;=$BO$18),$BN$18&amp;"-"&amp;TEXT(($BM$18+6),"00"),"")</f>
        <v/>
      </c>
      <c r="N105" s="6"/>
      <c r="O105" s="9" t="str">
        <f>IF(CC105="","",CC105&amp;"-"&amp;TEXT(COUNTIF($CA$72:$CA$95,CC105)+COUNTIF($CB$72:$CB$95,CC105)+COUNTIF($CC$72:$CC$95,CC105)+COUNTIF($CD$72:$CD$95,CC105)+COUNTIF($CA$100:$CA$123,CC105)+COUNTIF($CB$100:$CB$123,CC105)+COUNTIF($CC$100:CC105,CC105),"000"))</f>
        <v/>
      </c>
      <c r="P105" s="9" t="str">
        <f>IF(AND($BN$19&lt;&gt;"",($BM$19+6)&lt;=$BO$19),$BN$19,"")</f>
        <v/>
      </c>
      <c r="Q105" s="9" t="str">
        <f>IF(AND($BN$19&lt;&gt;"",($BM$19+6)&lt;=$BO$19),TEXT(($BM$19+6),"00"),"")</f>
        <v/>
      </c>
      <c r="R105" s="9" t="str">
        <f>IF(AND($BN$19&lt;&gt;"",($BM$19+6)&lt;=$BO$19),$BN$19&amp;"-"&amp;TEXT(($BM$19+6),"00"),"")</f>
        <v/>
      </c>
      <c r="T105" s="6"/>
      <c r="U105" s="9" t="str">
        <f>IF(CD105="","",CD105&amp;"-"&amp;TEXT(COUNTIF($CA$72:$CA$95,CD105)+COUNTIF($CB$72:$CB$95,CD105)+COUNTIF($CC$72:$CC$95,CD105)+COUNTIF($CD$72:$CD$95,CD105)+COUNTIF($CA$100:$CA$123,CD105)+COUNTIF($CB$100:$CB$123,CD105)+COUNTIF($CC$100:$CC$123,CD105)+COUNTIF($CD$100:CD105,CD105),"000"))</f>
        <v/>
      </c>
      <c r="V105" s="9" t="str">
        <f>IF(AND($BN$20&lt;&gt;"",($BM$20+6)&lt;=$BO$20),$BN$20,"")</f>
        <v/>
      </c>
      <c r="W105" s="9" t="str">
        <f>IF(AND($BN$20&lt;&gt;"",($BM$20+6)&lt;=$BO$20),TEXT(($BM$20+6),"00"),"")</f>
        <v/>
      </c>
      <c r="X105" s="9" t="str">
        <f>IF(AND($BN$20&lt;&gt;"",($BM$20+6)&lt;=$BO$20),$BN$20&amp;"-"&amp;TEXT(($BM$20+6),"00"),"")</f>
        <v/>
      </c>
      <c r="BA105">
        <f>IF(OR(Catalogo!$C105="",Catalogo!$B105="Espacio libre",Catalogo!$B105="Espacio reservado"),0,COUNTIF($C$13:$C$42,Catalogo!$C105)+IF($E$7=Catalogo!$C105,N($K$7),0)+IF($E$8=Catalogo!$C105,N($N$8),0)+IF(Proyecto!$D$12=Catalogo!$C105,$AQ$4,0)+SUMIF($C$49:$C$58,Catalogo!$C105,$K$49:$K$58))</f>
        <v>0</v>
      </c>
      <c r="CA105" t="str" cm="1">
        <f t="array" ref="CA105">IF(NOT(AND($BN$17&lt;&gt;"",($BM$17+6)&lt;=$BO$17)),"",IF(B105&lt;&gt;"",IF(B105="-","",B105),IF(ISNUMBER(SEARCH(":",$BP$17)),IFERROR(_xlfn.LET(_xlpm.s,_xlfn.TEXTSPLIT($BP$17,","),_xlpm.k,FIND(":",_xlpm.s),INDEX(TRIM(LEFT(_xlpm.s,_xlpm.k-1)),_xlfn.XMATCH(($BM$17+6),_xlfn.SCAN(0,--MID(_xlpm.s,_xlpm.k+1,9),_xlfn.LAMBDA(_xlpm.a,_xlpm.v,_xlpm.a+_xlpm.v)),1))),""),IF(($BM$17+6)&lt;=$BQ$17,$BP$17,""))))</f>
        <v/>
      </c>
      <c r="CB105" t="str" cm="1">
        <f t="array" ref="CB105">IF(NOT(AND($BN$18&lt;&gt;"",($BM$18+6)&lt;=$BO$18)),"",IF(H105&lt;&gt;"",IF(H105="-","",H105),IF(ISNUMBER(SEARCH(":",$BP$18)),IFERROR(_xlfn.LET(_xlpm.s,_xlfn.TEXTSPLIT($BP$18,","),_xlpm.k,FIND(":",_xlpm.s),INDEX(TRIM(LEFT(_xlpm.s,_xlpm.k-1)),_xlfn.XMATCH(($BM$18+6),_xlfn.SCAN(0,--MID(_xlpm.s,_xlpm.k+1,9),_xlfn.LAMBDA(_xlpm.a,_xlpm.v,_xlpm.a+_xlpm.v)),1))),""),IF(($BM$18+6)&lt;=$BQ$18,$BP$18,""))))</f>
        <v/>
      </c>
      <c r="CC105" t="str" cm="1">
        <f t="array" ref="CC105">IF(NOT(AND($BN$19&lt;&gt;"",($BM$19+6)&lt;=$BO$19)),"",IF(N105&lt;&gt;"",IF(N105="-","",N105),IF(ISNUMBER(SEARCH(":",$BP$19)),IFERROR(_xlfn.LET(_xlpm.s,_xlfn.TEXTSPLIT($BP$19,","),_xlpm.k,FIND(":",_xlpm.s),INDEX(TRIM(LEFT(_xlpm.s,_xlpm.k-1)),_xlfn.XMATCH(($BM$19+6),_xlfn.SCAN(0,--MID(_xlpm.s,_xlpm.k+1,9),_xlfn.LAMBDA(_xlpm.a,_xlpm.v,_xlpm.a+_xlpm.v)),1))),""),IF(($BM$19+6)&lt;=$BQ$19,$BP$19,""))))</f>
        <v/>
      </c>
      <c r="CD105" t="str" cm="1">
        <f t="array" ref="CD105">IF(NOT(AND($BN$20&lt;&gt;"",($BM$20+6)&lt;=$BO$20)),"",IF(T105&lt;&gt;"",IF(T105="-","",T105),IF(ISNUMBER(SEARCH(":",$BP$20)),IFERROR(_xlfn.LET(_xlpm.s,_xlfn.TEXTSPLIT($BP$20,","),_xlpm.k,FIND(":",_xlpm.s),INDEX(TRIM(LEFT(_xlpm.s,_xlpm.k-1)),_xlfn.XMATCH(($BM$20+6),_xlfn.SCAN(0,--MID(_xlpm.s,_xlpm.k+1,9),_xlfn.LAMBDA(_xlpm.a,_xlpm.v,_xlpm.a+_xlpm.v)),1))),""),IF(($BM$20+6)&lt;=$BQ$20,$BP$20,""))))</f>
        <v/>
      </c>
    </row>
    <row r="106" spans="2:82" hidden="1" x14ac:dyDescent="0.45">
      <c r="B106" s="6"/>
      <c r="C106" s="9" t="str">
        <f>IF(CA106="","",CA106&amp;"-"&amp;TEXT(COUNTIF($CA$72:$CA$95,CA106)+COUNTIF($CB$72:$CB$95,CA106)+COUNTIF($CC$72:$CC$95,CA106)+COUNTIF($CD$72:$CD$95,CA106)+COUNTIF($CA$100:CA106,CA106),"000"))</f>
        <v/>
      </c>
      <c r="D106" s="9" t="str">
        <f>IF(AND($BN$17&lt;&gt;"",($BM$17+7)&lt;=$BO$17),$BN$17,"")</f>
        <v/>
      </c>
      <c r="E106" s="9" t="str">
        <f>IF(AND($BN$17&lt;&gt;"",($BM$17+7)&lt;=$BO$17),TEXT(($BM$17+7),"00"),"")</f>
        <v/>
      </c>
      <c r="F106" s="9" t="str">
        <f>IF(AND($BN$17&lt;&gt;"",($BM$17+7)&lt;=$BO$17),$BN$17&amp;"-"&amp;TEXT(($BM$17+7),"00"),"")</f>
        <v/>
      </c>
      <c r="H106" s="6"/>
      <c r="I106" s="9" t="str">
        <f>IF(CB106="","",CB106&amp;"-"&amp;TEXT(COUNTIF($CA$72:$CA$95,CB106)+COUNTIF($CB$72:$CB$95,CB106)+COUNTIF($CC$72:$CC$95,CB106)+COUNTIF($CD$72:$CD$95,CB106)+COUNTIF($CA$100:$CA$123,CB106)+COUNTIF($CB$100:CB106,CB106),"000"))</f>
        <v/>
      </c>
      <c r="J106" s="9" t="str">
        <f>IF(AND($BN$18&lt;&gt;"",($BM$18+7)&lt;=$BO$18),$BN$18,"")</f>
        <v/>
      </c>
      <c r="K106" s="9" t="str">
        <f>IF(AND($BN$18&lt;&gt;"",($BM$18+7)&lt;=$BO$18),TEXT(($BM$18+7),"00"),"")</f>
        <v/>
      </c>
      <c r="L106" s="9" t="str">
        <f>IF(AND($BN$18&lt;&gt;"",($BM$18+7)&lt;=$BO$18),$BN$18&amp;"-"&amp;TEXT(($BM$18+7),"00"),"")</f>
        <v/>
      </c>
      <c r="N106" s="6"/>
      <c r="O106" s="9" t="str">
        <f>IF(CC106="","",CC106&amp;"-"&amp;TEXT(COUNTIF($CA$72:$CA$95,CC106)+COUNTIF($CB$72:$CB$95,CC106)+COUNTIF($CC$72:$CC$95,CC106)+COUNTIF($CD$72:$CD$95,CC106)+COUNTIF($CA$100:$CA$123,CC106)+COUNTIF($CB$100:$CB$123,CC106)+COUNTIF($CC$100:CC106,CC106),"000"))</f>
        <v/>
      </c>
      <c r="P106" s="9" t="str">
        <f>IF(AND($BN$19&lt;&gt;"",($BM$19+7)&lt;=$BO$19),$BN$19,"")</f>
        <v/>
      </c>
      <c r="Q106" s="9" t="str">
        <f>IF(AND($BN$19&lt;&gt;"",($BM$19+7)&lt;=$BO$19),TEXT(($BM$19+7),"00"),"")</f>
        <v/>
      </c>
      <c r="R106" s="9" t="str">
        <f>IF(AND($BN$19&lt;&gt;"",($BM$19+7)&lt;=$BO$19),$BN$19&amp;"-"&amp;TEXT(($BM$19+7),"00"),"")</f>
        <v/>
      </c>
      <c r="T106" s="6"/>
      <c r="U106" s="9" t="str">
        <f>IF(CD106="","",CD106&amp;"-"&amp;TEXT(COUNTIF($CA$72:$CA$95,CD106)+COUNTIF($CB$72:$CB$95,CD106)+COUNTIF($CC$72:$CC$95,CD106)+COUNTIF($CD$72:$CD$95,CD106)+COUNTIF($CA$100:$CA$123,CD106)+COUNTIF($CB$100:$CB$123,CD106)+COUNTIF($CC$100:$CC$123,CD106)+COUNTIF($CD$100:CD106,CD106),"000"))</f>
        <v/>
      </c>
      <c r="V106" s="9" t="str">
        <f>IF(AND($BN$20&lt;&gt;"",($BM$20+7)&lt;=$BO$20),$BN$20,"")</f>
        <v/>
      </c>
      <c r="W106" s="9" t="str">
        <f>IF(AND($BN$20&lt;&gt;"",($BM$20+7)&lt;=$BO$20),TEXT(($BM$20+7),"00"),"")</f>
        <v/>
      </c>
      <c r="X106" s="9" t="str">
        <f>IF(AND($BN$20&lt;&gt;"",($BM$20+7)&lt;=$BO$20),$BN$20&amp;"-"&amp;TEXT(($BM$20+7),"00"),"")</f>
        <v/>
      </c>
      <c r="BA106">
        <f>IF(OR(Catalogo!$C106="",Catalogo!$B106="Espacio libre",Catalogo!$B106="Espacio reservado"),0,COUNTIF($C$13:$C$42,Catalogo!$C106)+IF($E$7=Catalogo!$C106,N($K$7),0)+IF($E$8=Catalogo!$C106,N($N$8),0)+IF(Proyecto!$D$12=Catalogo!$C106,$AQ$4,0)+SUMIF($C$49:$C$58,Catalogo!$C106,$K$49:$K$58))</f>
        <v>1</v>
      </c>
      <c r="CA106" t="str" cm="1">
        <f t="array" ref="CA106">IF(NOT(AND($BN$17&lt;&gt;"",($BM$17+7)&lt;=$BO$17)),"",IF(B106&lt;&gt;"",IF(B106="-","",B106),IF(ISNUMBER(SEARCH(":",$BP$17)),IFERROR(_xlfn.LET(_xlpm.s,_xlfn.TEXTSPLIT($BP$17,","),_xlpm.k,FIND(":",_xlpm.s),INDEX(TRIM(LEFT(_xlpm.s,_xlpm.k-1)),_xlfn.XMATCH(($BM$17+7),_xlfn.SCAN(0,--MID(_xlpm.s,_xlpm.k+1,9),_xlfn.LAMBDA(_xlpm.a,_xlpm.v,_xlpm.a+_xlpm.v)),1))),""),IF(($BM$17+7)&lt;=$BQ$17,$BP$17,""))))</f>
        <v/>
      </c>
      <c r="CB106" t="str" cm="1">
        <f t="array" ref="CB106">IF(NOT(AND($BN$18&lt;&gt;"",($BM$18+7)&lt;=$BO$18)),"",IF(H106&lt;&gt;"",IF(H106="-","",H106),IF(ISNUMBER(SEARCH(":",$BP$18)),IFERROR(_xlfn.LET(_xlpm.s,_xlfn.TEXTSPLIT($BP$18,","),_xlpm.k,FIND(":",_xlpm.s),INDEX(TRIM(LEFT(_xlpm.s,_xlpm.k-1)),_xlfn.XMATCH(($BM$18+7),_xlfn.SCAN(0,--MID(_xlpm.s,_xlpm.k+1,9),_xlfn.LAMBDA(_xlpm.a,_xlpm.v,_xlpm.a+_xlpm.v)),1))),""),IF(($BM$18+7)&lt;=$BQ$18,$BP$18,""))))</f>
        <v/>
      </c>
      <c r="CC106" t="str" cm="1">
        <f t="array" ref="CC106">IF(NOT(AND($BN$19&lt;&gt;"",($BM$19+7)&lt;=$BO$19)),"",IF(N106&lt;&gt;"",IF(N106="-","",N106),IF(ISNUMBER(SEARCH(":",$BP$19)),IFERROR(_xlfn.LET(_xlpm.s,_xlfn.TEXTSPLIT($BP$19,","),_xlpm.k,FIND(":",_xlpm.s),INDEX(TRIM(LEFT(_xlpm.s,_xlpm.k-1)),_xlfn.XMATCH(($BM$19+7),_xlfn.SCAN(0,--MID(_xlpm.s,_xlpm.k+1,9),_xlfn.LAMBDA(_xlpm.a,_xlpm.v,_xlpm.a+_xlpm.v)),1))),""),IF(($BM$19+7)&lt;=$BQ$19,$BP$19,""))))</f>
        <v/>
      </c>
      <c r="CD106" t="str" cm="1">
        <f t="array" ref="CD106">IF(NOT(AND($BN$20&lt;&gt;"",($BM$20+7)&lt;=$BO$20)),"",IF(T106&lt;&gt;"",IF(T106="-","",T106),IF(ISNUMBER(SEARCH(":",$BP$20)),IFERROR(_xlfn.LET(_xlpm.s,_xlfn.TEXTSPLIT($BP$20,","),_xlpm.k,FIND(":",_xlpm.s),INDEX(TRIM(LEFT(_xlpm.s,_xlpm.k-1)),_xlfn.XMATCH(($BM$20+7),_xlfn.SCAN(0,--MID(_xlpm.s,_xlpm.k+1,9),_xlfn.LAMBDA(_xlpm.a,_xlpm.v,_xlpm.a+_xlpm.v)),1))),""),IF(($BM$20+7)&lt;=$BQ$20,$BP$20,""))))</f>
        <v/>
      </c>
    </row>
    <row r="107" spans="2:82" hidden="1" x14ac:dyDescent="0.45">
      <c r="B107" s="6"/>
      <c r="C107" s="9" t="str">
        <f>IF(CA107="","",CA107&amp;"-"&amp;TEXT(COUNTIF($CA$72:$CA$95,CA107)+COUNTIF($CB$72:$CB$95,CA107)+COUNTIF($CC$72:$CC$95,CA107)+COUNTIF($CD$72:$CD$95,CA107)+COUNTIF($CA$100:CA107,CA107),"000"))</f>
        <v/>
      </c>
      <c r="D107" s="9" t="str">
        <f>IF(AND($BN$17&lt;&gt;"",($BM$17+8)&lt;=$BO$17),$BN$17,"")</f>
        <v/>
      </c>
      <c r="E107" s="9" t="str">
        <f>IF(AND($BN$17&lt;&gt;"",($BM$17+8)&lt;=$BO$17),TEXT(($BM$17+8),"00"),"")</f>
        <v/>
      </c>
      <c r="F107" s="9" t="str">
        <f>IF(AND($BN$17&lt;&gt;"",($BM$17+8)&lt;=$BO$17),$BN$17&amp;"-"&amp;TEXT(($BM$17+8),"00"),"")</f>
        <v/>
      </c>
      <c r="H107" s="6"/>
      <c r="I107" s="9" t="str">
        <f>IF(CB107="","",CB107&amp;"-"&amp;TEXT(COUNTIF($CA$72:$CA$95,CB107)+COUNTIF($CB$72:$CB$95,CB107)+COUNTIF($CC$72:$CC$95,CB107)+COUNTIF($CD$72:$CD$95,CB107)+COUNTIF($CA$100:$CA$123,CB107)+COUNTIF($CB$100:CB107,CB107),"000"))</f>
        <v/>
      </c>
      <c r="J107" s="9" t="str">
        <f>IF(AND($BN$18&lt;&gt;"",($BM$18+8)&lt;=$BO$18),$BN$18,"")</f>
        <v/>
      </c>
      <c r="K107" s="9" t="str">
        <f>IF(AND($BN$18&lt;&gt;"",($BM$18+8)&lt;=$BO$18),TEXT(($BM$18+8),"00"),"")</f>
        <v/>
      </c>
      <c r="L107" s="9" t="str">
        <f>IF(AND($BN$18&lt;&gt;"",($BM$18+8)&lt;=$BO$18),$BN$18&amp;"-"&amp;TEXT(($BM$18+8),"00"),"")</f>
        <v/>
      </c>
      <c r="N107" s="6"/>
      <c r="O107" s="9" t="str">
        <f>IF(CC107="","",CC107&amp;"-"&amp;TEXT(COUNTIF($CA$72:$CA$95,CC107)+COUNTIF($CB$72:$CB$95,CC107)+COUNTIF($CC$72:$CC$95,CC107)+COUNTIF($CD$72:$CD$95,CC107)+COUNTIF($CA$100:$CA$123,CC107)+COUNTIF($CB$100:$CB$123,CC107)+COUNTIF($CC$100:CC107,CC107),"000"))</f>
        <v/>
      </c>
      <c r="P107" s="9" t="str">
        <f>IF(AND($BN$19&lt;&gt;"",($BM$19+8)&lt;=$BO$19),$BN$19,"")</f>
        <v/>
      </c>
      <c r="Q107" s="9" t="str">
        <f>IF(AND($BN$19&lt;&gt;"",($BM$19+8)&lt;=$BO$19),TEXT(($BM$19+8),"00"),"")</f>
        <v/>
      </c>
      <c r="R107" s="9" t="str">
        <f>IF(AND($BN$19&lt;&gt;"",($BM$19+8)&lt;=$BO$19),$BN$19&amp;"-"&amp;TEXT(($BM$19+8),"00"),"")</f>
        <v/>
      </c>
      <c r="T107" s="6"/>
      <c r="U107" s="9" t="str">
        <f>IF(CD107="","",CD107&amp;"-"&amp;TEXT(COUNTIF($CA$72:$CA$95,CD107)+COUNTIF($CB$72:$CB$95,CD107)+COUNTIF($CC$72:$CC$95,CD107)+COUNTIF($CD$72:$CD$95,CD107)+COUNTIF($CA$100:$CA$123,CD107)+COUNTIF($CB$100:$CB$123,CD107)+COUNTIF($CC$100:$CC$123,CD107)+COUNTIF($CD$100:CD107,CD107),"000"))</f>
        <v/>
      </c>
      <c r="V107" s="9" t="str">
        <f>IF(AND($BN$20&lt;&gt;"",($BM$20+8)&lt;=$BO$20),$BN$20,"")</f>
        <v/>
      </c>
      <c r="W107" s="9" t="str">
        <f>IF(AND($BN$20&lt;&gt;"",($BM$20+8)&lt;=$BO$20),TEXT(($BM$20+8),"00"),"")</f>
        <v/>
      </c>
      <c r="X107" s="9" t="str">
        <f>IF(AND($BN$20&lt;&gt;"",($BM$20+8)&lt;=$BO$20),$BN$20&amp;"-"&amp;TEXT(($BM$20+8),"00"),"")</f>
        <v/>
      </c>
      <c r="BA107">
        <f>IF(OR(Catalogo!$C107="",Catalogo!$B107="Espacio libre",Catalogo!$B107="Espacio reservado"),0,COUNTIF($C$13:$C$42,Catalogo!$C107)+IF($E$7=Catalogo!$C107,N($K$7),0)+IF($E$8=Catalogo!$C107,N($N$8),0)+IF(Proyecto!$D$12=Catalogo!$C107,$AQ$4,0)+SUMIF($C$49:$C$58,Catalogo!$C107,$K$49:$K$58))</f>
        <v>0</v>
      </c>
      <c r="CA107" t="str" cm="1">
        <f t="array" ref="CA107">IF(NOT(AND($BN$17&lt;&gt;"",($BM$17+8)&lt;=$BO$17)),"",IF(B107&lt;&gt;"",IF(B107="-","",B107),IF(ISNUMBER(SEARCH(":",$BP$17)),IFERROR(_xlfn.LET(_xlpm.s,_xlfn.TEXTSPLIT($BP$17,","),_xlpm.k,FIND(":",_xlpm.s),INDEX(TRIM(LEFT(_xlpm.s,_xlpm.k-1)),_xlfn.XMATCH(($BM$17+8),_xlfn.SCAN(0,--MID(_xlpm.s,_xlpm.k+1,9),_xlfn.LAMBDA(_xlpm.a,_xlpm.v,_xlpm.a+_xlpm.v)),1))),""),IF(($BM$17+8)&lt;=$BQ$17,$BP$17,""))))</f>
        <v/>
      </c>
      <c r="CB107" t="str" cm="1">
        <f t="array" ref="CB107">IF(NOT(AND($BN$18&lt;&gt;"",($BM$18+8)&lt;=$BO$18)),"",IF(H107&lt;&gt;"",IF(H107="-","",H107),IF(ISNUMBER(SEARCH(":",$BP$18)),IFERROR(_xlfn.LET(_xlpm.s,_xlfn.TEXTSPLIT($BP$18,","),_xlpm.k,FIND(":",_xlpm.s),INDEX(TRIM(LEFT(_xlpm.s,_xlpm.k-1)),_xlfn.XMATCH(($BM$18+8),_xlfn.SCAN(0,--MID(_xlpm.s,_xlpm.k+1,9),_xlfn.LAMBDA(_xlpm.a,_xlpm.v,_xlpm.a+_xlpm.v)),1))),""),IF(($BM$18+8)&lt;=$BQ$18,$BP$18,""))))</f>
        <v/>
      </c>
      <c r="CC107" t="str" cm="1">
        <f t="array" ref="CC107">IF(NOT(AND($BN$19&lt;&gt;"",($BM$19+8)&lt;=$BO$19)),"",IF(N107&lt;&gt;"",IF(N107="-","",N107),IF(ISNUMBER(SEARCH(":",$BP$19)),IFERROR(_xlfn.LET(_xlpm.s,_xlfn.TEXTSPLIT($BP$19,","),_xlpm.k,FIND(":",_xlpm.s),INDEX(TRIM(LEFT(_xlpm.s,_xlpm.k-1)),_xlfn.XMATCH(($BM$19+8),_xlfn.SCAN(0,--MID(_xlpm.s,_xlpm.k+1,9),_xlfn.LAMBDA(_xlpm.a,_xlpm.v,_xlpm.a+_xlpm.v)),1))),""),IF(($BM$19+8)&lt;=$BQ$19,$BP$19,""))))</f>
        <v/>
      </c>
      <c r="CD107" t="str" cm="1">
        <f t="array" ref="CD107">IF(NOT(AND($BN$20&lt;&gt;"",($BM$20+8)&lt;=$BO$20)),"",IF(T107&lt;&gt;"",IF(T107="-","",T107),IF(ISNUMBER(SEARCH(":",$BP$20)),IFERROR(_xlfn.LET(_xlpm.s,_xlfn.TEXTSPLIT($BP$20,","),_xlpm.k,FIND(":",_xlpm.s),INDEX(TRIM(LEFT(_xlpm.s,_xlpm.k-1)),_xlfn.XMATCH(($BM$20+8),_xlfn.SCAN(0,--MID(_xlpm.s,_xlpm.k+1,9),_xlfn.LAMBDA(_xlpm.a,_xlpm.v,_xlpm.a+_xlpm.v)),1))),""),IF(($BM$20+8)&lt;=$BQ$20,$BP$20,""))))</f>
        <v/>
      </c>
    </row>
    <row r="108" spans="2:82" hidden="1" x14ac:dyDescent="0.45">
      <c r="B108" s="6"/>
      <c r="C108" s="9" t="str">
        <f>IF(CA108="","",CA108&amp;"-"&amp;TEXT(COUNTIF($CA$72:$CA$95,CA108)+COUNTIF($CB$72:$CB$95,CA108)+COUNTIF($CC$72:$CC$95,CA108)+COUNTIF($CD$72:$CD$95,CA108)+COUNTIF($CA$100:CA108,CA108),"000"))</f>
        <v/>
      </c>
      <c r="D108" s="9" t="str">
        <f>IF(AND($BN$17&lt;&gt;"",($BM$17+9)&lt;=$BO$17),$BN$17,"")</f>
        <v/>
      </c>
      <c r="E108" s="9" t="str">
        <f>IF(AND($BN$17&lt;&gt;"",($BM$17+9)&lt;=$BO$17),TEXT(($BM$17+9),"00"),"")</f>
        <v/>
      </c>
      <c r="F108" s="9" t="str">
        <f>IF(AND($BN$17&lt;&gt;"",($BM$17+9)&lt;=$BO$17),$BN$17&amp;"-"&amp;TEXT(($BM$17+9),"00"),"")</f>
        <v/>
      </c>
      <c r="H108" s="6"/>
      <c r="I108" s="9" t="str">
        <f>IF(CB108="","",CB108&amp;"-"&amp;TEXT(COUNTIF($CA$72:$CA$95,CB108)+COUNTIF($CB$72:$CB$95,CB108)+COUNTIF($CC$72:$CC$95,CB108)+COUNTIF($CD$72:$CD$95,CB108)+COUNTIF($CA$100:$CA$123,CB108)+COUNTIF($CB$100:CB108,CB108),"000"))</f>
        <v/>
      </c>
      <c r="J108" s="9" t="str">
        <f>IF(AND($BN$18&lt;&gt;"",($BM$18+9)&lt;=$BO$18),$BN$18,"")</f>
        <v/>
      </c>
      <c r="K108" s="9" t="str">
        <f>IF(AND($BN$18&lt;&gt;"",($BM$18+9)&lt;=$BO$18),TEXT(($BM$18+9),"00"),"")</f>
        <v/>
      </c>
      <c r="L108" s="9" t="str">
        <f>IF(AND($BN$18&lt;&gt;"",($BM$18+9)&lt;=$BO$18),$BN$18&amp;"-"&amp;TEXT(($BM$18+9),"00"),"")</f>
        <v/>
      </c>
      <c r="N108" s="6"/>
      <c r="O108" s="9" t="str">
        <f>IF(CC108="","",CC108&amp;"-"&amp;TEXT(COUNTIF($CA$72:$CA$95,CC108)+COUNTIF($CB$72:$CB$95,CC108)+COUNTIF($CC$72:$CC$95,CC108)+COUNTIF($CD$72:$CD$95,CC108)+COUNTIF($CA$100:$CA$123,CC108)+COUNTIF($CB$100:$CB$123,CC108)+COUNTIF($CC$100:CC108,CC108),"000"))</f>
        <v/>
      </c>
      <c r="P108" s="9" t="str">
        <f>IF(AND($BN$19&lt;&gt;"",($BM$19+9)&lt;=$BO$19),$BN$19,"")</f>
        <v/>
      </c>
      <c r="Q108" s="9" t="str">
        <f>IF(AND($BN$19&lt;&gt;"",($BM$19+9)&lt;=$BO$19),TEXT(($BM$19+9),"00"),"")</f>
        <v/>
      </c>
      <c r="R108" s="9" t="str">
        <f>IF(AND($BN$19&lt;&gt;"",($BM$19+9)&lt;=$BO$19),$BN$19&amp;"-"&amp;TEXT(($BM$19+9),"00"),"")</f>
        <v/>
      </c>
      <c r="T108" s="6"/>
      <c r="U108" s="9" t="str">
        <f>IF(CD108="","",CD108&amp;"-"&amp;TEXT(COUNTIF($CA$72:$CA$95,CD108)+COUNTIF($CB$72:$CB$95,CD108)+COUNTIF($CC$72:$CC$95,CD108)+COUNTIF($CD$72:$CD$95,CD108)+COUNTIF($CA$100:$CA$123,CD108)+COUNTIF($CB$100:$CB$123,CD108)+COUNTIF($CC$100:$CC$123,CD108)+COUNTIF($CD$100:CD108,CD108),"000"))</f>
        <v/>
      </c>
      <c r="V108" s="9" t="str">
        <f>IF(AND($BN$20&lt;&gt;"",($BM$20+9)&lt;=$BO$20),$BN$20,"")</f>
        <v/>
      </c>
      <c r="W108" s="9" t="str">
        <f>IF(AND($BN$20&lt;&gt;"",($BM$20+9)&lt;=$BO$20),TEXT(($BM$20+9),"00"),"")</f>
        <v/>
      </c>
      <c r="X108" s="9" t="str">
        <f>IF(AND($BN$20&lt;&gt;"",($BM$20+9)&lt;=$BO$20),$BN$20&amp;"-"&amp;TEXT(($BM$20+9),"00"),"")</f>
        <v/>
      </c>
      <c r="BA108">
        <f>IF(OR(Catalogo!$C108="",Catalogo!$B108="Espacio libre",Catalogo!$B108="Espacio reservado"),0,COUNTIF($C$13:$C$42,Catalogo!$C108)+IF($E$7=Catalogo!$C108,N($K$7),0)+IF($E$8=Catalogo!$C108,N($N$8),0)+IF(Proyecto!$D$12=Catalogo!$C108,$AQ$4,0)+SUMIF($C$49:$C$58,Catalogo!$C108,$K$49:$K$58))</f>
        <v>0</v>
      </c>
      <c r="CA108" t="str" cm="1">
        <f t="array" ref="CA108">IF(NOT(AND($BN$17&lt;&gt;"",($BM$17+9)&lt;=$BO$17)),"",IF(B108&lt;&gt;"",IF(B108="-","",B108),IF(ISNUMBER(SEARCH(":",$BP$17)),IFERROR(_xlfn.LET(_xlpm.s,_xlfn.TEXTSPLIT($BP$17,","),_xlpm.k,FIND(":",_xlpm.s),INDEX(TRIM(LEFT(_xlpm.s,_xlpm.k-1)),_xlfn.XMATCH(($BM$17+9),_xlfn.SCAN(0,--MID(_xlpm.s,_xlpm.k+1,9),_xlfn.LAMBDA(_xlpm.a,_xlpm.v,_xlpm.a+_xlpm.v)),1))),""),IF(($BM$17+9)&lt;=$BQ$17,$BP$17,""))))</f>
        <v/>
      </c>
      <c r="CB108" t="str" cm="1">
        <f t="array" ref="CB108">IF(NOT(AND($BN$18&lt;&gt;"",($BM$18+9)&lt;=$BO$18)),"",IF(H108&lt;&gt;"",IF(H108="-","",H108),IF(ISNUMBER(SEARCH(":",$BP$18)),IFERROR(_xlfn.LET(_xlpm.s,_xlfn.TEXTSPLIT($BP$18,","),_xlpm.k,FIND(":",_xlpm.s),INDEX(TRIM(LEFT(_xlpm.s,_xlpm.k-1)),_xlfn.XMATCH(($BM$18+9),_xlfn.SCAN(0,--MID(_xlpm.s,_xlpm.k+1,9),_xlfn.LAMBDA(_xlpm.a,_xlpm.v,_xlpm.a+_xlpm.v)),1))),""),IF(($BM$18+9)&lt;=$BQ$18,$BP$18,""))))</f>
        <v/>
      </c>
      <c r="CC108" t="str" cm="1">
        <f t="array" ref="CC108">IF(NOT(AND($BN$19&lt;&gt;"",($BM$19+9)&lt;=$BO$19)),"",IF(N108&lt;&gt;"",IF(N108="-","",N108),IF(ISNUMBER(SEARCH(":",$BP$19)),IFERROR(_xlfn.LET(_xlpm.s,_xlfn.TEXTSPLIT($BP$19,","),_xlpm.k,FIND(":",_xlpm.s),INDEX(TRIM(LEFT(_xlpm.s,_xlpm.k-1)),_xlfn.XMATCH(($BM$19+9),_xlfn.SCAN(0,--MID(_xlpm.s,_xlpm.k+1,9),_xlfn.LAMBDA(_xlpm.a,_xlpm.v,_xlpm.a+_xlpm.v)),1))),""),IF(($BM$19+9)&lt;=$BQ$19,$BP$19,""))))</f>
        <v/>
      </c>
      <c r="CD108" t="str" cm="1">
        <f t="array" ref="CD108">IF(NOT(AND($BN$20&lt;&gt;"",($BM$20+9)&lt;=$BO$20)),"",IF(T108&lt;&gt;"",IF(T108="-","",T108),IF(ISNUMBER(SEARCH(":",$BP$20)),IFERROR(_xlfn.LET(_xlpm.s,_xlfn.TEXTSPLIT($BP$20,","),_xlpm.k,FIND(":",_xlpm.s),INDEX(TRIM(LEFT(_xlpm.s,_xlpm.k-1)),_xlfn.XMATCH(($BM$20+9),_xlfn.SCAN(0,--MID(_xlpm.s,_xlpm.k+1,9),_xlfn.LAMBDA(_xlpm.a,_xlpm.v,_xlpm.a+_xlpm.v)),1))),""),IF(($BM$20+9)&lt;=$BQ$20,$BP$20,""))))</f>
        <v/>
      </c>
    </row>
    <row r="109" spans="2:82" hidden="1" x14ac:dyDescent="0.45">
      <c r="B109" s="6"/>
      <c r="C109" s="9" t="str">
        <f>IF(CA109="","",CA109&amp;"-"&amp;TEXT(COUNTIF($CA$72:$CA$95,CA109)+COUNTIF($CB$72:$CB$95,CA109)+COUNTIF($CC$72:$CC$95,CA109)+COUNTIF($CD$72:$CD$95,CA109)+COUNTIF($CA$100:CA109,CA109),"000"))</f>
        <v/>
      </c>
      <c r="D109" s="9" t="str">
        <f>IF(AND($BN$17&lt;&gt;"",($BM$17+10)&lt;=$BO$17),$BN$17,"")</f>
        <v/>
      </c>
      <c r="E109" s="9" t="str">
        <f>IF(AND($BN$17&lt;&gt;"",($BM$17+10)&lt;=$BO$17),TEXT(($BM$17+10),"00"),"")</f>
        <v/>
      </c>
      <c r="F109" s="9" t="str">
        <f>IF(AND($BN$17&lt;&gt;"",($BM$17+10)&lt;=$BO$17),$BN$17&amp;"-"&amp;TEXT(($BM$17+10),"00"),"")</f>
        <v/>
      </c>
      <c r="H109" s="6"/>
      <c r="I109" s="9" t="str">
        <f>IF(CB109="","",CB109&amp;"-"&amp;TEXT(COUNTIF($CA$72:$CA$95,CB109)+COUNTIF($CB$72:$CB$95,CB109)+COUNTIF($CC$72:$CC$95,CB109)+COUNTIF($CD$72:$CD$95,CB109)+COUNTIF($CA$100:$CA$123,CB109)+COUNTIF($CB$100:CB109,CB109),"000"))</f>
        <v/>
      </c>
      <c r="J109" s="9" t="str">
        <f>IF(AND($BN$18&lt;&gt;"",($BM$18+10)&lt;=$BO$18),$BN$18,"")</f>
        <v/>
      </c>
      <c r="K109" s="9" t="str">
        <f>IF(AND($BN$18&lt;&gt;"",($BM$18+10)&lt;=$BO$18),TEXT(($BM$18+10),"00"),"")</f>
        <v/>
      </c>
      <c r="L109" s="9" t="str">
        <f>IF(AND($BN$18&lt;&gt;"",($BM$18+10)&lt;=$BO$18),$BN$18&amp;"-"&amp;TEXT(($BM$18+10),"00"),"")</f>
        <v/>
      </c>
      <c r="N109" s="6"/>
      <c r="O109" s="9" t="str">
        <f>IF(CC109="","",CC109&amp;"-"&amp;TEXT(COUNTIF($CA$72:$CA$95,CC109)+COUNTIF($CB$72:$CB$95,CC109)+COUNTIF($CC$72:$CC$95,CC109)+COUNTIF($CD$72:$CD$95,CC109)+COUNTIF($CA$100:$CA$123,CC109)+COUNTIF($CB$100:$CB$123,CC109)+COUNTIF($CC$100:CC109,CC109),"000"))</f>
        <v/>
      </c>
      <c r="P109" s="9" t="str">
        <f>IF(AND($BN$19&lt;&gt;"",($BM$19+10)&lt;=$BO$19),$BN$19,"")</f>
        <v/>
      </c>
      <c r="Q109" s="9" t="str">
        <f>IF(AND($BN$19&lt;&gt;"",($BM$19+10)&lt;=$BO$19),TEXT(($BM$19+10),"00"),"")</f>
        <v/>
      </c>
      <c r="R109" s="9" t="str">
        <f>IF(AND($BN$19&lt;&gt;"",($BM$19+10)&lt;=$BO$19),$BN$19&amp;"-"&amp;TEXT(($BM$19+10),"00"),"")</f>
        <v/>
      </c>
      <c r="T109" s="6"/>
      <c r="U109" s="9" t="str">
        <f>IF(CD109="","",CD109&amp;"-"&amp;TEXT(COUNTIF($CA$72:$CA$95,CD109)+COUNTIF($CB$72:$CB$95,CD109)+COUNTIF($CC$72:$CC$95,CD109)+COUNTIF($CD$72:$CD$95,CD109)+COUNTIF($CA$100:$CA$123,CD109)+COUNTIF($CB$100:$CB$123,CD109)+COUNTIF($CC$100:$CC$123,CD109)+COUNTIF($CD$100:CD109,CD109),"000"))</f>
        <v/>
      </c>
      <c r="V109" s="9" t="str">
        <f>IF(AND($BN$20&lt;&gt;"",($BM$20+10)&lt;=$BO$20),$BN$20,"")</f>
        <v/>
      </c>
      <c r="W109" s="9" t="str">
        <f>IF(AND($BN$20&lt;&gt;"",($BM$20+10)&lt;=$BO$20),TEXT(($BM$20+10),"00"),"")</f>
        <v/>
      </c>
      <c r="X109" s="9" t="str">
        <f>IF(AND($BN$20&lt;&gt;"",($BM$20+10)&lt;=$BO$20),$BN$20&amp;"-"&amp;TEXT(($BM$20+10),"00"),"")</f>
        <v/>
      </c>
      <c r="BA109">
        <f>IF(OR(Catalogo!$C109="",Catalogo!$B109="Espacio libre",Catalogo!$B109="Espacio reservado"),0,COUNTIF($C$13:$C$42,Catalogo!$C109)+IF($E$7=Catalogo!$C109,N($K$7),0)+IF($E$8=Catalogo!$C109,N($N$8),0)+IF(Proyecto!$D$12=Catalogo!$C109,$AQ$4,0)+SUMIF($C$49:$C$58,Catalogo!$C109,$K$49:$K$58))</f>
        <v>0</v>
      </c>
      <c r="CA109" t="str" cm="1">
        <f t="array" ref="CA109">IF(NOT(AND($BN$17&lt;&gt;"",($BM$17+10)&lt;=$BO$17)),"",IF(B109&lt;&gt;"",IF(B109="-","",B109),IF(ISNUMBER(SEARCH(":",$BP$17)),IFERROR(_xlfn.LET(_xlpm.s,_xlfn.TEXTSPLIT($BP$17,","),_xlpm.k,FIND(":",_xlpm.s),INDEX(TRIM(LEFT(_xlpm.s,_xlpm.k-1)),_xlfn.XMATCH(($BM$17+10),_xlfn.SCAN(0,--MID(_xlpm.s,_xlpm.k+1,9),_xlfn.LAMBDA(_xlpm.a,_xlpm.v,_xlpm.a+_xlpm.v)),1))),""),IF(($BM$17+10)&lt;=$BQ$17,$BP$17,""))))</f>
        <v/>
      </c>
      <c r="CB109" t="str" cm="1">
        <f t="array" ref="CB109">IF(NOT(AND($BN$18&lt;&gt;"",($BM$18+10)&lt;=$BO$18)),"",IF(H109&lt;&gt;"",IF(H109="-","",H109),IF(ISNUMBER(SEARCH(":",$BP$18)),IFERROR(_xlfn.LET(_xlpm.s,_xlfn.TEXTSPLIT($BP$18,","),_xlpm.k,FIND(":",_xlpm.s),INDEX(TRIM(LEFT(_xlpm.s,_xlpm.k-1)),_xlfn.XMATCH(($BM$18+10),_xlfn.SCAN(0,--MID(_xlpm.s,_xlpm.k+1,9),_xlfn.LAMBDA(_xlpm.a,_xlpm.v,_xlpm.a+_xlpm.v)),1))),""),IF(($BM$18+10)&lt;=$BQ$18,$BP$18,""))))</f>
        <v/>
      </c>
      <c r="CC109" t="str" cm="1">
        <f t="array" ref="CC109">IF(NOT(AND($BN$19&lt;&gt;"",($BM$19+10)&lt;=$BO$19)),"",IF(N109&lt;&gt;"",IF(N109="-","",N109),IF(ISNUMBER(SEARCH(":",$BP$19)),IFERROR(_xlfn.LET(_xlpm.s,_xlfn.TEXTSPLIT($BP$19,","),_xlpm.k,FIND(":",_xlpm.s),INDEX(TRIM(LEFT(_xlpm.s,_xlpm.k-1)),_xlfn.XMATCH(($BM$19+10),_xlfn.SCAN(0,--MID(_xlpm.s,_xlpm.k+1,9),_xlfn.LAMBDA(_xlpm.a,_xlpm.v,_xlpm.a+_xlpm.v)),1))),""),IF(($BM$19+10)&lt;=$BQ$19,$BP$19,""))))</f>
        <v/>
      </c>
      <c r="CD109" t="str" cm="1">
        <f t="array" ref="CD109">IF(NOT(AND($BN$20&lt;&gt;"",($BM$20+10)&lt;=$BO$20)),"",IF(T109&lt;&gt;"",IF(T109="-","",T109),IF(ISNUMBER(SEARCH(":",$BP$20)),IFERROR(_xlfn.LET(_xlpm.s,_xlfn.TEXTSPLIT($BP$20,","),_xlpm.k,FIND(":",_xlpm.s),INDEX(TRIM(LEFT(_xlpm.s,_xlpm.k-1)),_xlfn.XMATCH(($BM$20+10),_xlfn.SCAN(0,--MID(_xlpm.s,_xlpm.k+1,9),_xlfn.LAMBDA(_xlpm.a,_xlpm.v,_xlpm.a+_xlpm.v)),1))),""),IF(($BM$20+10)&lt;=$BQ$20,$BP$20,""))))</f>
        <v/>
      </c>
    </row>
    <row r="110" spans="2:82" hidden="1" x14ac:dyDescent="0.45">
      <c r="B110" s="6"/>
      <c r="C110" s="9" t="str">
        <f>IF(CA110="","",CA110&amp;"-"&amp;TEXT(COUNTIF($CA$72:$CA$95,CA110)+COUNTIF($CB$72:$CB$95,CA110)+COUNTIF($CC$72:$CC$95,CA110)+COUNTIF($CD$72:$CD$95,CA110)+COUNTIF($CA$100:CA110,CA110),"000"))</f>
        <v/>
      </c>
      <c r="D110" s="9" t="str">
        <f>IF(AND($BN$17&lt;&gt;"",($BM$17+11)&lt;=$BO$17),$BN$17,"")</f>
        <v/>
      </c>
      <c r="E110" s="9" t="str">
        <f>IF(AND($BN$17&lt;&gt;"",($BM$17+11)&lt;=$BO$17),TEXT(($BM$17+11),"00"),"")</f>
        <v/>
      </c>
      <c r="F110" s="9" t="str">
        <f>IF(AND($BN$17&lt;&gt;"",($BM$17+11)&lt;=$BO$17),$BN$17&amp;"-"&amp;TEXT(($BM$17+11),"00"),"")</f>
        <v/>
      </c>
      <c r="H110" s="6"/>
      <c r="I110" s="9" t="str">
        <f>IF(CB110="","",CB110&amp;"-"&amp;TEXT(COUNTIF($CA$72:$CA$95,CB110)+COUNTIF($CB$72:$CB$95,CB110)+COUNTIF($CC$72:$CC$95,CB110)+COUNTIF($CD$72:$CD$95,CB110)+COUNTIF($CA$100:$CA$123,CB110)+COUNTIF($CB$100:CB110,CB110),"000"))</f>
        <v/>
      </c>
      <c r="J110" s="9" t="str">
        <f>IF(AND($BN$18&lt;&gt;"",($BM$18+11)&lt;=$BO$18),$BN$18,"")</f>
        <v/>
      </c>
      <c r="K110" s="9" t="str">
        <f>IF(AND($BN$18&lt;&gt;"",($BM$18+11)&lt;=$BO$18),TEXT(($BM$18+11),"00"),"")</f>
        <v/>
      </c>
      <c r="L110" s="9" t="str">
        <f>IF(AND($BN$18&lt;&gt;"",($BM$18+11)&lt;=$BO$18),$BN$18&amp;"-"&amp;TEXT(($BM$18+11),"00"),"")</f>
        <v/>
      </c>
      <c r="N110" s="6"/>
      <c r="O110" s="9" t="str">
        <f>IF(CC110="","",CC110&amp;"-"&amp;TEXT(COUNTIF($CA$72:$CA$95,CC110)+COUNTIF($CB$72:$CB$95,CC110)+COUNTIF($CC$72:$CC$95,CC110)+COUNTIF($CD$72:$CD$95,CC110)+COUNTIF($CA$100:$CA$123,CC110)+COUNTIF($CB$100:$CB$123,CC110)+COUNTIF($CC$100:CC110,CC110),"000"))</f>
        <v/>
      </c>
      <c r="P110" s="9" t="str">
        <f>IF(AND($BN$19&lt;&gt;"",($BM$19+11)&lt;=$BO$19),$BN$19,"")</f>
        <v/>
      </c>
      <c r="Q110" s="9" t="str">
        <f>IF(AND($BN$19&lt;&gt;"",($BM$19+11)&lt;=$BO$19),TEXT(($BM$19+11),"00"),"")</f>
        <v/>
      </c>
      <c r="R110" s="9" t="str">
        <f>IF(AND($BN$19&lt;&gt;"",($BM$19+11)&lt;=$BO$19),$BN$19&amp;"-"&amp;TEXT(($BM$19+11),"00"),"")</f>
        <v/>
      </c>
      <c r="T110" s="6"/>
      <c r="U110" s="9" t="str">
        <f>IF(CD110="","",CD110&amp;"-"&amp;TEXT(COUNTIF($CA$72:$CA$95,CD110)+COUNTIF($CB$72:$CB$95,CD110)+COUNTIF($CC$72:$CC$95,CD110)+COUNTIF($CD$72:$CD$95,CD110)+COUNTIF($CA$100:$CA$123,CD110)+COUNTIF($CB$100:$CB$123,CD110)+COUNTIF($CC$100:$CC$123,CD110)+COUNTIF($CD$100:CD110,CD110),"000"))</f>
        <v/>
      </c>
      <c r="V110" s="9" t="str">
        <f>IF(AND($BN$20&lt;&gt;"",($BM$20+11)&lt;=$BO$20),$BN$20,"")</f>
        <v/>
      </c>
      <c r="W110" s="9" t="str">
        <f>IF(AND($BN$20&lt;&gt;"",($BM$20+11)&lt;=$BO$20),TEXT(($BM$20+11),"00"),"")</f>
        <v/>
      </c>
      <c r="X110" s="9" t="str">
        <f>IF(AND($BN$20&lt;&gt;"",($BM$20+11)&lt;=$BO$20),$BN$20&amp;"-"&amp;TEXT(($BM$20+11),"00"),"")</f>
        <v/>
      </c>
      <c r="BA110">
        <f>IF(OR(Catalogo!$C110="",Catalogo!$B110="Espacio libre",Catalogo!$B110="Espacio reservado"),0,COUNTIF($C$13:$C$42,Catalogo!$C110)+IF($E$7=Catalogo!$C110,N($K$7),0)+IF($E$8=Catalogo!$C110,N($N$8),0)+IF(Proyecto!$D$12=Catalogo!$C110,$AQ$4,0)+SUMIF($C$49:$C$58,Catalogo!$C110,$K$49:$K$58))</f>
        <v>1</v>
      </c>
      <c r="CA110" t="str" cm="1">
        <f t="array" ref="CA110">IF(NOT(AND($BN$17&lt;&gt;"",($BM$17+11)&lt;=$BO$17)),"",IF(B110&lt;&gt;"",IF(B110="-","",B110),IF(ISNUMBER(SEARCH(":",$BP$17)),IFERROR(_xlfn.LET(_xlpm.s,_xlfn.TEXTSPLIT($BP$17,","),_xlpm.k,FIND(":",_xlpm.s),INDEX(TRIM(LEFT(_xlpm.s,_xlpm.k-1)),_xlfn.XMATCH(($BM$17+11),_xlfn.SCAN(0,--MID(_xlpm.s,_xlpm.k+1,9),_xlfn.LAMBDA(_xlpm.a,_xlpm.v,_xlpm.a+_xlpm.v)),1))),""),IF(($BM$17+11)&lt;=$BQ$17,$BP$17,""))))</f>
        <v/>
      </c>
      <c r="CB110" t="str" cm="1">
        <f t="array" ref="CB110">IF(NOT(AND($BN$18&lt;&gt;"",($BM$18+11)&lt;=$BO$18)),"",IF(H110&lt;&gt;"",IF(H110="-","",H110),IF(ISNUMBER(SEARCH(":",$BP$18)),IFERROR(_xlfn.LET(_xlpm.s,_xlfn.TEXTSPLIT($BP$18,","),_xlpm.k,FIND(":",_xlpm.s),INDEX(TRIM(LEFT(_xlpm.s,_xlpm.k-1)),_xlfn.XMATCH(($BM$18+11),_xlfn.SCAN(0,--MID(_xlpm.s,_xlpm.k+1,9),_xlfn.LAMBDA(_xlpm.a,_xlpm.v,_xlpm.a+_xlpm.v)),1))),""),IF(($BM$18+11)&lt;=$BQ$18,$BP$18,""))))</f>
        <v/>
      </c>
      <c r="CC110" t="str" cm="1">
        <f t="array" ref="CC110">IF(NOT(AND($BN$19&lt;&gt;"",($BM$19+11)&lt;=$BO$19)),"",IF(N110&lt;&gt;"",IF(N110="-","",N110),IF(ISNUMBER(SEARCH(":",$BP$19)),IFERROR(_xlfn.LET(_xlpm.s,_xlfn.TEXTSPLIT($BP$19,","),_xlpm.k,FIND(":",_xlpm.s),INDEX(TRIM(LEFT(_xlpm.s,_xlpm.k-1)),_xlfn.XMATCH(($BM$19+11),_xlfn.SCAN(0,--MID(_xlpm.s,_xlpm.k+1,9),_xlfn.LAMBDA(_xlpm.a,_xlpm.v,_xlpm.a+_xlpm.v)),1))),""),IF(($BM$19+11)&lt;=$BQ$19,$BP$19,""))))</f>
        <v/>
      </c>
      <c r="CD110" t="str" cm="1">
        <f t="array" ref="CD110">IF(NOT(AND($BN$20&lt;&gt;"",($BM$20+11)&lt;=$BO$20)),"",IF(T110&lt;&gt;"",IF(T110="-","",T110),IF(ISNUMBER(SEARCH(":",$BP$20)),IFERROR(_xlfn.LET(_xlpm.s,_xlfn.TEXTSPLIT($BP$20,","),_xlpm.k,FIND(":",_xlpm.s),INDEX(TRIM(LEFT(_xlpm.s,_xlpm.k-1)),_xlfn.XMATCH(($BM$20+11),_xlfn.SCAN(0,--MID(_xlpm.s,_xlpm.k+1,9),_xlfn.LAMBDA(_xlpm.a,_xlpm.v,_xlpm.a+_xlpm.v)),1))),""),IF(($BM$20+11)&lt;=$BQ$20,$BP$20,""))))</f>
        <v/>
      </c>
    </row>
    <row r="111" spans="2:82" hidden="1" x14ac:dyDescent="0.45">
      <c r="B111" s="6"/>
      <c r="C111" s="9" t="str">
        <f>IF(CA111="","",CA111&amp;"-"&amp;TEXT(COUNTIF($CA$72:$CA$95,CA111)+COUNTIF($CB$72:$CB$95,CA111)+COUNTIF($CC$72:$CC$95,CA111)+COUNTIF($CD$72:$CD$95,CA111)+COUNTIF($CA$100:CA111,CA111),"000"))</f>
        <v/>
      </c>
      <c r="D111" s="9" t="str">
        <f>IF(AND($BN$17&lt;&gt;"",($BM$17+12)&lt;=$BO$17),$BN$17,"")</f>
        <v/>
      </c>
      <c r="E111" s="9" t="str">
        <f>IF(AND($BN$17&lt;&gt;"",($BM$17+12)&lt;=$BO$17),TEXT(($BM$17+12),"00"),"")</f>
        <v/>
      </c>
      <c r="F111" s="9" t="str">
        <f>IF(AND($BN$17&lt;&gt;"",($BM$17+12)&lt;=$BO$17),$BN$17&amp;"-"&amp;TEXT(($BM$17+12),"00"),"")</f>
        <v/>
      </c>
      <c r="H111" s="6"/>
      <c r="I111" s="9" t="str">
        <f>IF(CB111="","",CB111&amp;"-"&amp;TEXT(COUNTIF($CA$72:$CA$95,CB111)+COUNTIF($CB$72:$CB$95,CB111)+COUNTIF($CC$72:$CC$95,CB111)+COUNTIF($CD$72:$CD$95,CB111)+COUNTIF($CA$100:$CA$123,CB111)+COUNTIF($CB$100:CB111,CB111),"000"))</f>
        <v/>
      </c>
      <c r="J111" s="9" t="str">
        <f>IF(AND($BN$18&lt;&gt;"",($BM$18+12)&lt;=$BO$18),$BN$18,"")</f>
        <v/>
      </c>
      <c r="K111" s="9" t="str">
        <f>IF(AND($BN$18&lt;&gt;"",($BM$18+12)&lt;=$BO$18),TEXT(($BM$18+12),"00"),"")</f>
        <v/>
      </c>
      <c r="L111" s="9" t="str">
        <f>IF(AND($BN$18&lt;&gt;"",($BM$18+12)&lt;=$BO$18),$BN$18&amp;"-"&amp;TEXT(($BM$18+12),"00"),"")</f>
        <v/>
      </c>
      <c r="N111" s="6"/>
      <c r="O111" s="9" t="str">
        <f>IF(CC111="","",CC111&amp;"-"&amp;TEXT(COUNTIF($CA$72:$CA$95,CC111)+COUNTIF($CB$72:$CB$95,CC111)+COUNTIF($CC$72:$CC$95,CC111)+COUNTIF($CD$72:$CD$95,CC111)+COUNTIF($CA$100:$CA$123,CC111)+COUNTIF($CB$100:$CB$123,CC111)+COUNTIF($CC$100:CC111,CC111),"000"))</f>
        <v/>
      </c>
      <c r="P111" s="9" t="str">
        <f>IF(AND($BN$19&lt;&gt;"",($BM$19+12)&lt;=$BO$19),$BN$19,"")</f>
        <v/>
      </c>
      <c r="Q111" s="9" t="str">
        <f>IF(AND($BN$19&lt;&gt;"",($BM$19+12)&lt;=$BO$19),TEXT(($BM$19+12),"00"),"")</f>
        <v/>
      </c>
      <c r="R111" s="9" t="str">
        <f>IF(AND($BN$19&lt;&gt;"",($BM$19+12)&lt;=$BO$19),$BN$19&amp;"-"&amp;TEXT(($BM$19+12),"00"),"")</f>
        <v/>
      </c>
      <c r="T111" s="6"/>
      <c r="U111" s="9" t="str">
        <f>IF(CD111="","",CD111&amp;"-"&amp;TEXT(COUNTIF($CA$72:$CA$95,CD111)+COUNTIF($CB$72:$CB$95,CD111)+COUNTIF($CC$72:$CC$95,CD111)+COUNTIF($CD$72:$CD$95,CD111)+COUNTIF($CA$100:$CA$123,CD111)+COUNTIF($CB$100:$CB$123,CD111)+COUNTIF($CC$100:$CC$123,CD111)+COUNTIF($CD$100:CD111,CD111),"000"))</f>
        <v/>
      </c>
      <c r="V111" s="9" t="str">
        <f>IF(AND($BN$20&lt;&gt;"",($BM$20+12)&lt;=$BO$20),$BN$20,"")</f>
        <v/>
      </c>
      <c r="W111" s="9" t="str">
        <f>IF(AND($BN$20&lt;&gt;"",($BM$20+12)&lt;=$BO$20),TEXT(($BM$20+12),"00"),"")</f>
        <v/>
      </c>
      <c r="X111" s="9" t="str">
        <f>IF(AND($BN$20&lt;&gt;"",($BM$20+12)&lt;=$BO$20),$BN$20&amp;"-"&amp;TEXT(($BM$20+12),"00"),"")</f>
        <v/>
      </c>
      <c r="BA111">
        <f>IF(OR(Catalogo!$C111="",Catalogo!$B111="Espacio libre",Catalogo!$B111="Espacio reservado"),0,COUNTIF($C$13:$C$42,Catalogo!$C111)+IF($E$7=Catalogo!$C111,N($K$7),0)+IF($E$8=Catalogo!$C111,N($N$8),0)+IF(Proyecto!$D$12=Catalogo!$C111,$AQ$4,0)+SUMIF($C$49:$C$58,Catalogo!$C111,$K$49:$K$58))</f>
        <v>1</v>
      </c>
      <c r="CA111" t="str" cm="1">
        <f t="array" ref="CA111">IF(NOT(AND($BN$17&lt;&gt;"",($BM$17+12)&lt;=$BO$17)),"",IF(B111&lt;&gt;"",IF(B111="-","",B111),IF(ISNUMBER(SEARCH(":",$BP$17)),IFERROR(_xlfn.LET(_xlpm.s,_xlfn.TEXTSPLIT($BP$17,","),_xlpm.k,FIND(":",_xlpm.s),INDEX(TRIM(LEFT(_xlpm.s,_xlpm.k-1)),_xlfn.XMATCH(($BM$17+12),_xlfn.SCAN(0,--MID(_xlpm.s,_xlpm.k+1,9),_xlfn.LAMBDA(_xlpm.a,_xlpm.v,_xlpm.a+_xlpm.v)),1))),""),IF(($BM$17+12)&lt;=$BQ$17,$BP$17,""))))</f>
        <v/>
      </c>
      <c r="CB111" t="str" cm="1">
        <f t="array" ref="CB111">IF(NOT(AND($BN$18&lt;&gt;"",($BM$18+12)&lt;=$BO$18)),"",IF(H111&lt;&gt;"",IF(H111="-","",H111),IF(ISNUMBER(SEARCH(":",$BP$18)),IFERROR(_xlfn.LET(_xlpm.s,_xlfn.TEXTSPLIT($BP$18,","),_xlpm.k,FIND(":",_xlpm.s),INDEX(TRIM(LEFT(_xlpm.s,_xlpm.k-1)),_xlfn.XMATCH(($BM$18+12),_xlfn.SCAN(0,--MID(_xlpm.s,_xlpm.k+1,9),_xlfn.LAMBDA(_xlpm.a,_xlpm.v,_xlpm.a+_xlpm.v)),1))),""),IF(($BM$18+12)&lt;=$BQ$18,$BP$18,""))))</f>
        <v/>
      </c>
      <c r="CC111" t="str" cm="1">
        <f t="array" ref="CC111">IF(NOT(AND($BN$19&lt;&gt;"",($BM$19+12)&lt;=$BO$19)),"",IF(N111&lt;&gt;"",IF(N111="-","",N111),IF(ISNUMBER(SEARCH(":",$BP$19)),IFERROR(_xlfn.LET(_xlpm.s,_xlfn.TEXTSPLIT($BP$19,","),_xlpm.k,FIND(":",_xlpm.s),INDEX(TRIM(LEFT(_xlpm.s,_xlpm.k-1)),_xlfn.XMATCH(($BM$19+12),_xlfn.SCAN(0,--MID(_xlpm.s,_xlpm.k+1,9),_xlfn.LAMBDA(_xlpm.a,_xlpm.v,_xlpm.a+_xlpm.v)),1))),""),IF(($BM$19+12)&lt;=$BQ$19,$BP$19,""))))</f>
        <v/>
      </c>
      <c r="CD111" t="str" cm="1">
        <f t="array" ref="CD111">IF(NOT(AND($BN$20&lt;&gt;"",($BM$20+12)&lt;=$BO$20)),"",IF(T111&lt;&gt;"",IF(T111="-","",T111),IF(ISNUMBER(SEARCH(":",$BP$20)),IFERROR(_xlfn.LET(_xlpm.s,_xlfn.TEXTSPLIT($BP$20,","),_xlpm.k,FIND(":",_xlpm.s),INDEX(TRIM(LEFT(_xlpm.s,_xlpm.k-1)),_xlfn.XMATCH(($BM$20+12),_xlfn.SCAN(0,--MID(_xlpm.s,_xlpm.k+1,9),_xlfn.LAMBDA(_xlpm.a,_xlpm.v,_xlpm.a+_xlpm.v)),1))),""),IF(($BM$20+12)&lt;=$BQ$20,$BP$20,""))))</f>
        <v/>
      </c>
    </row>
    <row r="112" spans="2:82" hidden="1" x14ac:dyDescent="0.45">
      <c r="B112" s="6"/>
      <c r="C112" s="9" t="str">
        <f>IF(CA112="","",CA112&amp;"-"&amp;TEXT(COUNTIF($CA$72:$CA$95,CA112)+COUNTIF($CB$72:$CB$95,CA112)+COUNTIF($CC$72:$CC$95,CA112)+COUNTIF($CD$72:$CD$95,CA112)+COUNTIF($CA$100:CA112,CA112),"000"))</f>
        <v/>
      </c>
      <c r="D112" s="9" t="str">
        <f>IF(AND($BN$17&lt;&gt;"",($BM$17+13)&lt;=$BO$17),$BN$17,"")</f>
        <v/>
      </c>
      <c r="E112" s="9" t="str">
        <f>IF(AND($BN$17&lt;&gt;"",($BM$17+13)&lt;=$BO$17),TEXT(($BM$17+13),"00"),"")</f>
        <v/>
      </c>
      <c r="F112" s="9" t="str">
        <f>IF(AND($BN$17&lt;&gt;"",($BM$17+13)&lt;=$BO$17),$BN$17&amp;"-"&amp;TEXT(($BM$17+13),"00"),"")</f>
        <v/>
      </c>
      <c r="H112" s="6"/>
      <c r="I112" s="9" t="str">
        <f>IF(CB112="","",CB112&amp;"-"&amp;TEXT(COUNTIF($CA$72:$CA$95,CB112)+COUNTIF($CB$72:$CB$95,CB112)+COUNTIF($CC$72:$CC$95,CB112)+COUNTIF($CD$72:$CD$95,CB112)+COUNTIF($CA$100:$CA$123,CB112)+COUNTIF($CB$100:CB112,CB112),"000"))</f>
        <v/>
      </c>
      <c r="J112" s="9" t="str">
        <f>IF(AND($BN$18&lt;&gt;"",($BM$18+13)&lt;=$BO$18),$BN$18,"")</f>
        <v/>
      </c>
      <c r="K112" s="9" t="str">
        <f>IF(AND($BN$18&lt;&gt;"",($BM$18+13)&lt;=$BO$18),TEXT(($BM$18+13),"00"),"")</f>
        <v/>
      </c>
      <c r="L112" s="9" t="str">
        <f>IF(AND($BN$18&lt;&gt;"",($BM$18+13)&lt;=$BO$18),$BN$18&amp;"-"&amp;TEXT(($BM$18+13),"00"),"")</f>
        <v/>
      </c>
      <c r="N112" s="6"/>
      <c r="O112" s="9" t="str">
        <f>IF(CC112="","",CC112&amp;"-"&amp;TEXT(COUNTIF($CA$72:$CA$95,CC112)+COUNTIF($CB$72:$CB$95,CC112)+COUNTIF($CC$72:$CC$95,CC112)+COUNTIF($CD$72:$CD$95,CC112)+COUNTIF($CA$100:$CA$123,CC112)+COUNTIF($CB$100:$CB$123,CC112)+COUNTIF($CC$100:CC112,CC112),"000"))</f>
        <v/>
      </c>
      <c r="P112" s="9" t="str">
        <f>IF(AND($BN$19&lt;&gt;"",($BM$19+13)&lt;=$BO$19),$BN$19,"")</f>
        <v/>
      </c>
      <c r="Q112" s="9" t="str">
        <f>IF(AND($BN$19&lt;&gt;"",($BM$19+13)&lt;=$BO$19),TEXT(($BM$19+13),"00"),"")</f>
        <v/>
      </c>
      <c r="R112" s="9" t="str">
        <f>IF(AND($BN$19&lt;&gt;"",($BM$19+13)&lt;=$BO$19),$BN$19&amp;"-"&amp;TEXT(($BM$19+13),"00"),"")</f>
        <v/>
      </c>
      <c r="T112" s="6"/>
      <c r="U112" s="9" t="str">
        <f>IF(CD112="","",CD112&amp;"-"&amp;TEXT(COUNTIF($CA$72:$CA$95,CD112)+COUNTIF($CB$72:$CB$95,CD112)+COUNTIF($CC$72:$CC$95,CD112)+COUNTIF($CD$72:$CD$95,CD112)+COUNTIF($CA$100:$CA$123,CD112)+COUNTIF($CB$100:$CB$123,CD112)+COUNTIF($CC$100:$CC$123,CD112)+COUNTIF($CD$100:CD112,CD112),"000"))</f>
        <v/>
      </c>
      <c r="V112" s="9" t="str">
        <f>IF(AND($BN$20&lt;&gt;"",($BM$20+13)&lt;=$BO$20),$BN$20,"")</f>
        <v/>
      </c>
      <c r="W112" s="9" t="str">
        <f>IF(AND($BN$20&lt;&gt;"",($BM$20+13)&lt;=$BO$20),TEXT(($BM$20+13),"00"),"")</f>
        <v/>
      </c>
      <c r="X112" s="9" t="str">
        <f>IF(AND($BN$20&lt;&gt;"",($BM$20+13)&lt;=$BO$20),$BN$20&amp;"-"&amp;TEXT(($BM$20+13),"00"),"")</f>
        <v/>
      </c>
      <c r="BA112">
        <f>IF(OR(Catalogo!$C112="",Catalogo!$B112="Espacio libre",Catalogo!$B112="Espacio reservado"),0,COUNTIF($C$13:$C$42,Catalogo!$C112)+IF($E$7=Catalogo!$C112,N($K$7),0)+IF($E$8=Catalogo!$C112,N($N$8),0)+IF(Proyecto!$D$12=Catalogo!$C112,$AQ$4,0)+SUMIF($C$49:$C$58,Catalogo!$C112,$K$49:$K$58))</f>
        <v>96</v>
      </c>
      <c r="CA112" t="str" cm="1">
        <f t="array" ref="CA112">IF(NOT(AND($BN$17&lt;&gt;"",($BM$17+13)&lt;=$BO$17)),"",IF(B112&lt;&gt;"",IF(B112="-","",B112),IF(ISNUMBER(SEARCH(":",$BP$17)),IFERROR(_xlfn.LET(_xlpm.s,_xlfn.TEXTSPLIT($BP$17,","),_xlpm.k,FIND(":",_xlpm.s),INDEX(TRIM(LEFT(_xlpm.s,_xlpm.k-1)),_xlfn.XMATCH(($BM$17+13),_xlfn.SCAN(0,--MID(_xlpm.s,_xlpm.k+1,9),_xlfn.LAMBDA(_xlpm.a,_xlpm.v,_xlpm.a+_xlpm.v)),1))),""),IF(($BM$17+13)&lt;=$BQ$17,$BP$17,""))))</f>
        <v/>
      </c>
      <c r="CB112" t="str" cm="1">
        <f t="array" ref="CB112">IF(NOT(AND($BN$18&lt;&gt;"",($BM$18+13)&lt;=$BO$18)),"",IF(H112&lt;&gt;"",IF(H112="-","",H112),IF(ISNUMBER(SEARCH(":",$BP$18)),IFERROR(_xlfn.LET(_xlpm.s,_xlfn.TEXTSPLIT($BP$18,","),_xlpm.k,FIND(":",_xlpm.s),INDEX(TRIM(LEFT(_xlpm.s,_xlpm.k-1)),_xlfn.XMATCH(($BM$18+13),_xlfn.SCAN(0,--MID(_xlpm.s,_xlpm.k+1,9),_xlfn.LAMBDA(_xlpm.a,_xlpm.v,_xlpm.a+_xlpm.v)),1))),""),IF(($BM$18+13)&lt;=$BQ$18,$BP$18,""))))</f>
        <v/>
      </c>
      <c r="CC112" t="str" cm="1">
        <f t="array" ref="CC112">IF(NOT(AND($BN$19&lt;&gt;"",($BM$19+13)&lt;=$BO$19)),"",IF(N112&lt;&gt;"",IF(N112="-","",N112),IF(ISNUMBER(SEARCH(":",$BP$19)),IFERROR(_xlfn.LET(_xlpm.s,_xlfn.TEXTSPLIT($BP$19,","),_xlpm.k,FIND(":",_xlpm.s),INDEX(TRIM(LEFT(_xlpm.s,_xlpm.k-1)),_xlfn.XMATCH(($BM$19+13),_xlfn.SCAN(0,--MID(_xlpm.s,_xlpm.k+1,9),_xlfn.LAMBDA(_xlpm.a,_xlpm.v,_xlpm.a+_xlpm.v)),1))),""),IF(($BM$19+13)&lt;=$BQ$19,$BP$19,""))))</f>
        <v/>
      </c>
      <c r="CD112" t="str" cm="1">
        <f t="array" ref="CD112">IF(NOT(AND($BN$20&lt;&gt;"",($BM$20+13)&lt;=$BO$20)),"",IF(T112&lt;&gt;"",IF(T112="-","",T112),IF(ISNUMBER(SEARCH(":",$BP$20)),IFERROR(_xlfn.LET(_xlpm.s,_xlfn.TEXTSPLIT($BP$20,","),_xlpm.k,FIND(":",_xlpm.s),INDEX(TRIM(LEFT(_xlpm.s,_xlpm.k-1)),_xlfn.XMATCH(($BM$20+13),_xlfn.SCAN(0,--MID(_xlpm.s,_xlpm.k+1,9),_xlfn.LAMBDA(_xlpm.a,_xlpm.v,_xlpm.a+_xlpm.v)),1))),""),IF(($BM$20+13)&lt;=$BQ$20,$BP$20,""))))</f>
        <v/>
      </c>
    </row>
    <row r="113" spans="2:82" hidden="1" x14ac:dyDescent="0.45">
      <c r="B113" s="6"/>
      <c r="C113" s="9" t="str">
        <f>IF(CA113="","",CA113&amp;"-"&amp;TEXT(COUNTIF($CA$72:$CA$95,CA113)+COUNTIF($CB$72:$CB$95,CA113)+COUNTIF($CC$72:$CC$95,CA113)+COUNTIF($CD$72:$CD$95,CA113)+COUNTIF($CA$100:CA113,CA113),"000"))</f>
        <v/>
      </c>
      <c r="D113" s="9" t="str">
        <f>IF(AND($BN$17&lt;&gt;"",($BM$17+14)&lt;=$BO$17),$BN$17,"")</f>
        <v/>
      </c>
      <c r="E113" s="9" t="str">
        <f>IF(AND($BN$17&lt;&gt;"",($BM$17+14)&lt;=$BO$17),TEXT(($BM$17+14),"00"),"")</f>
        <v/>
      </c>
      <c r="F113" s="9" t="str">
        <f>IF(AND($BN$17&lt;&gt;"",($BM$17+14)&lt;=$BO$17),$BN$17&amp;"-"&amp;TEXT(($BM$17+14),"00"),"")</f>
        <v/>
      </c>
      <c r="H113" s="6"/>
      <c r="I113" s="9" t="str">
        <f>IF(CB113="","",CB113&amp;"-"&amp;TEXT(COUNTIF($CA$72:$CA$95,CB113)+COUNTIF($CB$72:$CB$95,CB113)+COUNTIF($CC$72:$CC$95,CB113)+COUNTIF($CD$72:$CD$95,CB113)+COUNTIF($CA$100:$CA$123,CB113)+COUNTIF($CB$100:CB113,CB113),"000"))</f>
        <v/>
      </c>
      <c r="J113" s="9" t="str">
        <f>IF(AND($BN$18&lt;&gt;"",($BM$18+14)&lt;=$BO$18),$BN$18,"")</f>
        <v/>
      </c>
      <c r="K113" s="9" t="str">
        <f>IF(AND($BN$18&lt;&gt;"",($BM$18+14)&lt;=$BO$18),TEXT(($BM$18+14),"00"),"")</f>
        <v/>
      </c>
      <c r="L113" s="9" t="str">
        <f>IF(AND($BN$18&lt;&gt;"",($BM$18+14)&lt;=$BO$18),$BN$18&amp;"-"&amp;TEXT(($BM$18+14),"00"),"")</f>
        <v/>
      </c>
      <c r="N113" s="6"/>
      <c r="O113" s="9" t="str">
        <f>IF(CC113="","",CC113&amp;"-"&amp;TEXT(COUNTIF($CA$72:$CA$95,CC113)+COUNTIF($CB$72:$CB$95,CC113)+COUNTIF($CC$72:$CC$95,CC113)+COUNTIF($CD$72:$CD$95,CC113)+COUNTIF($CA$100:$CA$123,CC113)+COUNTIF($CB$100:$CB$123,CC113)+COUNTIF($CC$100:CC113,CC113),"000"))</f>
        <v/>
      </c>
      <c r="P113" s="9" t="str">
        <f>IF(AND($BN$19&lt;&gt;"",($BM$19+14)&lt;=$BO$19),$BN$19,"")</f>
        <v/>
      </c>
      <c r="Q113" s="9" t="str">
        <f>IF(AND($BN$19&lt;&gt;"",($BM$19+14)&lt;=$BO$19),TEXT(($BM$19+14),"00"),"")</f>
        <v/>
      </c>
      <c r="R113" s="9" t="str">
        <f>IF(AND($BN$19&lt;&gt;"",($BM$19+14)&lt;=$BO$19),$BN$19&amp;"-"&amp;TEXT(($BM$19+14),"00"),"")</f>
        <v/>
      </c>
      <c r="T113" s="6"/>
      <c r="U113" s="9" t="str">
        <f>IF(CD113="","",CD113&amp;"-"&amp;TEXT(COUNTIF($CA$72:$CA$95,CD113)+COUNTIF($CB$72:$CB$95,CD113)+COUNTIF($CC$72:$CC$95,CD113)+COUNTIF($CD$72:$CD$95,CD113)+COUNTIF($CA$100:$CA$123,CD113)+COUNTIF($CB$100:$CB$123,CD113)+COUNTIF($CC$100:$CC$123,CD113)+COUNTIF($CD$100:CD113,CD113),"000"))</f>
        <v/>
      </c>
      <c r="V113" s="9" t="str">
        <f>IF(AND($BN$20&lt;&gt;"",($BM$20+14)&lt;=$BO$20),$BN$20,"")</f>
        <v/>
      </c>
      <c r="W113" s="9" t="str">
        <f>IF(AND($BN$20&lt;&gt;"",($BM$20+14)&lt;=$BO$20),TEXT(($BM$20+14),"00"),"")</f>
        <v/>
      </c>
      <c r="X113" s="9" t="str">
        <f>IF(AND($BN$20&lt;&gt;"",($BM$20+14)&lt;=$BO$20),$BN$20&amp;"-"&amp;TEXT(($BM$20+14),"00"),"")</f>
        <v/>
      </c>
      <c r="BA113">
        <f>IF(OR(Catalogo!$C113="",Catalogo!$B113="Espacio libre",Catalogo!$B113="Espacio reservado"),0,COUNTIF($C$13:$C$42,Catalogo!$C113)+IF($E$7=Catalogo!$C113,N($K$7),0)+IF($E$8=Catalogo!$C113,N($N$8),0)+IF(Proyecto!$D$12=Catalogo!$C113,$AQ$4,0)+SUMIF($C$49:$C$58,Catalogo!$C113,$K$49:$K$58))</f>
        <v>0</v>
      </c>
      <c r="CA113" t="str" cm="1">
        <f t="array" ref="CA113">IF(NOT(AND($BN$17&lt;&gt;"",($BM$17+14)&lt;=$BO$17)),"",IF(B113&lt;&gt;"",IF(B113="-","",B113),IF(ISNUMBER(SEARCH(":",$BP$17)),IFERROR(_xlfn.LET(_xlpm.s,_xlfn.TEXTSPLIT($BP$17,","),_xlpm.k,FIND(":",_xlpm.s),INDEX(TRIM(LEFT(_xlpm.s,_xlpm.k-1)),_xlfn.XMATCH(($BM$17+14),_xlfn.SCAN(0,--MID(_xlpm.s,_xlpm.k+1,9),_xlfn.LAMBDA(_xlpm.a,_xlpm.v,_xlpm.a+_xlpm.v)),1))),""),IF(($BM$17+14)&lt;=$BQ$17,$BP$17,""))))</f>
        <v/>
      </c>
      <c r="CB113" t="str" cm="1">
        <f t="array" ref="CB113">IF(NOT(AND($BN$18&lt;&gt;"",($BM$18+14)&lt;=$BO$18)),"",IF(H113&lt;&gt;"",IF(H113="-","",H113),IF(ISNUMBER(SEARCH(":",$BP$18)),IFERROR(_xlfn.LET(_xlpm.s,_xlfn.TEXTSPLIT($BP$18,","),_xlpm.k,FIND(":",_xlpm.s),INDEX(TRIM(LEFT(_xlpm.s,_xlpm.k-1)),_xlfn.XMATCH(($BM$18+14),_xlfn.SCAN(0,--MID(_xlpm.s,_xlpm.k+1,9),_xlfn.LAMBDA(_xlpm.a,_xlpm.v,_xlpm.a+_xlpm.v)),1))),""),IF(($BM$18+14)&lt;=$BQ$18,$BP$18,""))))</f>
        <v/>
      </c>
      <c r="CC113" t="str" cm="1">
        <f t="array" ref="CC113">IF(NOT(AND($BN$19&lt;&gt;"",($BM$19+14)&lt;=$BO$19)),"",IF(N113&lt;&gt;"",IF(N113="-","",N113),IF(ISNUMBER(SEARCH(":",$BP$19)),IFERROR(_xlfn.LET(_xlpm.s,_xlfn.TEXTSPLIT($BP$19,","),_xlpm.k,FIND(":",_xlpm.s),INDEX(TRIM(LEFT(_xlpm.s,_xlpm.k-1)),_xlfn.XMATCH(($BM$19+14),_xlfn.SCAN(0,--MID(_xlpm.s,_xlpm.k+1,9),_xlfn.LAMBDA(_xlpm.a,_xlpm.v,_xlpm.a+_xlpm.v)),1))),""),IF(($BM$19+14)&lt;=$BQ$19,$BP$19,""))))</f>
        <v/>
      </c>
      <c r="CD113" t="str" cm="1">
        <f t="array" ref="CD113">IF(NOT(AND($BN$20&lt;&gt;"",($BM$20+14)&lt;=$BO$20)),"",IF(T113&lt;&gt;"",IF(T113="-","",T113),IF(ISNUMBER(SEARCH(":",$BP$20)),IFERROR(_xlfn.LET(_xlpm.s,_xlfn.TEXTSPLIT($BP$20,","),_xlpm.k,FIND(":",_xlpm.s),INDEX(TRIM(LEFT(_xlpm.s,_xlpm.k-1)),_xlfn.XMATCH(($BM$20+14),_xlfn.SCAN(0,--MID(_xlpm.s,_xlpm.k+1,9),_xlfn.LAMBDA(_xlpm.a,_xlpm.v,_xlpm.a+_xlpm.v)),1))),""),IF(($BM$20+14)&lt;=$BQ$20,$BP$20,""))))</f>
        <v/>
      </c>
    </row>
    <row r="114" spans="2:82" hidden="1" x14ac:dyDescent="0.45">
      <c r="B114" s="6"/>
      <c r="C114" s="9" t="str">
        <f>IF(CA114="","",CA114&amp;"-"&amp;TEXT(COUNTIF($CA$72:$CA$95,CA114)+COUNTIF($CB$72:$CB$95,CA114)+COUNTIF($CC$72:$CC$95,CA114)+COUNTIF($CD$72:$CD$95,CA114)+COUNTIF($CA$100:CA114,CA114),"000"))</f>
        <v/>
      </c>
      <c r="D114" s="9" t="str">
        <f>IF(AND($BN$17&lt;&gt;"",($BM$17+15)&lt;=$BO$17),$BN$17,"")</f>
        <v/>
      </c>
      <c r="E114" s="9" t="str">
        <f>IF(AND($BN$17&lt;&gt;"",($BM$17+15)&lt;=$BO$17),TEXT(($BM$17+15),"00"),"")</f>
        <v/>
      </c>
      <c r="F114" s="9" t="str">
        <f>IF(AND($BN$17&lt;&gt;"",($BM$17+15)&lt;=$BO$17),$BN$17&amp;"-"&amp;TEXT(($BM$17+15),"00"),"")</f>
        <v/>
      </c>
      <c r="H114" s="6"/>
      <c r="I114" s="9" t="str">
        <f>IF(CB114="","",CB114&amp;"-"&amp;TEXT(COUNTIF($CA$72:$CA$95,CB114)+COUNTIF($CB$72:$CB$95,CB114)+COUNTIF($CC$72:$CC$95,CB114)+COUNTIF($CD$72:$CD$95,CB114)+COUNTIF($CA$100:$CA$123,CB114)+COUNTIF($CB$100:CB114,CB114),"000"))</f>
        <v/>
      </c>
      <c r="J114" s="9" t="str">
        <f>IF(AND($BN$18&lt;&gt;"",($BM$18+15)&lt;=$BO$18),$BN$18,"")</f>
        <v/>
      </c>
      <c r="K114" s="9" t="str">
        <f>IF(AND($BN$18&lt;&gt;"",($BM$18+15)&lt;=$BO$18),TEXT(($BM$18+15),"00"),"")</f>
        <v/>
      </c>
      <c r="L114" s="9" t="str">
        <f>IF(AND($BN$18&lt;&gt;"",($BM$18+15)&lt;=$BO$18),$BN$18&amp;"-"&amp;TEXT(($BM$18+15),"00"),"")</f>
        <v/>
      </c>
      <c r="N114" s="6"/>
      <c r="O114" s="9" t="str">
        <f>IF(CC114="","",CC114&amp;"-"&amp;TEXT(COUNTIF($CA$72:$CA$95,CC114)+COUNTIF($CB$72:$CB$95,CC114)+COUNTIF($CC$72:$CC$95,CC114)+COUNTIF($CD$72:$CD$95,CC114)+COUNTIF($CA$100:$CA$123,CC114)+COUNTIF($CB$100:$CB$123,CC114)+COUNTIF($CC$100:CC114,CC114),"000"))</f>
        <v/>
      </c>
      <c r="P114" s="9" t="str">
        <f>IF(AND($BN$19&lt;&gt;"",($BM$19+15)&lt;=$BO$19),$BN$19,"")</f>
        <v/>
      </c>
      <c r="Q114" s="9" t="str">
        <f>IF(AND($BN$19&lt;&gt;"",($BM$19+15)&lt;=$BO$19),TEXT(($BM$19+15),"00"),"")</f>
        <v/>
      </c>
      <c r="R114" s="9" t="str">
        <f>IF(AND($BN$19&lt;&gt;"",($BM$19+15)&lt;=$BO$19),$BN$19&amp;"-"&amp;TEXT(($BM$19+15),"00"),"")</f>
        <v/>
      </c>
      <c r="T114" s="6"/>
      <c r="U114" s="9" t="str">
        <f>IF(CD114="","",CD114&amp;"-"&amp;TEXT(COUNTIF($CA$72:$CA$95,CD114)+COUNTIF($CB$72:$CB$95,CD114)+COUNTIF($CC$72:$CC$95,CD114)+COUNTIF($CD$72:$CD$95,CD114)+COUNTIF($CA$100:$CA$123,CD114)+COUNTIF($CB$100:$CB$123,CD114)+COUNTIF($CC$100:$CC$123,CD114)+COUNTIF($CD$100:CD114,CD114),"000"))</f>
        <v/>
      </c>
      <c r="V114" s="9" t="str">
        <f>IF(AND($BN$20&lt;&gt;"",($BM$20+15)&lt;=$BO$20),$BN$20,"")</f>
        <v/>
      </c>
      <c r="W114" s="9" t="str">
        <f>IF(AND($BN$20&lt;&gt;"",($BM$20+15)&lt;=$BO$20),TEXT(($BM$20+15),"00"),"")</f>
        <v/>
      </c>
      <c r="X114" s="9" t="str">
        <f>IF(AND($BN$20&lt;&gt;"",($BM$20+15)&lt;=$BO$20),$BN$20&amp;"-"&amp;TEXT(($BM$20+15),"00"),"")</f>
        <v/>
      </c>
      <c r="BA114">
        <f>IF(OR(Catalogo!$C114="",Catalogo!$B114="Espacio libre",Catalogo!$B114="Espacio reservado"),0,COUNTIF($C$13:$C$42,Catalogo!$C114)+IF($E$7=Catalogo!$C114,N($K$7),0)+IF($E$8=Catalogo!$C114,N($N$8),0)+IF(Proyecto!$D$12=Catalogo!$C114,$AQ$4,0)+SUMIF($C$49:$C$58,Catalogo!$C114,$K$49:$K$58))</f>
        <v>0</v>
      </c>
      <c r="CA114" t="str" cm="1">
        <f t="array" ref="CA114">IF(NOT(AND($BN$17&lt;&gt;"",($BM$17+15)&lt;=$BO$17)),"",IF(B114&lt;&gt;"",IF(B114="-","",B114),IF(ISNUMBER(SEARCH(":",$BP$17)),IFERROR(_xlfn.LET(_xlpm.s,_xlfn.TEXTSPLIT($BP$17,","),_xlpm.k,FIND(":",_xlpm.s),INDEX(TRIM(LEFT(_xlpm.s,_xlpm.k-1)),_xlfn.XMATCH(($BM$17+15),_xlfn.SCAN(0,--MID(_xlpm.s,_xlpm.k+1,9),_xlfn.LAMBDA(_xlpm.a,_xlpm.v,_xlpm.a+_xlpm.v)),1))),""),IF(($BM$17+15)&lt;=$BQ$17,$BP$17,""))))</f>
        <v/>
      </c>
      <c r="CB114" t="str" cm="1">
        <f t="array" ref="CB114">IF(NOT(AND($BN$18&lt;&gt;"",($BM$18+15)&lt;=$BO$18)),"",IF(H114&lt;&gt;"",IF(H114="-","",H114),IF(ISNUMBER(SEARCH(":",$BP$18)),IFERROR(_xlfn.LET(_xlpm.s,_xlfn.TEXTSPLIT($BP$18,","),_xlpm.k,FIND(":",_xlpm.s),INDEX(TRIM(LEFT(_xlpm.s,_xlpm.k-1)),_xlfn.XMATCH(($BM$18+15),_xlfn.SCAN(0,--MID(_xlpm.s,_xlpm.k+1,9),_xlfn.LAMBDA(_xlpm.a,_xlpm.v,_xlpm.a+_xlpm.v)),1))),""),IF(($BM$18+15)&lt;=$BQ$18,$BP$18,""))))</f>
        <v/>
      </c>
      <c r="CC114" t="str" cm="1">
        <f t="array" ref="CC114">IF(NOT(AND($BN$19&lt;&gt;"",($BM$19+15)&lt;=$BO$19)),"",IF(N114&lt;&gt;"",IF(N114="-","",N114),IF(ISNUMBER(SEARCH(":",$BP$19)),IFERROR(_xlfn.LET(_xlpm.s,_xlfn.TEXTSPLIT($BP$19,","),_xlpm.k,FIND(":",_xlpm.s),INDEX(TRIM(LEFT(_xlpm.s,_xlpm.k-1)),_xlfn.XMATCH(($BM$19+15),_xlfn.SCAN(0,--MID(_xlpm.s,_xlpm.k+1,9),_xlfn.LAMBDA(_xlpm.a,_xlpm.v,_xlpm.a+_xlpm.v)),1))),""),IF(($BM$19+15)&lt;=$BQ$19,$BP$19,""))))</f>
        <v/>
      </c>
      <c r="CD114" t="str" cm="1">
        <f t="array" ref="CD114">IF(NOT(AND($BN$20&lt;&gt;"",($BM$20+15)&lt;=$BO$20)),"",IF(T114&lt;&gt;"",IF(T114="-","",T114),IF(ISNUMBER(SEARCH(":",$BP$20)),IFERROR(_xlfn.LET(_xlpm.s,_xlfn.TEXTSPLIT($BP$20,","),_xlpm.k,FIND(":",_xlpm.s),INDEX(TRIM(LEFT(_xlpm.s,_xlpm.k-1)),_xlfn.XMATCH(($BM$20+15),_xlfn.SCAN(0,--MID(_xlpm.s,_xlpm.k+1,9),_xlfn.LAMBDA(_xlpm.a,_xlpm.v,_xlpm.a+_xlpm.v)),1))),""),IF(($BM$20+15)&lt;=$BQ$20,$BP$20,""))))</f>
        <v/>
      </c>
    </row>
    <row r="115" spans="2:82" hidden="1" x14ac:dyDescent="0.45">
      <c r="B115" s="6"/>
      <c r="C115" s="9" t="str">
        <f>IF(CA115="","",CA115&amp;"-"&amp;TEXT(COUNTIF($CA$72:$CA$95,CA115)+COUNTIF($CB$72:$CB$95,CA115)+COUNTIF($CC$72:$CC$95,CA115)+COUNTIF($CD$72:$CD$95,CA115)+COUNTIF($CA$100:CA115,CA115),"000"))</f>
        <v/>
      </c>
      <c r="D115" s="9" t="str">
        <f>IF(AND($BN$17&lt;&gt;"",($BM$17+16)&lt;=$BO$17),$BN$17,"")</f>
        <v/>
      </c>
      <c r="E115" s="9" t="str">
        <f>IF(AND($BN$17&lt;&gt;"",($BM$17+16)&lt;=$BO$17),TEXT(($BM$17+16),"00"),"")</f>
        <v/>
      </c>
      <c r="F115" s="9" t="str">
        <f>IF(AND($BN$17&lt;&gt;"",($BM$17+16)&lt;=$BO$17),$BN$17&amp;"-"&amp;TEXT(($BM$17+16),"00"),"")</f>
        <v/>
      </c>
      <c r="H115" s="6"/>
      <c r="I115" s="9" t="str">
        <f>IF(CB115="","",CB115&amp;"-"&amp;TEXT(COUNTIF($CA$72:$CA$95,CB115)+COUNTIF($CB$72:$CB$95,CB115)+COUNTIF($CC$72:$CC$95,CB115)+COUNTIF($CD$72:$CD$95,CB115)+COUNTIF($CA$100:$CA$123,CB115)+COUNTIF($CB$100:CB115,CB115),"000"))</f>
        <v/>
      </c>
      <c r="J115" s="9" t="str">
        <f>IF(AND($BN$18&lt;&gt;"",($BM$18+16)&lt;=$BO$18),$BN$18,"")</f>
        <v/>
      </c>
      <c r="K115" s="9" t="str">
        <f>IF(AND($BN$18&lt;&gt;"",($BM$18+16)&lt;=$BO$18),TEXT(($BM$18+16),"00"),"")</f>
        <v/>
      </c>
      <c r="L115" s="9" t="str">
        <f>IF(AND($BN$18&lt;&gt;"",($BM$18+16)&lt;=$BO$18),$BN$18&amp;"-"&amp;TEXT(($BM$18+16),"00"),"")</f>
        <v/>
      </c>
      <c r="N115" s="6"/>
      <c r="O115" s="9" t="str">
        <f>IF(CC115="","",CC115&amp;"-"&amp;TEXT(COUNTIF($CA$72:$CA$95,CC115)+COUNTIF($CB$72:$CB$95,CC115)+COUNTIF($CC$72:$CC$95,CC115)+COUNTIF($CD$72:$CD$95,CC115)+COUNTIF($CA$100:$CA$123,CC115)+COUNTIF($CB$100:$CB$123,CC115)+COUNTIF($CC$100:CC115,CC115),"000"))</f>
        <v/>
      </c>
      <c r="P115" s="9" t="str">
        <f>IF(AND($BN$19&lt;&gt;"",($BM$19+16)&lt;=$BO$19),$BN$19,"")</f>
        <v/>
      </c>
      <c r="Q115" s="9" t="str">
        <f>IF(AND($BN$19&lt;&gt;"",($BM$19+16)&lt;=$BO$19),TEXT(($BM$19+16),"00"),"")</f>
        <v/>
      </c>
      <c r="R115" s="9" t="str">
        <f>IF(AND($BN$19&lt;&gt;"",($BM$19+16)&lt;=$BO$19),$BN$19&amp;"-"&amp;TEXT(($BM$19+16),"00"),"")</f>
        <v/>
      </c>
      <c r="T115" s="6"/>
      <c r="U115" s="9" t="str">
        <f>IF(CD115="","",CD115&amp;"-"&amp;TEXT(COUNTIF($CA$72:$CA$95,CD115)+COUNTIF($CB$72:$CB$95,CD115)+COUNTIF($CC$72:$CC$95,CD115)+COUNTIF($CD$72:$CD$95,CD115)+COUNTIF($CA$100:$CA$123,CD115)+COUNTIF($CB$100:$CB$123,CD115)+COUNTIF($CC$100:$CC$123,CD115)+COUNTIF($CD$100:CD115,CD115),"000"))</f>
        <v/>
      </c>
      <c r="V115" s="9" t="str">
        <f>IF(AND($BN$20&lt;&gt;"",($BM$20+16)&lt;=$BO$20),$BN$20,"")</f>
        <v/>
      </c>
      <c r="W115" s="9" t="str">
        <f>IF(AND($BN$20&lt;&gt;"",($BM$20+16)&lt;=$BO$20),TEXT(($BM$20+16),"00"),"")</f>
        <v/>
      </c>
      <c r="X115" s="9" t="str">
        <f>IF(AND($BN$20&lt;&gt;"",($BM$20+16)&lt;=$BO$20),$BN$20&amp;"-"&amp;TEXT(($BM$20+16),"00"),"")</f>
        <v/>
      </c>
      <c r="BA115">
        <f>IF(OR(Catalogo!$C115="",Catalogo!$B115="Espacio libre",Catalogo!$B115="Espacio reservado"),0,COUNTIF($C$13:$C$42,Catalogo!$C115)+IF($E$7=Catalogo!$C115,N($K$7),0)+IF($E$8=Catalogo!$C115,N($N$8),0)+IF(Proyecto!$D$12=Catalogo!$C115,$AQ$4,0)+SUMIF($C$49:$C$58,Catalogo!$C115,$K$49:$K$58))</f>
        <v>0</v>
      </c>
      <c r="CA115" t="str" cm="1">
        <f t="array" ref="CA115">IF(NOT(AND($BN$17&lt;&gt;"",($BM$17+16)&lt;=$BO$17)),"",IF(B115&lt;&gt;"",IF(B115="-","",B115),IF(ISNUMBER(SEARCH(":",$BP$17)),IFERROR(_xlfn.LET(_xlpm.s,_xlfn.TEXTSPLIT($BP$17,","),_xlpm.k,FIND(":",_xlpm.s),INDEX(TRIM(LEFT(_xlpm.s,_xlpm.k-1)),_xlfn.XMATCH(($BM$17+16),_xlfn.SCAN(0,--MID(_xlpm.s,_xlpm.k+1,9),_xlfn.LAMBDA(_xlpm.a,_xlpm.v,_xlpm.a+_xlpm.v)),1))),""),IF(($BM$17+16)&lt;=$BQ$17,$BP$17,""))))</f>
        <v/>
      </c>
      <c r="CB115" t="str" cm="1">
        <f t="array" ref="CB115">IF(NOT(AND($BN$18&lt;&gt;"",($BM$18+16)&lt;=$BO$18)),"",IF(H115&lt;&gt;"",IF(H115="-","",H115),IF(ISNUMBER(SEARCH(":",$BP$18)),IFERROR(_xlfn.LET(_xlpm.s,_xlfn.TEXTSPLIT($BP$18,","),_xlpm.k,FIND(":",_xlpm.s),INDEX(TRIM(LEFT(_xlpm.s,_xlpm.k-1)),_xlfn.XMATCH(($BM$18+16),_xlfn.SCAN(0,--MID(_xlpm.s,_xlpm.k+1,9),_xlfn.LAMBDA(_xlpm.a,_xlpm.v,_xlpm.a+_xlpm.v)),1))),""),IF(($BM$18+16)&lt;=$BQ$18,$BP$18,""))))</f>
        <v/>
      </c>
      <c r="CC115" t="str" cm="1">
        <f t="array" ref="CC115">IF(NOT(AND($BN$19&lt;&gt;"",($BM$19+16)&lt;=$BO$19)),"",IF(N115&lt;&gt;"",IF(N115="-","",N115),IF(ISNUMBER(SEARCH(":",$BP$19)),IFERROR(_xlfn.LET(_xlpm.s,_xlfn.TEXTSPLIT($BP$19,","),_xlpm.k,FIND(":",_xlpm.s),INDEX(TRIM(LEFT(_xlpm.s,_xlpm.k-1)),_xlfn.XMATCH(($BM$19+16),_xlfn.SCAN(0,--MID(_xlpm.s,_xlpm.k+1,9),_xlfn.LAMBDA(_xlpm.a,_xlpm.v,_xlpm.a+_xlpm.v)),1))),""),IF(($BM$19+16)&lt;=$BQ$19,$BP$19,""))))</f>
        <v/>
      </c>
      <c r="CD115" t="str" cm="1">
        <f t="array" ref="CD115">IF(NOT(AND($BN$20&lt;&gt;"",($BM$20+16)&lt;=$BO$20)),"",IF(T115&lt;&gt;"",IF(T115="-","",T115),IF(ISNUMBER(SEARCH(":",$BP$20)),IFERROR(_xlfn.LET(_xlpm.s,_xlfn.TEXTSPLIT($BP$20,","),_xlpm.k,FIND(":",_xlpm.s),INDEX(TRIM(LEFT(_xlpm.s,_xlpm.k-1)),_xlfn.XMATCH(($BM$20+16),_xlfn.SCAN(0,--MID(_xlpm.s,_xlpm.k+1,9),_xlfn.LAMBDA(_xlpm.a,_xlpm.v,_xlpm.a+_xlpm.v)),1))),""),IF(($BM$20+16)&lt;=$BQ$20,$BP$20,""))))</f>
        <v/>
      </c>
    </row>
    <row r="116" spans="2:82" hidden="1" x14ac:dyDescent="0.45">
      <c r="B116" s="6"/>
      <c r="C116" s="9" t="str">
        <f>IF(CA116="","",CA116&amp;"-"&amp;TEXT(COUNTIF($CA$72:$CA$95,CA116)+COUNTIF($CB$72:$CB$95,CA116)+COUNTIF($CC$72:$CC$95,CA116)+COUNTIF($CD$72:$CD$95,CA116)+COUNTIF($CA$100:CA116,CA116),"000"))</f>
        <v/>
      </c>
      <c r="D116" s="9" t="str">
        <f>IF(AND($BN$17&lt;&gt;"",($BM$17+17)&lt;=$BO$17),$BN$17,"")</f>
        <v/>
      </c>
      <c r="E116" s="9" t="str">
        <f>IF(AND($BN$17&lt;&gt;"",($BM$17+17)&lt;=$BO$17),TEXT(($BM$17+17),"00"),"")</f>
        <v/>
      </c>
      <c r="F116" s="9" t="str">
        <f>IF(AND($BN$17&lt;&gt;"",($BM$17+17)&lt;=$BO$17),$BN$17&amp;"-"&amp;TEXT(($BM$17+17),"00"),"")</f>
        <v/>
      </c>
      <c r="H116" s="6"/>
      <c r="I116" s="9" t="str">
        <f>IF(CB116="","",CB116&amp;"-"&amp;TEXT(COUNTIF($CA$72:$CA$95,CB116)+COUNTIF($CB$72:$CB$95,CB116)+COUNTIF($CC$72:$CC$95,CB116)+COUNTIF($CD$72:$CD$95,CB116)+COUNTIF($CA$100:$CA$123,CB116)+COUNTIF($CB$100:CB116,CB116),"000"))</f>
        <v/>
      </c>
      <c r="J116" s="9" t="str">
        <f>IF(AND($BN$18&lt;&gt;"",($BM$18+17)&lt;=$BO$18),$BN$18,"")</f>
        <v/>
      </c>
      <c r="K116" s="9" t="str">
        <f>IF(AND($BN$18&lt;&gt;"",($BM$18+17)&lt;=$BO$18),TEXT(($BM$18+17),"00"),"")</f>
        <v/>
      </c>
      <c r="L116" s="9" t="str">
        <f>IF(AND($BN$18&lt;&gt;"",($BM$18+17)&lt;=$BO$18),$BN$18&amp;"-"&amp;TEXT(($BM$18+17),"00"),"")</f>
        <v/>
      </c>
      <c r="N116" s="6"/>
      <c r="O116" s="9" t="str">
        <f>IF(CC116="","",CC116&amp;"-"&amp;TEXT(COUNTIF($CA$72:$CA$95,CC116)+COUNTIF($CB$72:$CB$95,CC116)+COUNTIF($CC$72:$CC$95,CC116)+COUNTIF($CD$72:$CD$95,CC116)+COUNTIF($CA$100:$CA$123,CC116)+COUNTIF($CB$100:$CB$123,CC116)+COUNTIF($CC$100:CC116,CC116),"000"))</f>
        <v/>
      </c>
      <c r="P116" s="9" t="str">
        <f>IF(AND($BN$19&lt;&gt;"",($BM$19+17)&lt;=$BO$19),$BN$19,"")</f>
        <v/>
      </c>
      <c r="Q116" s="9" t="str">
        <f>IF(AND($BN$19&lt;&gt;"",($BM$19+17)&lt;=$BO$19),TEXT(($BM$19+17),"00"),"")</f>
        <v/>
      </c>
      <c r="R116" s="9" t="str">
        <f>IF(AND($BN$19&lt;&gt;"",($BM$19+17)&lt;=$BO$19),$BN$19&amp;"-"&amp;TEXT(($BM$19+17),"00"),"")</f>
        <v/>
      </c>
      <c r="T116" s="6"/>
      <c r="U116" s="9" t="str">
        <f>IF(CD116="","",CD116&amp;"-"&amp;TEXT(COUNTIF($CA$72:$CA$95,CD116)+COUNTIF($CB$72:$CB$95,CD116)+COUNTIF($CC$72:$CC$95,CD116)+COUNTIF($CD$72:$CD$95,CD116)+COUNTIF($CA$100:$CA$123,CD116)+COUNTIF($CB$100:$CB$123,CD116)+COUNTIF($CC$100:$CC$123,CD116)+COUNTIF($CD$100:CD116,CD116),"000"))</f>
        <v/>
      </c>
      <c r="V116" s="9" t="str">
        <f>IF(AND($BN$20&lt;&gt;"",($BM$20+17)&lt;=$BO$20),$BN$20,"")</f>
        <v/>
      </c>
      <c r="W116" s="9" t="str">
        <f>IF(AND($BN$20&lt;&gt;"",($BM$20+17)&lt;=$BO$20),TEXT(($BM$20+17),"00"),"")</f>
        <v/>
      </c>
      <c r="X116" s="9" t="str">
        <f>IF(AND($BN$20&lt;&gt;"",($BM$20+17)&lt;=$BO$20),$BN$20&amp;"-"&amp;TEXT(($BM$20+17),"00"),"")</f>
        <v/>
      </c>
      <c r="BA116">
        <f>IF(OR(Catalogo!$C116="",Catalogo!$B116="Espacio libre",Catalogo!$B116="Espacio reservado"),0,COUNTIF($C$13:$C$42,Catalogo!$C116)+IF($E$7=Catalogo!$C116,N($K$7),0)+IF($E$8=Catalogo!$C116,N($N$8),0)+IF(Proyecto!$D$12=Catalogo!$C116,$AQ$4,0)+SUMIF($C$49:$C$58,Catalogo!$C116,$K$49:$K$58))</f>
        <v>0</v>
      </c>
      <c r="CA116" t="str" cm="1">
        <f t="array" ref="CA116">IF(NOT(AND($BN$17&lt;&gt;"",($BM$17+17)&lt;=$BO$17)),"",IF(B116&lt;&gt;"",IF(B116="-","",B116),IF(ISNUMBER(SEARCH(":",$BP$17)),IFERROR(_xlfn.LET(_xlpm.s,_xlfn.TEXTSPLIT($BP$17,","),_xlpm.k,FIND(":",_xlpm.s),INDEX(TRIM(LEFT(_xlpm.s,_xlpm.k-1)),_xlfn.XMATCH(($BM$17+17),_xlfn.SCAN(0,--MID(_xlpm.s,_xlpm.k+1,9),_xlfn.LAMBDA(_xlpm.a,_xlpm.v,_xlpm.a+_xlpm.v)),1))),""),IF(($BM$17+17)&lt;=$BQ$17,$BP$17,""))))</f>
        <v/>
      </c>
      <c r="CB116" t="str" cm="1">
        <f t="array" ref="CB116">IF(NOT(AND($BN$18&lt;&gt;"",($BM$18+17)&lt;=$BO$18)),"",IF(H116&lt;&gt;"",IF(H116="-","",H116),IF(ISNUMBER(SEARCH(":",$BP$18)),IFERROR(_xlfn.LET(_xlpm.s,_xlfn.TEXTSPLIT($BP$18,","),_xlpm.k,FIND(":",_xlpm.s),INDEX(TRIM(LEFT(_xlpm.s,_xlpm.k-1)),_xlfn.XMATCH(($BM$18+17),_xlfn.SCAN(0,--MID(_xlpm.s,_xlpm.k+1,9),_xlfn.LAMBDA(_xlpm.a,_xlpm.v,_xlpm.a+_xlpm.v)),1))),""),IF(($BM$18+17)&lt;=$BQ$18,$BP$18,""))))</f>
        <v/>
      </c>
      <c r="CC116" t="str" cm="1">
        <f t="array" ref="CC116">IF(NOT(AND($BN$19&lt;&gt;"",($BM$19+17)&lt;=$BO$19)),"",IF(N116&lt;&gt;"",IF(N116="-","",N116),IF(ISNUMBER(SEARCH(":",$BP$19)),IFERROR(_xlfn.LET(_xlpm.s,_xlfn.TEXTSPLIT($BP$19,","),_xlpm.k,FIND(":",_xlpm.s),INDEX(TRIM(LEFT(_xlpm.s,_xlpm.k-1)),_xlfn.XMATCH(($BM$19+17),_xlfn.SCAN(0,--MID(_xlpm.s,_xlpm.k+1,9),_xlfn.LAMBDA(_xlpm.a,_xlpm.v,_xlpm.a+_xlpm.v)),1))),""),IF(($BM$19+17)&lt;=$BQ$19,$BP$19,""))))</f>
        <v/>
      </c>
      <c r="CD116" t="str" cm="1">
        <f t="array" ref="CD116">IF(NOT(AND($BN$20&lt;&gt;"",($BM$20+17)&lt;=$BO$20)),"",IF(T116&lt;&gt;"",IF(T116="-","",T116),IF(ISNUMBER(SEARCH(":",$BP$20)),IFERROR(_xlfn.LET(_xlpm.s,_xlfn.TEXTSPLIT($BP$20,","),_xlpm.k,FIND(":",_xlpm.s),INDEX(TRIM(LEFT(_xlpm.s,_xlpm.k-1)),_xlfn.XMATCH(($BM$20+17),_xlfn.SCAN(0,--MID(_xlpm.s,_xlpm.k+1,9),_xlfn.LAMBDA(_xlpm.a,_xlpm.v,_xlpm.a+_xlpm.v)),1))),""),IF(($BM$20+17)&lt;=$BQ$20,$BP$20,""))))</f>
        <v/>
      </c>
    </row>
    <row r="117" spans="2:82" hidden="1" x14ac:dyDescent="0.45">
      <c r="B117" s="6"/>
      <c r="C117" s="9" t="str">
        <f>IF(CA117="","",CA117&amp;"-"&amp;TEXT(COUNTIF($CA$72:$CA$95,CA117)+COUNTIF($CB$72:$CB$95,CA117)+COUNTIF($CC$72:$CC$95,CA117)+COUNTIF($CD$72:$CD$95,CA117)+COUNTIF($CA$100:CA117,CA117),"000"))</f>
        <v/>
      </c>
      <c r="D117" s="9" t="str">
        <f>IF(AND($BN$17&lt;&gt;"",($BM$17+18)&lt;=$BO$17),$BN$17,"")</f>
        <v/>
      </c>
      <c r="E117" s="9" t="str">
        <f>IF(AND($BN$17&lt;&gt;"",($BM$17+18)&lt;=$BO$17),TEXT(($BM$17+18),"00"),"")</f>
        <v/>
      </c>
      <c r="F117" s="9" t="str">
        <f>IF(AND($BN$17&lt;&gt;"",($BM$17+18)&lt;=$BO$17),$BN$17&amp;"-"&amp;TEXT(($BM$17+18),"00"),"")</f>
        <v/>
      </c>
      <c r="H117" s="6"/>
      <c r="I117" s="9" t="str">
        <f>IF(CB117="","",CB117&amp;"-"&amp;TEXT(COUNTIF($CA$72:$CA$95,CB117)+COUNTIF($CB$72:$CB$95,CB117)+COUNTIF($CC$72:$CC$95,CB117)+COUNTIF($CD$72:$CD$95,CB117)+COUNTIF($CA$100:$CA$123,CB117)+COUNTIF($CB$100:CB117,CB117),"000"))</f>
        <v/>
      </c>
      <c r="J117" s="9" t="str">
        <f>IF(AND($BN$18&lt;&gt;"",($BM$18+18)&lt;=$BO$18),$BN$18,"")</f>
        <v/>
      </c>
      <c r="K117" s="9" t="str">
        <f>IF(AND($BN$18&lt;&gt;"",($BM$18+18)&lt;=$BO$18),TEXT(($BM$18+18),"00"),"")</f>
        <v/>
      </c>
      <c r="L117" s="9" t="str">
        <f>IF(AND($BN$18&lt;&gt;"",($BM$18+18)&lt;=$BO$18),$BN$18&amp;"-"&amp;TEXT(($BM$18+18),"00"),"")</f>
        <v/>
      </c>
      <c r="N117" s="6"/>
      <c r="O117" s="9" t="str">
        <f>IF(CC117="","",CC117&amp;"-"&amp;TEXT(COUNTIF($CA$72:$CA$95,CC117)+COUNTIF($CB$72:$CB$95,CC117)+COUNTIF($CC$72:$CC$95,CC117)+COUNTIF($CD$72:$CD$95,CC117)+COUNTIF($CA$100:$CA$123,CC117)+COUNTIF($CB$100:$CB$123,CC117)+COUNTIF($CC$100:CC117,CC117),"000"))</f>
        <v/>
      </c>
      <c r="P117" s="9" t="str">
        <f>IF(AND($BN$19&lt;&gt;"",($BM$19+18)&lt;=$BO$19),$BN$19,"")</f>
        <v/>
      </c>
      <c r="Q117" s="9" t="str">
        <f>IF(AND($BN$19&lt;&gt;"",($BM$19+18)&lt;=$BO$19),TEXT(($BM$19+18),"00"),"")</f>
        <v/>
      </c>
      <c r="R117" s="9" t="str">
        <f>IF(AND($BN$19&lt;&gt;"",($BM$19+18)&lt;=$BO$19),$BN$19&amp;"-"&amp;TEXT(($BM$19+18),"00"),"")</f>
        <v/>
      </c>
      <c r="T117" s="6"/>
      <c r="U117" s="9" t="str">
        <f>IF(CD117="","",CD117&amp;"-"&amp;TEXT(COUNTIF($CA$72:$CA$95,CD117)+COUNTIF($CB$72:$CB$95,CD117)+COUNTIF($CC$72:$CC$95,CD117)+COUNTIF($CD$72:$CD$95,CD117)+COUNTIF($CA$100:$CA$123,CD117)+COUNTIF($CB$100:$CB$123,CD117)+COUNTIF($CC$100:$CC$123,CD117)+COUNTIF($CD$100:CD117,CD117),"000"))</f>
        <v/>
      </c>
      <c r="V117" s="9" t="str">
        <f>IF(AND($BN$20&lt;&gt;"",($BM$20+18)&lt;=$BO$20),$BN$20,"")</f>
        <v/>
      </c>
      <c r="W117" s="9" t="str">
        <f>IF(AND($BN$20&lt;&gt;"",($BM$20+18)&lt;=$BO$20),TEXT(($BM$20+18),"00"),"")</f>
        <v/>
      </c>
      <c r="X117" s="9" t="str">
        <f>IF(AND($BN$20&lt;&gt;"",($BM$20+18)&lt;=$BO$20),$BN$20&amp;"-"&amp;TEXT(($BM$20+18),"00"),"")</f>
        <v/>
      </c>
      <c r="BA117">
        <f>IF(OR(Catalogo!$C117="",Catalogo!$B117="Espacio libre",Catalogo!$B117="Espacio reservado"),0,COUNTIF($C$13:$C$42,Catalogo!$C117)+IF($E$7=Catalogo!$C117,N($K$7),0)+IF($E$8=Catalogo!$C117,N($N$8),0)+IF(Proyecto!$D$12=Catalogo!$C117,$AQ$4,0)+SUMIF($C$49:$C$58,Catalogo!$C117,$K$49:$K$58))</f>
        <v>0</v>
      </c>
      <c r="CA117" t="str" cm="1">
        <f t="array" ref="CA117">IF(NOT(AND($BN$17&lt;&gt;"",($BM$17+18)&lt;=$BO$17)),"",IF(B117&lt;&gt;"",IF(B117="-","",B117),IF(ISNUMBER(SEARCH(":",$BP$17)),IFERROR(_xlfn.LET(_xlpm.s,_xlfn.TEXTSPLIT($BP$17,","),_xlpm.k,FIND(":",_xlpm.s),INDEX(TRIM(LEFT(_xlpm.s,_xlpm.k-1)),_xlfn.XMATCH(($BM$17+18),_xlfn.SCAN(0,--MID(_xlpm.s,_xlpm.k+1,9),_xlfn.LAMBDA(_xlpm.a,_xlpm.v,_xlpm.a+_xlpm.v)),1))),""),IF(($BM$17+18)&lt;=$BQ$17,$BP$17,""))))</f>
        <v/>
      </c>
      <c r="CB117" t="str" cm="1">
        <f t="array" ref="CB117">IF(NOT(AND($BN$18&lt;&gt;"",($BM$18+18)&lt;=$BO$18)),"",IF(H117&lt;&gt;"",IF(H117="-","",H117),IF(ISNUMBER(SEARCH(":",$BP$18)),IFERROR(_xlfn.LET(_xlpm.s,_xlfn.TEXTSPLIT($BP$18,","),_xlpm.k,FIND(":",_xlpm.s),INDEX(TRIM(LEFT(_xlpm.s,_xlpm.k-1)),_xlfn.XMATCH(($BM$18+18),_xlfn.SCAN(0,--MID(_xlpm.s,_xlpm.k+1,9),_xlfn.LAMBDA(_xlpm.a,_xlpm.v,_xlpm.a+_xlpm.v)),1))),""),IF(($BM$18+18)&lt;=$BQ$18,$BP$18,""))))</f>
        <v/>
      </c>
      <c r="CC117" t="str" cm="1">
        <f t="array" ref="CC117">IF(NOT(AND($BN$19&lt;&gt;"",($BM$19+18)&lt;=$BO$19)),"",IF(N117&lt;&gt;"",IF(N117="-","",N117),IF(ISNUMBER(SEARCH(":",$BP$19)),IFERROR(_xlfn.LET(_xlpm.s,_xlfn.TEXTSPLIT($BP$19,","),_xlpm.k,FIND(":",_xlpm.s),INDEX(TRIM(LEFT(_xlpm.s,_xlpm.k-1)),_xlfn.XMATCH(($BM$19+18),_xlfn.SCAN(0,--MID(_xlpm.s,_xlpm.k+1,9),_xlfn.LAMBDA(_xlpm.a,_xlpm.v,_xlpm.a+_xlpm.v)),1))),""),IF(($BM$19+18)&lt;=$BQ$19,$BP$19,""))))</f>
        <v/>
      </c>
      <c r="CD117" t="str" cm="1">
        <f t="array" ref="CD117">IF(NOT(AND($BN$20&lt;&gt;"",($BM$20+18)&lt;=$BO$20)),"",IF(T117&lt;&gt;"",IF(T117="-","",T117),IF(ISNUMBER(SEARCH(":",$BP$20)),IFERROR(_xlfn.LET(_xlpm.s,_xlfn.TEXTSPLIT($BP$20,","),_xlpm.k,FIND(":",_xlpm.s),INDEX(TRIM(LEFT(_xlpm.s,_xlpm.k-1)),_xlfn.XMATCH(($BM$20+18),_xlfn.SCAN(0,--MID(_xlpm.s,_xlpm.k+1,9),_xlfn.LAMBDA(_xlpm.a,_xlpm.v,_xlpm.a+_xlpm.v)),1))),""),IF(($BM$20+18)&lt;=$BQ$20,$BP$20,""))))</f>
        <v/>
      </c>
    </row>
    <row r="118" spans="2:82" hidden="1" x14ac:dyDescent="0.45">
      <c r="B118" s="6"/>
      <c r="C118" s="9" t="str">
        <f>IF(CA118="","",CA118&amp;"-"&amp;TEXT(COUNTIF($CA$72:$CA$95,CA118)+COUNTIF($CB$72:$CB$95,CA118)+COUNTIF($CC$72:$CC$95,CA118)+COUNTIF($CD$72:$CD$95,CA118)+COUNTIF($CA$100:CA118,CA118),"000"))</f>
        <v/>
      </c>
      <c r="D118" s="9" t="str">
        <f>IF(AND($BN$17&lt;&gt;"",($BM$17+19)&lt;=$BO$17),$BN$17,"")</f>
        <v/>
      </c>
      <c r="E118" s="9" t="str">
        <f>IF(AND($BN$17&lt;&gt;"",($BM$17+19)&lt;=$BO$17),TEXT(($BM$17+19),"00"),"")</f>
        <v/>
      </c>
      <c r="F118" s="9" t="str">
        <f>IF(AND($BN$17&lt;&gt;"",($BM$17+19)&lt;=$BO$17),$BN$17&amp;"-"&amp;TEXT(($BM$17+19),"00"),"")</f>
        <v/>
      </c>
      <c r="H118" s="6"/>
      <c r="I118" s="9" t="str">
        <f>IF(CB118="","",CB118&amp;"-"&amp;TEXT(COUNTIF($CA$72:$CA$95,CB118)+COUNTIF($CB$72:$CB$95,CB118)+COUNTIF($CC$72:$CC$95,CB118)+COUNTIF($CD$72:$CD$95,CB118)+COUNTIF($CA$100:$CA$123,CB118)+COUNTIF($CB$100:CB118,CB118),"000"))</f>
        <v/>
      </c>
      <c r="J118" s="9" t="str">
        <f>IF(AND($BN$18&lt;&gt;"",($BM$18+19)&lt;=$BO$18),$BN$18,"")</f>
        <v/>
      </c>
      <c r="K118" s="9" t="str">
        <f>IF(AND($BN$18&lt;&gt;"",($BM$18+19)&lt;=$BO$18),TEXT(($BM$18+19),"00"),"")</f>
        <v/>
      </c>
      <c r="L118" s="9" t="str">
        <f>IF(AND($BN$18&lt;&gt;"",($BM$18+19)&lt;=$BO$18),$BN$18&amp;"-"&amp;TEXT(($BM$18+19),"00"),"")</f>
        <v/>
      </c>
      <c r="N118" s="6"/>
      <c r="O118" s="9" t="str">
        <f>IF(CC118="","",CC118&amp;"-"&amp;TEXT(COUNTIF($CA$72:$CA$95,CC118)+COUNTIF($CB$72:$CB$95,CC118)+COUNTIF($CC$72:$CC$95,CC118)+COUNTIF($CD$72:$CD$95,CC118)+COUNTIF($CA$100:$CA$123,CC118)+COUNTIF($CB$100:$CB$123,CC118)+COUNTIF($CC$100:CC118,CC118),"000"))</f>
        <v/>
      </c>
      <c r="P118" s="9" t="str">
        <f>IF(AND($BN$19&lt;&gt;"",($BM$19+19)&lt;=$BO$19),$BN$19,"")</f>
        <v/>
      </c>
      <c r="Q118" s="9" t="str">
        <f>IF(AND($BN$19&lt;&gt;"",($BM$19+19)&lt;=$BO$19),TEXT(($BM$19+19),"00"),"")</f>
        <v/>
      </c>
      <c r="R118" s="9" t="str">
        <f>IF(AND($BN$19&lt;&gt;"",($BM$19+19)&lt;=$BO$19),$BN$19&amp;"-"&amp;TEXT(($BM$19+19),"00"),"")</f>
        <v/>
      </c>
      <c r="T118" s="6"/>
      <c r="U118" s="9" t="str">
        <f>IF(CD118="","",CD118&amp;"-"&amp;TEXT(COUNTIF($CA$72:$CA$95,CD118)+COUNTIF($CB$72:$CB$95,CD118)+COUNTIF($CC$72:$CC$95,CD118)+COUNTIF($CD$72:$CD$95,CD118)+COUNTIF($CA$100:$CA$123,CD118)+COUNTIF($CB$100:$CB$123,CD118)+COUNTIF($CC$100:$CC$123,CD118)+COUNTIF($CD$100:CD118,CD118),"000"))</f>
        <v/>
      </c>
      <c r="V118" s="9" t="str">
        <f>IF(AND($BN$20&lt;&gt;"",($BM$20+19)&lt;=$BO$20),$BN$20,"")</f>
        <v/>
      </c>
      <c r="W118" s="9" t="str">
        <f>IF(AND($BN$20&lt;&gt;"",($BM$20+19)&lt;=$BO$20),TEXT(($BM$20+19),"00"),"")</f>
        <v/>
      </c>
      <c r="X118" s="9" t="str">
        <f>IF(AND($BN$20&lt;&gt;"",($BM$20+19)&lt;=$BO$20),$BN$20&amp;"-"&amp;TEXT(($BM$20+19),"00"),"")</f>
        <v/>
      </c>
      <c r="BA118">
        <f>IF(OR(Catalogo!$C118="",Catalogo!$B118="Espacio libre",Catalogo!$B118="Espacio reservado"),0,COUNTIF($C$13:$C$42,Catalogo!$C118)+IF($E$7=Catalogo!$C118,N($K$7),0)+IF($E$8=Catalogo!$C118,N($N$8),0)+IF(Proyecto!$D$12=Catalogo!$C118,$AQ$4,0)+SUMIF($C$49:$C$58,Catalogo!$C118,$K$49:$K$58))</f>
        <v>0</v>
      </c>
      <c r="CA118" t="str" cm="1">
        <f t="array" ref="CA118">IF(NOT(AND($BN$17&lt;&gt;"",($BM$17+19)&lt;=$BO$17)),"",IF(B118&lt;&gt;"",IF(B118="-","",B118),IF(ISNUMBER(SEARCH(":",$BP$17)),IFERROR(_xlfn.LET(_xlpm.s,_xlfn.TEXTSPLIT($BP$17,","),_xlpm.k,FIND(":",_xlpm.s),INDEX(TRIM(LEFT(_xlpm.s,_xlpm.k-1)),_xlfn.XMATCH(($BM$17+19),_xlfn.SCAN(0,--MID(_xlpm.s,_xlpm.k+1,9),_xlfn.LAMBDA(_xlpm.a,_xlpm.v,_xlpm.a+_xlpm.v)),1))),""),IF(($BM$17+19)&lt;=$BQ$17,$BP$17,""))))</f>
        <v/>
      </c>
      <c r="CB118" t="str" cm="1">
        <f t="array" ref="CB118">IF(NOT(AND($BN$18&lt;&gt;"",($BM$18+19)&lt;=$BO$18)),"",IF(H118&lt;&gt;"",IF(H118="-","",H118),IF(ISNUMBER(SEARCH(":",$BP$18)),IFERROR(_xlfn.LET(_xlpm.s,_xlfn.TEXTSPLIT($BP$18,","),_xlpm.k,FIND(":",_xlpm.s),INDEX(TRIM(LEFT(_xlpm.s,_xlpm.k-1)),_xlfn.XMATCH(($BM$18+19),_xlfn.SCAN(0,--MID(_xlpm.s,_xlpm.k+1,9),_xlfn.LAMBDA(_xlpm.a,_xlpm.v,_xlpm.a+_xlpm.v)),1))),""),IF(($BM$18+19)&lt;=$BQ$18,$BP$18,""))))</f>
        <v/>
      </c>
      <c r="CC118" t="str" cm="1">
        <f t="array" ref="CC118">IF(NOT(AND($BN$19&lt;&gt;"",($BM$19+19)&lt;=$BO$19)),"",IF(N118&lt;&gt;"",IF(N118="-","",N118),IF(ISNUMBER(SEARCH(":",$BP$19)),IFERROR(_xlfn.LET(_xlpm.s,_xlfn.TEXTSPLIT($BP$19,","),_xlpm.k,FIND(":",_xlpm.s),INDEX(TRIM(LEFT(_xlpm.s,_xlpm.k-1)),_xlfn.XMATCH(($BM$19+19),_xlfn.SCAN(0,--MID(_xlpm.s,_xlpm.k+1,9),_xlfn.LAMBDA(_xlpm.a,_xlpm.v,_xlpm.a+_xlpm.v)),1))),""),IF(($BM$19+19)&lt;=$BQ$19,$BP$19,""))))</f>
        <v/>
      </c>
      <c r="CD118" t="str" cm="1">
        <f t="array" ref="CD118">IF(NOT(AND($BN$20&lt;&gt;"",($BM$20+19)&lt;=$BO$20)),"",IF(T118&lt;&gt;"",IF(T118="-","",T118),IF(ISNUMBER(SEARCH(":",$BP$20)),IFERROR(_xlfn.LET(_xlpm.s,_xlfn.TEXTSPLIT($BP$20,","),_xlpm.k,FIND(":",_xlpm.s),INDEX(TRIM(LEFT(_xlpm.s,_xlpm.k-1)),_xlfn.XMATCH(($BM$20+19),_xlfn.SCAN(0,--MID(_xlpm.s,_xlpm.k+1,9),_xlfn.LAMBDA(_xlpm.a,_xlpm.v,_xlpm.a+_xlpm.v)),1))),""),IF(($BM$20+19)&lt;=$BQ$20,$BP$20,""))))</f>
        <v/>
      </c>
    </row>
    <row r="119" spans="2:82" hidden="1" x14ac:dyDescent="0.45">
      <c r="B119" s="6"/>
      <c r="C119" s="9" t="str">
        <f>IF(CA119="","",CA119&amp;"-"&amp;TEXT(COUNTIF($CA$72:$CA$95,CA119)+COUNTIF($CB$72:$CB$95,CA119)+COUNTIF($CC$72:$CC$95,CA119)+COUNTIF($CD$72:$CD$95,CA119)+COUNTIF($CA$100:CA119,CA119),"000"))</f>
        <v/>
      </c>
      <c r="D119" s="9" t="str">
        <f>IF(AND($BN$17&lt;&gt;"",($BM$17+20)&lt;=$BO$17),$BN$17,"")</f>
        <v/>
      </c>
      <c r="E119" s="9" t="str">
        <f>IF(AND($BN$17&lt;&gt;"",($BM$17+20)&lt;=$BO$17),TEXT(($BM$17+20),"00"),"")</f>
        <v/>
      </c>
      <c r="F119" s="9" t="str">
        <f>IF(AND($BN$17&lt;&gt;"",($BM$17+20)&lt;=$BO$17),$BN$17&amp;"-"&amp;TEXT(($BM$17+20),"00"),"")</f>
        <v/>
      </c>
      <c r="H119" s="6"/>
      <c r="I119" s="9" t="str">
        <f>IF(CB119="","",CB119&amp;"-"&amp;TEXT(COUNTIF($CA$72:$CA$95,CB119)+COUNTIF($CB$72:$CB$95,CB119)+COUNTIF($CC$72:$CC$95,CB119)+COUNTIF($CD$72:$CD$95,CB119)+COUNTIF($CA$100:$CA$123,CB119)+COUNTIF($CB$100:CB119,CB119),"000"))</f>
        <v/>
      </c>
      <c r="J119" s="9" t="str">
        <f>IF(AND($BN$18&lt;&gt;"",($BM$18+20)&lt;=$BO$18),$BN$18,"")</f>
        <v/>
      </c>
      <c r="K119" s="9" t="str">
        <f>IF(AND($BN$18&lt;&gt;"",($BM$18+20)&lt;=$BO$18),TEXT(($BM$18+20),"00"),"")</f>
        <v/>
      </c>
      <c r="L119" s="9" t="str">
        <f>IF(AND($BN$18&lt;&gt;"",($BM$18+20)&lt;=$BO$18),$BN$18&amp;"-"&amp;TEXT(($BM$18+20),"00"),"")</f>
        <v/>
      </c>
      <c r="N119" s="6"/>
      <c r="O119" s="9" t="str">
        <f>IF(CC119="","",CC119&amp;"-"&amp;TEXT(COUNTIF($CA$72:$CA$95,CC119)+COUNTIF($CB$72:$CB$95,CC119)+COUNTIF($CC$72:$CC$95,CC119)+COUNTIF($CD$72:$CD$95,CC119)+COUNTIF($CA$100:$CA$123,CC119)+COUNTIF($CB$100:$CB$123,CC119)+COUNTIF($CC$100:CC119,CC119),"000"))</f>
        <v/>
      </c>
      <c r="P119" s="9" t="str">
        <f>IF(AND($BN$19&lt;&gt;"",($BM$19+20)&lt;=$BO$19),$BN$19,"")</f>
        <v/>
      </c>
      <c r="Q119" s="9" t="str">
        <f>IF(AND($BN$19&lt;&gt;"",($BM$19+20)&lt;=$BO$19),TEXT(($BM$19+20),"00"),"")</f>
        <v/>
      </c>
      <c r="R119" s="9" t="str">
        <f>IF(AND($BN$19&lt;&gt;"",($BM$19+20)&lt;=$BO$19),$BN$19&amp;"-"&amp;TEXT(($BM$19+20),"00"),"")</f>
        <v/>
      </c>
      <c r="T119" s="6"/>
      <c r="U119" s="9" t="str">
        <f>IF(CD119="","",CD119&amp;"-"&amp;TEXT(COUNTIF($CA$72:$CA$95,CD119)+COUNTIF($CB$72:$CB$95,CD119)+COUNTIF($CC$72:$CC$95,CD119)+COUNTIF($CD$72:$CD$95,CD119)+COUNTIF($CA$100:$CA$123,CD119)+COUNTIF($CB$100:$CB$123,CD119)+COUNTIF($CC$100:$CC$123,CD119)+COUNTIF($CD$100:CD119,CD119),"000"))</f>
        <v/>
      </c>
      <c r="V119" s="9" t="str">
        <f>IF(AND($BN$20&lt;&gt;"",($BM$20+20)&lt;=$BO$20),$BN$20,"")</f>
        <v/>
      </c>
      <c r="W119" s="9" t="str">
        <f>IF(AND($BN$20&lt;&gt;"",($BM$20+20)&lt;=$BO$20),TEXT(($BM$20+20),"00"),"")</f>
        <v/>
      </c>
      <c r="X119" s="9" t="str">
        <f>IF(AND($BN$20&lt;&gt;"",($BM$20+20)&lt;=$BO$20),$BN$20&amp;"-"&amp;TEXT(($BM$20+20),"00"),"")</f>
        <v/>
      </c>
      <c r="BA119">
        <f>IF(OR(Catalogo!$C119="",Catalogo!$B119="Espacio libre",Catalogo!$B119="Espacio reservado"),0,COUNTIF($C$13:$C$42,Catalogo!$C119)+IF($E$7=Catalogo!$C119,N($K$7),0)+IF($E$8=Catalogo!$C119,N($N$8),0)+IF(Proyecto!$D$12=Catalogo!$C119,$AQ$4,0)+SUMIF($C$49:$C$58,Catalogo!$C119,$K$49:$K$58))</f>
        <v>0</v>
      </c>
      <c r="CA119" t="str" cm="1">
        <f t="array" ref="CA119">IF(NOT(AND($BN$17&lt;&gt;"",($BM$17+20)&lt;=$BO$17)),"",IF(B119&lt;&gt;"",IF(B119="-","",B119),IF(ISNUMBER(SEARCH(":",$BP$17)),IFERROR(_xlfn.LET(_xlpm.s,_xlfn.TEXTSPLIT($BP$17,","),_xlpm.k,FIND(":",_xlpm.s),INDEX(TRIM(LEFT(_xlpm.s,_xlpm.k-1)),_xlfn.XMATCH(($BM$17+20),_xlfn.SCAN(0,--MID(_xlpm.s,_xlpm.k+1,9),_xlfn.LAMBDA(_xlpm.a,_xlpm.v,_xlpm.a+_xlpm.v)),1))),""),IF(($BM$17+20)&lt;=$BQ$17,$BP$17,""))))</f>
        <v/>
      </c>
      <c r="CB119" t="str" cm="1">
        <f t="array" ref="CB119">IF(NOT(AND($BN$18&lt;&gt;"",($BM$18+20)&lt;=$BO$18)),"",IF(H119&lt;&gt;"",IF(H119="-","",H119),IF(ISNUMBER(SEARCH(":",$BP$18)),IFERROR(_xlfn.LET(_xlpm.s,_xlfn.TEXTSPLIT($BP$18,","),_xlpm.k,FIND(":",_xlpm.s),INDEX(TRIM(LEFT(_xlpm.s,_xlpm.k-1)),_xlfn.XMATCH(($BM$18+20),_xlfn.SCAN(0,--MID(_xlpm.s,_xlpm.k+1,9),_xlfn.LAMBDA(_xlpm.a,_xlpm.v,_xlpm.a+_xlpm.v)),1))),""),IF(($BM$18+20)&lt;=$BQ$18,$BP$18,""))))</f>
        <v/>
      </c>
      <c r="CC119" t="str" cm="1">
        <f t="array" ref="CC119">IF(NOT(AND($BN$19&lt;&gt;"",($BM$19+20)&lt;=$BO$19)),"",IF(N119&lt;&gt;"",IF(N119="-","",N119),IF(ISNUMBER(SEARCH(":",$BP$19)),IFERROR(_xlfn.LET(_xlpm.s,_xlfn.TEXTSPLIT($BP$19,","),_xlpm.k,FIND(":",_xlpm.s),INDEX(TRIM(LEFT(_xlpm.s,_xlpm.k-1)),_xlfn.XMATCH(($BM$19+20),_xlfn.SCAN(0,--MID(_xlpm.s,_xlpm.k+1,9),_xlfn.LAMBDA(_xlpm.a,_xlpm.v,_xlpm.a+_xlpm.v)),1))),""),IF(($BM$19+20)&lt;=$BQ$19,$BP$19,""))))</f>
        <v/>
      </c>
      <c r="CD119" t="str" cm="1">
        <f t="array" ref="CD119">IF(NOT(AND($BN$20&lt;&gt;"",($BM$20+20)&lt;=$BO$20)),"",IF(T119&lt;&gt;"",IF(T119="-","",T119),IF(ISNUMBER(SEARCH(":",$BP$20)),IFERROR(_xlfn.LET(_xlpm.s,_xlfn.TEXTSPLIT($BP$20,","),_xlpm.k,FIND(":",_xlpm.s),INDEX(TRIM(LEFT(_xlpm.s,_xlpm.k-1)),_xlfn.XMATCH(($BM$20+20),_xlfn.SCAN(0,--MID(_xlpm.s,_xlpm.k+1,9),_xlfn.LAMBDA(_xlpm.a,_xlpm.v,_xlpm.a+_xlpm.v)),1))),""),IF(($BM$20+20)&lt;=$BQ$20,$BP$20,""))))</f>
        <v/>
      </c>
    </row>
    <row r="120" spans="2:82" hidden="1" x14ac:dyDescent="0.45">
      <c r="B120" s="6"/>
      <c r="C120" s="9" t="str">
        <f>IF(CA120="","",CA120&amp;"-"&amp;TEXT(COUNTIF($CA$72:$CA$95,CA120)+COUNTIF($CB$72:$CB$95,CA120)+COUNTIF($CC$72:$CC$95,CA120)+COUNTIF($CD$72:$CD$95,CA120)+COUNTIF($CA$100:CA120,CA120),"000"))</f>
        <v/>
      </c>
      <c r="D120" s="9" t="str">
        <f>IF(AND($BN$17&lt;&gt;"",($BM$17+21)&lt;=$BO$17),$BN$17,"")</f>
        <v/>
      </c>
      <c r="E120" s="9" t="str">
        <f>IF(AND($BN$17&lt;&gt;"",($BM$17+21)&lt;=$BO$17),TEXT(($BM$17+21),"00"),"")</f>
        <v/>
      </c>
      <c r="F120" s="9" t="str">
        <f>IF(AND($BN$17&lt;&gt;"",($BM$17+21)&lt;=$BO$17),$BN$17&amp;"-"&amp;TEXT(($BM$17+21),"00"),"")</f>
        <v/>
      </c>
      <c r="H120" s="6"/>
      <c r="I120" s="9" t="str">
        <f>IF(CB120="","",CB120&amp;"-"&amp;TEXT(COUNTIF($CA$72:$CA$95,CB120)+COUNTIF($CB$72:$CB$95,CB120)+COUNTIF($CC$72:$CC$95,CB120)+COUNTIF($CD$72:$CD$95,CB120)+COUNTIF($CA$100:$CA$123,CB120)+COUNTIF($CB$100:CB120,CB120),"000"))</f>
        <v/>
      </c>
      <c r="J120" s="9" t="str">
        <f>IF(AND($BN$18&lt;&gt;"",($BM$18+21)&lt;=$BO$18),$BN$18,"")</f>
        <v/>
      </c>
      <c r="K120" s="9" t="str">
        <f>IF(AND($BN$18&lt;&gt;"",($BM$18+21)&lt;=$BO$18),TEXT(($BM$18+21),"00"),"")</f>
        <v/>
      </c>
      <c r="L120" s="9" t="str">
        <f>IF(AND($BN$18&lt;&gt;"",($BM$18+21)&lt;=$BO$18),$BN$18&amp;"-"&amp;TEXT(($BM$18+21),"00"),"")</f>
        <v/>
      </c>
      <c r="N120" s="6"/>
      <c r="O120" s="9" t="str">
        <f>IF(CC120="","",CC120&amp;"-"&amp;TEXT(COUNTIF($CA$72:$CA$95,CC120)+COUNTIF($CB$72:$CB$95,CC120)+COUNTIF($CC$72:$CC$95,CC120)+COUNTIF($CD$72:$CD$95,CC120)+COUNTIF($CA$100:$CA$123,CC120)+COUNTIF($CB$100:$CB$123,CC120)+COUNTIF($CC$100:CC120,CC120),"000"))</f>
        <v/>
      </c>
      <c r="P120" s="9" t="str">
        <f>IF(AND($BN$19&lt;&gt;"",($BM$19+21)&lt;=$BO$19),$BN$19,"")</f>
        <v/>
      </c>
      <c r="Q120" s="9" t="str">
        <f>IF(AND($BN$19&lt;&gt;"",($BM$19+21)&lt;=$BO$19),TEXT(($BM$19+21),"00"),"")</f>
        <v/>
      </c>
      <c r="R120" s="9" t="str">
        <f>IF(AND($BN$19&lt;&gt;"",($BM$19+21)&lt;=$BO$19),$BN$19&amp;"-"&amp;TEXT(($BM$19+21),"00"),"")</f>
        <v/>
      </c>
      <c r="T120" s="6"/>
      <c r="U120" s="9" t="str">
        <f>IF(CD120="","",CD120&amp;"-"&amp;TEXT(COUNTIF($CA$72:$CA$95,CD120)+COUNTIF($CB$72:$CB$95,CD120)+COUNTIF($CC$72:$CC$95,CD120)+COUNTIF($CD$72:$CD$95,CD120)+COUNTIF($CA$100:$CA$123,CD120)+COUNTIF($CB$100:$CB$123,CD120)+COUNTIF($CC$100:$CC$123,CD120)+COUNTIF($CD$100:CD120,CD120),"000"))</f>
        <v/>
      </c>
      <c r="V120" s="9" t="str">
        <f>IF(AND($BN$20&lt;&gt;"",($BM$20+21)&lt;=$BO$20),$BN$20,"")</f>
        <v/>
      </c>
      <c r="W120" s="9" t="str">
        <f>IF(AND($BN$20&lt;&gt;"",($BM$20+21)&lt;=$BO$20),TEXT(($BM$20+21),"00"),"")</f>
        <v/>
      </c>
      <c r="X120" s="9" t="str">
        <f>IF(AND($BN$20&lt;&gt;"",($BM$20+21)&lt;=$BO$20),$BN$20&amp;"-"&amp;TEXT(($BM$20+21),"00"),"")</f>
        <v/>
      </c>
      <c r="BA120">
        <f>IF(OR(Catalogo!$C120="",Catalogo!$B120="Espacio libre",Catalogo!$B120="Espacio reservado"),0,COUNTIF($C$13:$C$42,Catalogo!$C120)+IF($E$7=Catalogo!$C120,N($K$7),0)+IF($E$8=Catalogo!$C120,N($N$8),0)+IF(Proyecto!$D$12=Catalogo!$C120,$AQ$4,0)+SUMIF($C$49:$C$58,Catalogo!$C120,$K$49:$K$58))</f>
        <v>0</v>
      </c>
      <c r="CA120" t="str" cm="1">
        <f t="array" ref="CA120">IF(NOT(AND($BN$17&lt;&gt;"",($BM$17+21)&lt;=$BO$17)),"",IF(B120&lt;&gt;"",IF(B120="-","",B120),IF(ISNUMBER(SEARCH(":",$BP$17)),IFERROR(_xlfn.LET(_xlpm.s,_xlfn.TEXTSPLIT($BP$17,","),_xlpm.k,FIND(":",_xlpm.s),INDEX(TRIM(LEFT(_xlpm.s,_xlpm.k-1)),_xlfn.XMATCH(($BM$17+21),_xlfn.SCAN(0,--MID(_xlpm.s,_xlpm.k+1,9),_xlfn.LAMBDA(_xlpm.a,_xlpm.v,_xlpm.a+_xlpm.v)),1))),""),IF(($BM$17+21)&lt;=$BQ$17,$BP$17,""))))</f>
        <v/>
      </c>
      <c r="CB120" t="str" cm="1">
        <f t="array" ref="CB120">IF(NOT(AND($BN$18&lt;&gt;"",($BM$18+21)&lt;=$BO$18)),"",IF(H120&lt;&gt;"",IF(H120="-","",H120),IF(ISNUMBER(SEARCH(":",$BP$18)),IFERROR(_xlfn.LET(_xlpm.s,_xlfn.TEXTSPLIT($BP$18,","),_xlpm.k,FIND(":",_xlpm.s),INDEX(TRIM(LEFT(_xlpm.s,_xlpm.k-1)),_xlfn.XMATCH(($BM$18+21),_xlfn.SCAN(0,--MID(_xlpm.s,_xlpm.k+1,9),_xlfn.LAMBDA(_xlpm.a,_xlpm.v,_xlpm.a+_xlpm.v)),1))),""),IF(($BM$18+21)&lt;=$BQ$18,$BP$18,""))))</f>
        <v/>
      </c>
      <c r="CC120" t="str" cm="1">
        <f t="array" ref="CC120">IF(NOT(AND($BN$19&lt;&gt;"",($BM$19+21)&lt;=$BO$19)),"",IF(N120&lt;&gt;"",IF(N120="-","",N120),IF(ISNUMBER(SEARCH(":",$BP$19)),IFERROR(_xlfn.LET(_xlpm.s,_xlfn.TEXTSPLIT($BP$19,","),_xlpm.k,FIND(":",_xlpm.s),INDEX(TRIM(LEFT(_xlpm.s,_xlpm.k-1)),_xlfn.XMATCH(($BM$19+21),_xlfn.SCAN(0,--MID(_xlpm.s,_xlpm.k+1,9),_xlfn.LAMBDA(_xlpm.a,_xlpm.v,_xlpm.a+_xlpm.v)),1))),""),IF(($BM$19+21)&lt;=$BQ$19,$BP$19,""))))</f>
        <v/>
      </c>
      <c r="CD120" t="str" cm="1">
        <f t="array" ref="CD120">IF(NOT(AND($BN$20&lt;&gt;"",($BM$20+21)&lt;=$BO$20)),"",IF(T120&lt;&gt;"",IF(T120="-","",T120),IF(ISNUMBER(SEARCH(":",$BP$20)),IFERROR(_xlfn.LET(_xlpm.s,_xlfn.TEXTSPLIT($BP$20,","),_xlpm.k,FIND(":",_xlpm.s),INDEX(TRIM(LEFT(_xlpm.s,_xlpm.k-1)),_xlfn.XMATCH(($BM$20+21),_xlfn.SCAN(0,--MID(_xlpm.s,_xlpm.k+1,9),_xlfn.LAMBDA(_xlpm.a,_xlpm.v,_xlpm.a+_xlpm.v)),1))),""),IF(($BM$20+21)&lt;=$BQ$20,$BP$20,""))))</f>
        <v/>
      </c>
    </row>
    <row r="121" spans="2:82" hidden="1" x14ac:dyDescent="0.45">
      <c r="B121" s="6"/>
      <c r="C121" s="9" t="str">
        <f>IF(CA121="","",CA121&amp;"-"&amp;TEXT(COUNTIF($CA$72:$CA$95,CA121)+COUNTIF($CB$72:$CB$95,CA121)+COUNTIF($CC$72:$CC$95,CA121)+COUNTIF($CD$72:$CD$95,CA121)+COUNTIF($CA$100:CA121,CA121),"000"))</f>
        <v/>
      </c>
      <c r="D121" s="9" t="str">
        <f>IF(AND($BN$17&lt;&gt;"",($BM$17+22)&lt;=$BO$17),$BN$17,"")</f>
        <v/>
      </c>
      <c r="E121" s="9" t="str">
        <f>IF(AND($BN$17&lt;&gt;"",($BM$17+22)&lt;=$BO$17),TEXT(($BM$17+22),"00"),"")</f>
        <v/>
      </c>
      <c r="F121" s="9" t="str">
        <f>IF(AND($BN$17&lt;&gt;"",($BM$17+22)&lt;=$BO$17),$BN$17&amp;"-"&amp;TEXT(($BM$17+22),"00"),"")</f>
        <v/>
      </c>
      <c r="H121" s="6"/>
      <c r="I121" s="9" t="str">
        <f>IF(CB121="","",CB121&amp;"-"&amp;TEXT(COUNTIF($CA$72:$CA$95,CB121)+COUNTIF($CB$72:$CB$95,CB121)+COUNTIF($CC$72:$CC$95,CB121)+COUNTIF($CD$72:$CD$95,CB121)+COUNTIF($CA$100:$CA$123,CB121)+COUNTIF($CB$100:CB121,CB121),"000"))</f>
        <v/>
      </c>
      <c r="J121" s="9" t="str">
        <f>IF(AND($BN$18&lt;&gt;"",($BM$18+22)&lt;=$BO$18),$BN$18,"")</f>
        <v/>
      </c>
      <c r="K121" s="9" t="str">
        <f>IF(AND($BN$18&lt;&gt;"",($BM$18+22)&lt;=$BO$18),TEXT(($BM$18+22),"00"),"")</f>
        <v/>
      </c>
      <c r="L121" s="9" t="str">
        <f>IF(AND($BN$18&lt;&gt;"",($BM$18+22)&lt;=$BO$18),$BN$18&amp;"-"&amp;TEXT(($BM$18+22),"00"),"")</f>
        <v/>
      </c>
      <c r="N121" s="6"/>
      <c r="O121" s="9" t="str">
        <f>IF(CC121="","",CC121&amp;"-"&amp;TEXT(COUNTIF($CA$72:$CA$95,CC121)+COUNTIF($CB$72:$CB$95,CC121)+COUNTIF($CC$72:$CC$95,CC121)+COUNTIF($CD$72:$CD$95,CC121)+COUNTIF($CA$100:$CA$123,CC121)+COUNTIF($CB$100:$CB$123,CC121)+COUNTIF($CC$100:CC121,CC121),"000"))</f>
        <v/>
      </c>
      <c r="P121" s="9" t="str">
        <f>IF(AND($BN$19&lt;&gt;"",($BM$19+22)&lt;=$BO$19),$BN$19,"")</f>
        <v/>
      </c>
      <c r="Q121" s="9" t="str">
        <f>IF(AND($BN$19&lt;&gt;"",($BM$19+22)&lt;=$BO$19),TEXT(($BM$19+22),"00"),"")</f>
        <v/>
      </c>
      <c r="R121" s="9" t="str">
        <f>IF(AND($BN$19&lt;&gt;"",($BM$19+22)&lt;=$BO$19),$BN$19&amp;"-"&amp;TEXT(($BM$19+22),"00"),"")</f>
        <v/>
      </c>
      <c r="T121" s="6"/>
      <c r="U121" s="9" t="str">
        <f>IF(CD121="","",CD121&amp;"-"&amp;TEXT(COUNTIF($CA$72:$CA$95,CD121)+COUNTIF($CB$72:$CB$95,CD121)+COUNTIF($CC$72:$CC$95,CD121)+COUNTIF($CD$72:$CD$95,CD121)+COUNTIF($CA$100:$CA$123,CD121)+COUNTIF($CB$100:$CB$123,CD121)+COUNTIF($CC$100:$CC$123,CD121)+COUNTIF($CD$100:CD121,CD121),"000"))</f>
        <v/>
      </c>
      <c r="V121" s="9" t="str">
        <f>IF(AND($BN$20&lt;&gt;"",($BM$20+22)&lt;=$BO$20),$BN$20,"")</f>
        <v/>
      </c>
      <c r="W121" s="9" t="str">
        <f>IF(AND($BN$20&lt;&gt;"",($BM$20+22)&lt;=$BO$20),TEXT(($BM$20+22),"00"),"")</f>
        <v/>
      </c>
      <c r="X121" s="9" t="str">
        <f>IF(AND($BN$20&lt;&gt;"",($BM$20+22)&lt;=$BO$20),$BN$20&amp;"-"&amp;TEXT(($BM$20+22),"00"),"")</f>
        <v/>
      </c>
      <c r="BA121">
        <f>IF(OR(Catalogo!$C121="",Catalogo!$B121="Espacio libre",Catalogo!$B121="Espacio reservado"),0,COUNTIF($C$13:$C$42,Catalogo!$C121)+IF($E$7=Catalogo!$C121,N($K$7),0)+IF($E$8=Catalogo!$C121,N($N$8),0)+IF(Proyecto!$D$12=Catalogo!$C121,$AQ$4,0)+SUMIF($C$49:$C$58,Catalogo!$C121,$K$49:$K$58))</f>
        <v>0</v>
      </c>
      <c r="CA121" t="str" cm="1">
        <f t="array" ref="CA121">IF(NOT(AND($BN$17&lt;&gt;"",($BM$17+22)&lt;=$BO$17)),"",IF(B121&lt;&gt;"",IF(B121="-","",B121),IF(ISNUMBER(SEARCH(":",$BP$17)),IFERROR(_xlfn.LET(_xlpm.s,_xlfn.TEXTSPLIT($BP$17,","),_xlpm.k,FIND(":",_xlpm.s),INDEX(TRIM(LEFT(_xlpm.s,_xlpm.k-1)),_xlfn.XMATCH(($BM$17+22),_xlfn.SCAN(0,--MID(_xlpm.s,_xlpm.k+1,9),_xlfn.LAMBDA(_xlpm.a,_xlpm.v,_xlpm.a+_xlpm.v)),1))),""),IF(($BM$17+22)&lt;=$BQ$17,$BP$17,""))))</f>
        <v/>
      </c>
      <c r="CB121" t="str" cm="1">
        <f t="array" ref="CB121">IF(NOT(AND($BN$18&lt;&gt;"",($BM$18+22)&lt;=$BO$18)),"",IF(H121&lt;&gt;"",IF(H121="-","",H121),IF(ISNUMBER(SEARCH(":",$BP$18)),IFERROR(_xlfn.LET(_xlpm.s,_xlfn.TEXTSPLIT($BP$18,","),_xlpm.k,FIND(":",_xlpm.s),INDEX(TRIM(LEFT(_xlpm.s,_xlpm.k-1)),_xlfn.XMATCH(($BM$18+22),_xlfn.SCAN(0,--MID(_xlpm.s,_xlpm.k+1,9),_xlfn.LAMBDA(_xlpm.a,_xlpm.v,_xlpm.a+_xlpm.v)),1))),""),IF(($BM$18+22)&lt;=$BQ$18,$BP$18,""))))</f>
        <v/>
      </c>
      <c r="CC121" t="str" cm="1">
        <f t="array" ref="CC121">IF(NOT(AND($BN$19&lt;&gt;"",($BM$19+22)&lt;=$BO$19)),"",IF(N121&lt;&gt;"",IF(N121="-","",N121),IF(ISNUMBER(SEARCH(":",$BP$19)),IFERROR(_xlfn.LET(_xlpm.s,_xlfn.TEXTSPLIT($BP$19,","),_xlpm.k,FIND(":",_xlpm.s),INDEX(TRIM(LEFT(_xlpm.s,_xlpm.k-1)),_xlfn.XMATCH(($BM$19+22),_xlfn.SCAN(0,--MID(_xlpm.s,_xlpm.k+1,9),_xlfn.LAMBDA(_xlpm.a,_xlpm.v,_xlpm.a+_xlpm.v)),1))),""),IF(($BM$19+22)&lt;=$BQ$19,$BP$19,""))))</f>
        <v/>
      </c>
      <c r="CD121" t="str" cm="1">
        <f t="array" ref="CD121">IF(NOT(AND($BN$20&lt;&gt;"",($BM$20+22)&lt;=$BO$20)),"",IF(T121&lt;&gt;"",IF(T121="-","",T121),IF(ISNUMBER(SEARCH(":",$BP$20)),IFERROR(_xlfn.LET(_xlpm.s,_xlfn.TEXTSPLIT($BP$20,","),_xlpm.k,FIND(":",_xlpm.s),INDEX(TRIM(LEFT(_xlpm.s,_xlpm.k-1)),_xlfn.XMATCH(($BM$20+22),_xlfn.SCAN(0,--MID(_xlpm.s,_xlpm.k+1,9),_xlfn.LAMBDA(_xlpm.a,_xlpm.v,_xlpm.a+_xlpm.v)),1))),""),IF(($BM$20+22)&lt;=$BQ$20,$BP$20,""))))</f>
        <v/>
      </c>
    </row>
    <row r="122" spans="2:82" hidden="1" x14ac:dyDescent="0.45">
      <c r="B122" s="6"/>
      <c r="C122" s="9" t="str">
        <f>IF(CA122="","",CA122&amp;"-"&amp;TEXT(COUNTIF($CA$72:$CA$95,CA122)+COUNTIF($CB$72:$CB$95,CA122)+COUNTIF($CC$72:$CC$95,CA122)+COUNTIF($CD$72:$CD$95,CA122)+COUNTIF($CA$100:CA122,CA122),"000"))</f>
        <v/>
      </c>
      <c r="D122" s="9" t="str">
        <f>IF(AND($BN$17&lt;&gt;"",($BM$17+23)&lt;=$BO$17),$BN$17,"")</f>
        <v/>
      </c>
      <c r="E122" s="9" t="str">
        <f>IF(AND($BN$17&lt;&gt;"",($BM$17+23)&lt;=$BO$17),TEXT(($BM$17+23),"00"),"")</f>
        <v/>
      </c>
      <c r="F122" s="9" t="str">
        <f>IF(AND($BN$17&lt;&gt;"",($BM$17+23)&lt;=$BO$17),$BN$17&amp;"-"&amp;TEXT(($BM$17+23),"00"),"")</f>
        <v/>
      </c>
      <c r="H122" s="6"/>
      <c r="I122" s="9" t="str">
        <f>IF(CB122="","",CB122&amp;"-"&amp;TEXT(COUNTIF($CA$72:$CA$95,CB122)+COUNTIF($CB$72:$CB$95,CB122)+COUNTIF($CC$72:$CC$95,CB122)+COUNTIF($CD$72:$CD$95,CB122)+COUNTIF($CA$100:$CA$123,CB122)+COUNTIF($CB$100:CB122,CB122),"000"))</f>
        <v/>
      </c>
      <c r="J122" s="9" t="str">
        <f>IF(AND($BN$18&lt;&gt;"",($BM$18+23)&lt;=$BO$18),$BN$18,"")</f>
        <v/>
      </c>
      <c r="K122" s="9" t="str">
        <f>IF(AND($BN$18&lt;&gt;"",($BM$18+23)&lt;=$BO$18),TEXT(($BM$18+23),"00"),"")</f>
        <v/>
      </c>
      <c r="L122" s="9" t="str">
        <f>IF(AND($BN$18&lt;&gt;"",($BM$18+23)&lt;=$BO$18),$BN$18&amp;"-"&amp;TEXT(($BM$18+23),"00"),"")</f>
        <v/>
      </c>
      <c r="N122" s="6"/>
      <c r="O122" s="9" t="str">
        <f>IF(CC122="","",CC122&amp;"-"&amp;TEXT(COUNTIF($CA$72:$CA$95,CC122)+COUNTIF($CB$72:$CB$95,CC122)+COUNTIF($CC$72:$CC$95,CC122)+COUNTIF($CD$72:$CD$95,CC122)+COUNTIF($CA$100:$CA$123,CC122)+COUNTIF($CB$100:$CB$123,CC122)+COUNTIF($CC$100:CC122,CC122),"000"))</f>
        <v/>
      </c>
      <c r="P122" s="9" t="str">
        <f>IF(AND($BN$19&lt;&gt;"",($BM$19+23)&lt;=$BO$19),$BN$19,"")</f>
        <v/>
      </c>
      <c r="Q122" s="9" t="str">
        <f>IF(AND($BN$19&lt;&gt;"",($BM$19+23)&lt;=$BO$19),TEXT(($BM$19+23),"00"),"")</f>
        <v/>
      </c>
      <c r="R122" s="9" t="str">
        <f>IF(AND($BN$19&lt;&gt;"",($BM$19+23)&lt;=$BO$19),$BN$19&amp;"-"&amp;TEXT(($BM$19+23),"00"),"")</f>
        <v/>
      </c>
      <c r="T122" s="6"/>
      <c r="U122" s="9" t="str">
        <f>IF(CD122="","",CD122&amp;"-"&amp;TEXT(COUNTIF($CA$72:$CA$95,CD122)+COUNTIF($CB$72:$CB$95,CD122)+COUNTIF($CC$72:$CC$95,CD122)+COUNTIF($CD$72:$CD$95,CD122)+COUNTIF($CA$100:$CA$123,CD122)+COUNTIF($CB$100:$CB$123,CD122)+COUNTIF($CC$100:$CC$123,CD122)+COUNTIF($CD$100:CD122,CD122),"000"))</f>
        <v/>
      </c>
      <c r="V122" s="9" t="str">
        <f>IF(AND($BN$20&lt;&gt;"",($BM$20+23)&lt;=$BO$20),$BN$20,"")</f>
        <v/>
      </c>
      <c r="W122" s="9" t="str">
        <f>IF(AND($BN$20&lt;&gt;"",($BM$20+23)&lt;=$BO$20),TEXT(($BM$20+23),"00"),"")</f>
        <v/>
      </c>
      <c r="X122" s="9" t="str">
        <f>IF(AND($BN$20&lt;&gt;"",($BM$20+23)&lt;=$BO$20),$BN$20&amp;"-"&amp;TEXT(($BM$20+23),"00"),"")</f>
        <v/>
      </c>
      <c r="BA122">
        <f>IF(OR(Catalogo!$C122="",Catalogo!$B122="Espacio libre",Catalogo!$B122="Espacio reservado"),0,COUNTIF($C$13:$C$42,Catalogo!$C122)+IF($E$7=Catalogo!$C122,N($K$7),0)+IF($E$8=Catalogo!$C122,N($N$8),0)+IF(Proyecto!$D$12=Catalogo!$C122,$AQ$4,0)+SUMIF($C$49:$C$58,Catalogo!$C122,$K$49:$K$58))</f>
        <v>0</v>
      </c>
      <c r="CA122" t="str" cm="1">
        <f t="array" ref="CA122">IF(NOT(AND($BN$17&lt;&gt;"",($BM$17+23)&lt;=$BO$17)),"",IF(B122&lt;&gt;"",IF(B122="-","",B122),IF(ISNUMBER(SEARCH(":",$BP$17)),IFERROR(_xlfn.LET(_xlpm.s,_xlfn.TEXTSPLIT($BP$17,","),_xlpm.k,FIND(":",_xlpm.s),INDEX(TRIM(LEFT(_xlpm.s,_xlpm.k-1)),_xlfn.XMATCH(($BM$17+23),_xlfn.SCAN(0,--MID(_xlpm.s,_xlpm.k+1,9),_xlfn.LAMBDA(_xlpm.a,_xlpm.v,_xlpm.a+_xlpm.v)),1))),""),IF(($BM$17+23)&lt;=$BQ$17,$BP$17,""))))</f>
        <v/>
      </c>
      <c r="CB122" t="str" cm="1">
        <f t="array" ref="CB122">IF(NOT(AND($BN$18&lt;&gt;"",($BM$18+23)&lt;=$BO$18)),"",IF(H122&lt;&gt;"",IF(H122="-","",H122),IF(ISNUMBER(SEARCH(":",$BP$18)),IFERROR(_xlfn.LET(_xlpm.s,_xlfn.TEXTSPLIT($BP$18,","),_xlpm.k,FIND(":",_xlpm.s),INDEX(TRIM(LEFT(_xlpm.s,_xlpm.k-1)),_xlfn.XMATCH(($BM$18+23),_xlfn.SCAN(0,--MID(_xlpm.s,_xlpm.k+1,9),_xlfn.LAMBDA(_xlpm.a,_xlpm.v,_xlpm.a+_xlpm.v)),1))),""),IF(($BM$18+23)&lt;=$BQ$18,$BP$18,""))))</f>
        <v/>
      </c>
      <c r="CC122" t="str" cm="1">
        <f t="array" ref="CC122">IF(NOT(AND($BN$19&lt;&gt;"",($BM$19+23)&lt;=$BO$19)),"",IF(N122&lt;&gt;"",IF(N122="-","",N122),IF(ISNUMBER(SEARCH(":",$BP$19)),IFERROR(_xlfn.LET(_xlpm.s,_xlfn.TEXTSPLIT($BP$19,","),_xlpm.k,FIND(":",_xlpm.s),INDEX(TRIM(LEFT(_xlpm.s,_xlpm.k-1)),_xlfn.XMATCH(($BM$19+23),_xlfn.SCAN(0,--MID(_xlpm.s,_xlpm.k+1,9),_xlfn.LAMBDA(_xlpm.a,_xlpm.v,_xlpm.a+_xlpm.v)),1))),""),IF(($BM$19+23)&lt;=$BQ$19,$BP$19,""))))</f>
        <v/>
      </c>
      <c r="CD122" t="str" cm="1">
        <f t="array" ref="CD122">IF(NOT(AND($BN$20&lt;&gt;"",($BM$20+23)&lt;=$BO$20)),"",IF(T122&lt;&gt;"",IF(T122="-","",T122),IF(ISNUMBER(SEARCH(":",$BP$20)),IFERROR(_xlfn.LET(_xlpm.s,_xlfn.TEXTSPLIT($BP$20,","),_xlpm.k,FIND(":",_xlpm.s),INDEX(TRIM(LEFT(_xlpm.s,_xlpm.k-1)),_xlfn.XMATCH(($BM$20+23),_xlfn.SCAN(0,--MID(_xlpm.s,_xlpm.k+1,9),_xlfn.LAMBDA(_xlpm.a,_xlpm.v,_xlpm.a+_xlpm.v)),1))),""),IF(($BM$20+23)&lt;=$BQ$20,$BP$20,""))))</f>
        <v/>
      </c>
    </row>
    <row r="123" spans="2:82" hidden="1" x14ac:dyDescent="0.45">
      <c r="B123" s="6"/>
      <c r="C123" s="9" t="str">
        <f>IF(CA123="","",CA123&amp;"-"&amp;TEXT(COUNTIF($CA$72:$CA$95,CA123)+COUNTIF($CB$72:$CB$95,CA123)+COUNTIF($CC$72:$CC$95,CA123)+COUNTIF($CD$72:$CD$95,CA123)+COUNTIF($CA$100:CA123,CA123),"000"))</f>
        <v/>
      </c>
      <c r="D123" s="9" t="str">
        <f>IF(AND($BN$17&lt;&gt;"",($BM$17+24)&lt;=$BO$17),$BN$17,"")</f>
        <v/>
      </c>
      <c r="E123" s="9" t="str">
        <f>IF(AND($BN$17&lt;&gt;"",($BM$17+24)&lt;=$BO$17),TEXT(($BM$17+24),"00"),"")</f>
        <v/>
      </c>
      <c r="F123" s="9" t="str">
        <f>IF(AND($BN$17&lt;&gt;"",($BM$17+24)&lt;=$BO$17),$BN$17&amp;"-"&amp;TEXT(($BM$17+24),"00"),"")</f>
        <v/>
      </c>
      <c r="H123" s="6"/>
      <c r="I123" s="9" t="str">
        <f>IF(CB123="","",CB123&amp;"-"&amp;TEXT(COUNTIF($CA$72:$CA$95,CB123)+COUNTIF($CB$72:$CB$95,CB123)+COUNTIF($CC$72:$CC$95,CB123)+COUNTIF($CD$72:$CD$95,CB123)+COUNTIF($CA$100:$CA$123,CB123)+COUNTIF($CB$100:CB123,CB123),"000"))</f>
        <v/>
      </c>
      <c r="J123" s="9" t="str">
        <f>IF(AND($BN$18&lt;&gt;"",($BM$18+24)&lt;=$BO$18),$BN$18,"")</f>
        <v/>
      </c>
      <c r="K123" s="9" t="str">
        <f>IF(AND($BN$18&lt;&gt;"",($BM$18+24)&lt;=$BO$18),TEXT(($BM$18+24),"00"),"")</f>
        <v/>
      </c>
      <c r="L123" s="9" t="str">
        <f>IF(AND($BN$18&lt;&gt;"",($BM$18+24)&lt;=$BO$18),$BN$18&amp;"-"&amp;TEXT(($BM$18+24),"00"),"")</f>
        <v/>
      </c>
      <c r="N123" s="6"/>
      <c r="O123" s="9" t="str">
        <f>IF(CC123="","",CC123&amp;"-"&amp;TEXT(COUNTIF($CA$72:$CA$95,CC123)+COUNTIF($CB$72:$CB$95,CC123)+COUNTIF($CC$72:$CC$95,CC123)+COUNTIF($CD$72:$CD$95,CC123)+COUNTIF($CA$100:$CA$123,CC123)+COUNTIF($CB$100:$CB$123,CC123)+COUNTIF($CC$100:CC123,CC123),"000"))</f>
        <v/>
      </c>
      <c r="P123" s="9" t="str">
        <f>IF(AND($BN$19&lt;&gt;"",($BM$19+24)&lt;=$BO$19),$BN$19,"")</f>
        <v/>
      </c>
      <c r="Q123" s="9" t="str">
        <f>IF(AND($BN$19&lt;&gt;"",($BM$19+24)&lt;=$BO$19),TEXT(($BM$19+24),"00"),"")</f>
        <v/>
      </c>
      <c r="R123" s="9" t="str">
        <f>IF(AND($BN$19&lt;&gt;"",($BM$19+24)&lt;=$BO$19),$BN$19&amp;"-"&amp;TEXT(($BM$19+24),"00"),"")</f>
        <v/>
      </c>
      <c r="T123" s="6"/>
      <c r="U123" s="9" t="str">
        <f>IF(CD123="","",CD123&amp;"-"&amp;TEXT(COUNTIF($CA$72:$CA$95,CD123)+COUNTIF($CB$72:$CB$95,CD123)+COUNTIF($CC$72:$CC$95,CD123)+COUNTIF($CD$72:$CD$95,CD123)+COUNTIF($CA$100:$CA$123,CD123)+COUNTIF($CB$100:$CB$123,CD123)+COUNTIF($CC$100:$CC$123,CD123)+COUNTIF($CD$100:CD123,CD123),"000"))</f>
        <v/>
      </c>
      <c r="V123" s="9" t="str">
        <f>IF(AND($BN$20&lt;&gt;"",($BM$20+24)&lt;=$BO$20),$BN$20,"")</f>
        <v/>
      </c>
      <c r="W123" s="9" t="str">
        <f>IF(AND($BN$20&lt;&gt;"",($BM$20+24)&lt;=$BO$20),TEXT(($BM$20+24),"00"),"")</f>
        <v/>
      </c>
      <c r="X123" s="9" t="str">
        <f>IF(AND($BN$20&lt;&gt;"",($BM$20+24)&lt;=$BO$20),$BN$20&amp;"-"&amp;TEXT(($BM$20+24),"00"),"")</f>
        <v/>
      </c>
      <c r="BA123">
        <f>IF(OR(Catalogo!$C123="",Catalogo!$B123="Espacio libre",Catalogo!$B123="Espacio reservado"),0,COUNTIF($C$13:$C$42,Catalogo!$C123)+IF($E$7=Catalogo!$C123,N($K$7),0)+IF($E$8=Catalogo!$C123,N($N$8),0)+IF(Proyecto!$D$12=Catalogo!$C123,$AQ$4,0)+SUMIF($C$49:$C$58,Catalogo!$C123,$K$49:$K$58))</f>
        <v>0</v>
      </c>
      <c r="CA123" t="str" cm="1">
        <f t="array" ref="CA123">IF(NOT(AND($BN$17&lt;&gt;"",($BM$17+24)&lt;=$BO$17)),"",IF(B123&lt;&gt;"",IF(B123="-","",B123),IF(ISNUMBER(SEARCH(":",$BP$17)),IFERROR(_xlfn.LET(_xlpm.s,_xlfn.TEXTSPLIT($BP$17,","),_xlpm.k,FIND(":",_xlpm.s),INDEX(TRIM(LEFT(_xlpm.s,_xlpm.k-1)),_xlfn.XMATCH(($BM$17+24),_xlfn.SCAN(0,--MID(_xlpm.s,_xlpm.k+1,9),_xlfn.LAMBDA(_xlpm.a,_xlpm.v,_xlpm.a+_xlpm.v)),1))),""),IF(($BM$17+24)&lt;=$BQ$17,$BP$17,""))))</f>
        <v/>
      </c>
      <c r="CB123" t="str" cm="1">
        <f t="array" ref="CB123">IF(NOT(AND($BN$18&lt;&gt;"",($BM$18+24)&lt;=$BO$18)),"",IF(H123&lt;&gt;"",IF(H123="-","",H123),IF(ISNUMBER(SEARCH(":",$BP$18)),IFERROR(_xlfn.LET(_xlpm.s,_xlfn.TEXTSPLIT($BP$18,","),_xlpm.k,FIND(":",_xlpm.s),INDEX(TRIM(LEFT(_xlpm.s,_xlpm.k-1)),_xlfn.XMATCH(($BM$18+24),_xlfn.SCAN(0,--MID(_xlpm.s,_xlpm.k+1,9),_xlfn.LAMBDA(_xlpm.a,_xlpm.v,_xlpm.a+_xlpm.v)),1))),""),IF(($BM$18+24)&lt;=$BQ$18,$BP$18,""))))</f>
        <v/>
      </c>
      <c r="CC123" t="str" cm="1">
        <f t="array" ref="CC123">IF(NOT(AND($BN$19&lt;&gt;"",($BM$19+24)&lt;=$BO$19)),"",IF(N123&lt;&gt;"",IF(N123="-","",N123),IF(ISNUMBER(SEARCH(":",$BP$19)),IFERROR(_xlfn.LET(_xlpm.s,_xlfn.TEXTSPLIT($BP$19,","),_xlpm.k,FIND(":",_xlpm.s),INDEX(TRIM(LEFT(_xlpm.s,_xlpm.k-1)),_xlfn.XMATCH(($BM$19+24),_xlfn.SCAN(0,--MID(_xlpm.s,_xlpm.k+1,9),_xlfn.LAMBDA(_xlpm.a,_xlpm.v,_xlpm.a+_xlpm.v)),1))),""),IF(($BM$19+24)&lt;=$BQ$19,$BP$19,""))))</f>
        <v/>
      </c>
      <c r="CD123" t="str" cm="1">
        <f t="array" ref="CD123">IF(NOT(AND($BN$20&lt;&gt;"",($BM$20+24)&lt;=$BO$20)),"",IF(T123&lt;&gt;"",IF(T123="-","",T123),IF(ISNUMBER(SEARCH(":",$BP$20)),IFERROR(_xlfn.LET(_xlpm.s,_xlfn.TEXTSPLIT($BP$20,","),_xlpm.k,FIND(":",_xlpm.s),INDEX(TRIM(LEFT(_xlpm.s,_xlpm.k-1)),_xlfn.XMATCH(($BM$20+24),_xlfn.SCAN(0,--MID(_xlpm.s,_xlpm.k+1,9),_xlfn.LAMBDA(_xlpm.a,_xlpm.v,_xlpm.a+_xlpm.v)),1))),""),IF(($BM$20+24)&lt;=$BQ$20,$BP$20,""))))</f>
        <v/>
      </c>
    </row>
    <row r="124" spans="2:82" hidden="1" x14ac:dyDescent="0.45">
      <c r="BA124">
        <f>IF(OR(Catalogo!$C124="",Catalogo!$B124="Espacio libre",Catalogo!$B124="Espacio reservado"),0,COUNTIF($C$13:$C$42,Catalogo!$C124)+IF($E$7=Catalogo!$C124,N($K$7),0)+IF($E$8=Catalogo!$C124,N($N$8),0)+IF(Proyecto!$D$12=Catalogo!$C124,$AQ$4,0)+SUMIF($C$49:$C$58,Catalogo!$C124,$K$49:$K$58))</f>
        <v>0</v>
      </c>
    </row>
    <row r="125" spans="2:82" hidden="1" x14ac:dyDescent="0.45">
      <c r="BA125">
        <f>IF(OR(Catalogo!$C125="",Catalogo!$B125="Espacio libre",Catalogo!$B125="Espacio reservado"),0,COUNTIF($C$13:$C$42,Catalogo!$C125)+IF($E$7=Catalogo!$C125,N($K$7),0)+IF($E$8=Catalogo!$C125,N($N$8),0)+IF(Proyecto!$D$12=Catalogo!$C125,$AQ$4,0)+SUMIF($C$49:$C$58,Catalogo!$C125,$K$49:$K$58))</f>
        <v>0</v>
      </c>
    </row>
    <row r="126" spans="2:82" hidden="1" x14ac:dyDescent="0.45">
      <c r="B126" s="51" t="str">
        <f>IF($BN$21="","Bloque 9 — sin panel","Panel "&amp;$BN$21&amp;"  (puertos "&amp;($BM$21+1)&amp;"-"&amp;MIN($BM$21+24,$BO$21)&amp;")"&amp;IF($BP$21&lt;&gt;"","  · "&amp;$BP$21,"")&amp;"  · "&amp;TEXT(IFERROR(INDEX($BS$13:$BS$28,$BL$21)/$BO$21,0),"0%"))</f>
        <v>Bloque 9 — sin panel</v>
      </c>
      <c r="C126" s="40"/>
      <c r="D126" s="40"/>
      <c r="E126" s="40"/>
      <c r="F126" s="40"/>
      <c r="H126" s="51" t="str">
        <f>IF($BN$22="","Bloque 10 — sin panel","Panel "&amp;$BN$22&amp;"  (puertos "&amp;($BM$22+1)&amp;"-"&amp;MIN($BM$22+24,$BO$22)&amp;")"&amp;IF($BP$22&lt;&gt;"","  · "&amp;$BP$22,"")&amp;"  · "&amp;TEXT(IFERROR(INDEX($BS$13:$BS$28,$BL$22)/$BO$22,0),"0%"))</f>
        <v>Bloque 10 — sin panel</v>
      </c>
      <c r="I126" s="40"/>
      <c r="J126" s="40"/>
      <c r="K126" s="40"/>
      <c r="L126" s="40"/>
      <c r="N126" s="51" t="str">
        <f>IF($BN$23="","Bloque 11 — sin panel","Panel "&amp;$BN$23&amp;"  (puertos "&amp;($BM$23+1)&amp;"-"&amp;MIN($BM$23+24,$BO$23)&amp;")"&amp;IF($BP$23&lt;&gt;"","  · "&amp;$BP$23,"")&amp;"  · "&amp;TEXT(IFERROR(INDEX($BS$13:$BS$28,$BL$23)/$BO$23,0),"0%"))</f>
        <v>Bloque 11 — sin panel</v>
      </c>
      <c r="O126" s="40"/>
      <c r="P126" s="40"/>
      <c r="Q126" s="40"/>
      <c r="R126" s="40"/>
      <c r="T126" s="51" t="str">
        <f>IF($BN$24="","Bloque 12 — sin panel","Panel "&amp;$BN$24&amp;"  (puertos "&amp;($BM$24+1)&amp;"-"&amp;MIN($BM$24+24,$BO$24)&amp;")"&amp;IF($BP$24&lt;&gt;"","  · "&amp;$BP$24,"")&amp;"  · "&amp;TEXT(IFERROR(INDEX($BS$13:$BS$28,$BL$24)/$BO$24,0),"0%"))</f>
        <v>Bloque 12 — sin panel</v>
      </c>
      <c r="U126" s="40"/>
      <c r="V126" s="40"/>
      <c r="W126" s="40"/>
      <c r="X126" s="40"/>
    </row>
    <row r="127" spans="2:82" hidden="1" x14ac:dyDescent="0.45">
      <c r="B127" s="5" t="s">
        <v>410</v>
      </c>
      <c r="C127" s="5" t="s">
        <v>411</v>
      </c>
      <c r="D127" s="5" t="s">
        <v>389</v>
      </c>
      <c r="E127" s="5" t="s">
        <v>412</v>
      </c>
      <c r="F127" s="5" t="s">
        <v>413</v>
      </c>
      <c r="H127" s="5" t="s">
        <v>410</v>
      </c>
      <c r="I127" s="5" t="s">
        <v>411</v>
      </c>
      <c r="J127" s="5" t="s">
        <v>389</v>
      </c>
      <c r="K127" s="5" t="s">
        <v>412</v>
      </c>
      <c r="L127" s="5" t="s">
        <v>413</v>
      </c>
      <c r="N127" s="5" t="s">
        <v>410</v>
      </c>
      <c r="O127" s="5" t="s">
        <v>411</v>
      </c>
      <c r="P127" s="5" t="s">
        <v>389</v>
      </c>
      <c r="Q127" s="5" t="s">
        <v>412</v>
      </c>
      <c r="R127" s="5" t="s">
        <v>413</v>
      </c>
      <c r="T127" s="5" t="s">
        <v>410</v>
      </c>
      <c r="U127" s="5" t="s">
        <v>411</v>
      </c>
      <c r="V127" s="5" t="s">
        <v>389</v>
      </c>
      <c r="W127" s="5" t="s">
        <v>412</v>
      </c>
      <c r="X127" s="5" t="s">
        <v>413</v>
      </c>
    </row>
    <row r="128" spans="2:82" hidden="1" x14ac:dyDescent="0.45">
      <c r="B128" s="6"/>
      <c r="C128" s="9" t="str">
        <f>IF(CA128="","",CA128&amp;"-"&amp;TEXT(COUNTIF($CA$72:$CA$95,CA128)+COUNTIF($CB$72:$CB$95,CA128)+COUNTIF($CC$72:$CC$95,CA128)+COUNTIF($CD$72:$CD$95,CA128)+COUNTIF($CA$100:$CA$123,CA128)+COUNTIF($CB$100:$CB$123,CA128)+COUNTIF($CC$100:$CC$123,CA128)+COUNTIF($CD$100:$CD$123,CA128)+COUNTIF($CA$128:CA128,CA128),"000"))</f>
        <v/>
      </c>
      <c r="D128" s="9" t="str">
        <f>IF(AND($BN$21&lt;&gt;"",($BM$21+1)&lt;=$BO$21),$BN$21,"")</f>
        <v/>
      </c>
      <c r="E128" s="9" t="str">
        <f>IF(AND($BN$21&lt;&gt;"",($BM$21+1)&lt;=$BO$21),TEXT(($BM$21+1),"00"),"")</f>
        <v/>
      </c>
      <c r="F128" s="9" t="str">
        <f>IF(AND($BN$21&lt;&gt;"",($BM$21+1)&lt;=$BO$21),$BN$21&amp;"-"&amp;TEXT(($BM$21+1),"00"),"")</f>
        <v/>
      </c>
      <c r="H128" s="6"/>
      <c r="I128" s="9" t="str">
        <f>IF(CB128="","",CB128&amp;"-"&amp;TEXT(COUNTIF($CA$72:$CA$95,CB128)+COUNTIF($CB$72:$CB$95,CB128)+COUNTIF($CC$72:$CC$95,CB128)+COUNTIF($CD$72:$CD$95,CB128)+COUNTIF($CA$100:$CA$123,CB128)+COUNTIF($CB$100:$CB$123,CB128)+COUNTIF($CC$100:$CC$123,CB128)+COUNTIF($CD$100:$CD$123,CB128)+COUNTIF($CA$128:$CA$151,CB128)+COUNTIF($CB$128:CB128,CB128),"000"))</f>
        <v/>
      </c>
      <c r="J128" s="9" t="str">
        <f>IF(AND($BN$22&lt;&gt;"",($BM$22+1)&lt;=$BO$22),$BN$22,"")</f>
        <v/>
      </c>
      <c r="K128" s="9" t="str">
        <f>IF(AND($BN$22&lt;&gt;"",($BM$22+1)&lt;=$BO$22),TEXT(($BM$22+1),"00"),"")</f>
        <v/>
      </c>
      <c r="L128" s="9" t="str">
        <f>IF(AND($BN$22&lt;&gt;"",($BM$22+1)&lt;=$BO$22),$BN$22&amp;"-"&amp;TEXT(($BM$22+1),"00"),"")</f>
        <v/>
      </c>
      <c r="N128" s="6"/>
      <c r="O128" s="9" t="str">
        <f>IF(CC128="","",CC128&amp;"-"&amp;TEXT(COUNTIF($CA$72:$CA$95,CC128)+COUNTIF($CB$72:$CB$95,CC128)+COUNTIF($CC$72:$CC$95,CC128)+COUNTIF($CD$72:$CD$95,CC128)+COUNTIF($CA$100:$CA$123,CC128)+COUNTIF($CB$100:$CB$123,CC128)+COUNTIF($CC$100:$CC$123,CC128)+COUNTIF($CD$100:$CD$123,CC128)+COUNTIF($CA$128:$CA$151,CC128)+COUNTIF($CB$128:$CB$151,CC128)+COUNTIF($CC$128:CC128,CC128),"000"))</f>
        <v/>
      </c>
      <c r="P128" s="9" t="str">
        <f>IF(AND($BN$23&lt;&gt;"",($BM$23+1)&lt;=$BO$23),$BN$23,"")</f>
        <v/>
      </c>
      <c r="Q128" s="9" t="str">
        <f>IF(AND($BN$23&lt;&gt;"",($BM$23+1)&lt;=$BO$23),TEXT(($BM$23+1),"00"),"")</f>
        <v/>
      </c>
      <c r="R128" s="9" t="str">
        <f>IF(AND($BN$23&lt;&gt;"",($BM$23+1)&lt;=$BO$23),$BN$23&amp;"-"&amp;TEXT(($BM$23+1),"00"),"")</f>
        <v/>
      </c>
      <c r="T128" s="6"/>
      <c r="U128" s="9" t="str">
        <f>IF(CD128="","",CD128&amp;"-"&amp;TEXT(COUNTIF($CA$72:$CA$95,CD128)+COUNTIF($CB$72:$CB$95,CD128)+COUNTIF($CC$72:$CC$95,CD128)+COUNTIF($CD$72:$CD$95,CD128)+COUNTIF($CA$100:$CA$123,CD128)+COUNTIF($CB$100:$CB$123,CD128)+COUNTIF($CC$100:$CC$123,CD128)+COUNTIF($CD$100:$CD$123,CD128)+COUNTIF($CA$128:$CA$151,CD128)+COUNTIF($CB$128:$CB$151,CD128)+COUNTIF($CC$128:$CC$151,CD128)+COUNTIF($CD$128:CD128,CD128),"000"))</f>
        <v/>
      </c>
      <c r="V128" s="9" t="str">
        <f>IF(AND($BN$24&lt;&gt;"",($BM$24+1)&lt;=$BO$24),$BN$24,"")</f>
        <v/>
      </c>
      <c r="W128" s="9" t="str">
        <f>IF(AND($BN$24&lt;&gt;"",($BM$24+1)&lt;=$BO$24),TEXT(($BM$24+1),"00"),"")</f>
        <v/>
      </c>
      <c r="X128" s="9" t="str">
        <f>IF(AND($BN$24&lt;&gt;"",($BM$24+1)&lt;=$BO$24),$BN$24&amp;"-"&amp;TEXT(($BM$24+1),"00"),"")</f>
        <v/>
      </c>
      <c r="CA128" t="str" cm="1">
        <f t="array" ref="CA128">IF(NOT(AND($BN$21&lt;&gt;"",($BM$21+1)&lt;=$BO$21)),"",IF(B128&lt;&gt;"",IF(B128="-","",B128),IF(ISNUMBER(SEARCH(":",$BP$21)),IFERROR(_xlfn.LET(_xlpm.s,_xlfn.TEXTSPLIT($BP$21,","),_xlpm.k,FIND(":",_xlpm.s),INDEX(TRIM(LEFT(_xlpm.s,_xlpm.k-1)),_xlfn.XMATCH(($BM$21+1),_xlfn.SCAN(0,--MID(_xlpm.s,_xlpm.k+1,9),_xlfn.LAMBDA(_xlpm.a,_xlpm.v,_xlpm.a+_xlpm.v)),1))),""),IF(($BM$21+1)&lt;=$BQ$21,$BP$21,""))))</f>
        <v/>
      </c>
      <c r="CB128" t="str" cm="1">
        <f t="array" ref="CB128">IF(NOT(AND($BN$22&lt;&gt;"",($BM$22+1)&lt;=$BO$22)),"",IF(H128&lt;&gt;"",IF(H128="-","",H128),IF(ISNUMBER(SEARCH(":",$BP$22)),IFERROR(_xlfn.LET(_xlpm.s,_xlfn.TEXTSPLIT($BP$22,","),_xlpm.k,FIND(":",_xlpm.s),INDEX(TRIM(LEFT(_xlpm.s,_xlpm.k-1)),_xlfn.XMATCH(($BM$22+1),_xlfn.SCAN(0,--MID(_xlpm.s,_xlpm.k+1,9),_xlfn.LAMBDA(_xlpm.a,_xlpm.v,_xlpm.a+_xlpm.v)),1))),""),IF(($BM$22+1)&lt;=$BQ$22,$BP$22,""))))</f>
        <v/>
      </c>
      <c r="CC128" t="str" cm="1">
        <f t="array" ref="CC128">IF(NOT(AND($BN$23&lt;&gt;"",($BM$23+1)&lt;=$BO$23)),"",IF(N128&lt;&gt;"",IF(N128="-","",N128),IF(ISNUMBER(SEARCH(":",$BP$23)),IFERROR(_xlfn.LET(_xlpm.s,_xlfn.TEXTSPLIT($BP$23,","),_xlpm.k,FIND(":",_xlpm.s),INDEX(TRIM(LEFT(_xlpm.s,_xlpm.k-1)),_xlfn.XMATCH(($BM$23+1),_xlfn.SCAN(0,--MID(_xlpm.s,_xlpm.k+1,9),_xlfn.LAMBDA(_xlpm.a,_xlpm.v,_xlpm.a+_xlpm.v)),1))),""),IF(($BM$23+1)&lt;=$BQ$23,$BP$23,""))))</f>
        <v/>
      </c>
      <c r="CD128" t="str" cm="1">
        <f t="array" ref="CD128">IF(NOT(AND($BN$24&lt;&gt;"",($BM$24+1)&lt;=$BO$24)),"",IF(T128&lt;&gt;"",IF(T128="-","",T128),IF(ISNUMBER(SEARCH(":",$BP$24)),IFERROR(_xlfn.LET(_xlpm.s,_xlfn.TEXTSPLIT($BP$24,","),_xlpm.k,FIND(":",_xlpm.s),INDEX(TRIM(LEFT(_xlpm.s,_xlpm.k-1)),_xlfn.XMATCH(($BM$24+1),_xlfn.SCAN(0,--MID(_xlpm.s,_xlpm.k+1,9),_xlfn.LAMBDA(_xlpm.a,_xlpm.v,_xlpm.a+_xlpm.v)),1))),""),IF(($BM$24+1)&lt;=$BQ$24,$BP$24,""))))</f>
        <v/>
      </c>
    </row>
    <row r="129" spans="2:82" hidden="1" x14ac:dyDescent="0.45">
      <c r="B129" s="6"/>
      <c r="C129" s="9" t="str">
        <f>IF(CA129="","",CA129&amp;"-"&amp;TEXT(COUNTIF($CA$72:$CA$95,CA129)+COUNTIF($CB$72:$CB$95,CA129)+COUNTIF($CC$72:$CC$95,CA129)+COUNTIF($CD$72:$CD$95,CA129)+COUNTIF($CA$100:$CA$123,CA129)+COUNTIF($CB$100:$CB$123,CA129)+COUNTIF($CC$100:$CC$123,CA129)+COUNTIF($CD$100:$CD$123,CA129)+COUNTIF($CA$128:CA129,CA129),"000"))</f>
        <v/>
      </c>
      <c r="D129" s="9" t="str">
        <f>IF(AND($BN$21&lt;&gt;"",($BM$21+2)&lt;=$BO$21),$BN$21,"")</f>
        <v/>
      </c>
      <c r="E129" s="9" t="str">
        <f>IF(AND($BN$21&lt;&gt;"",($BM$21+2)&lt;=$BO$21),TEXT(($BM$21+2),"00"),"")</f>
        <v/>
      </c>
      <c r="F129" s="9" t="str">
        <f>IF(AND($BN$21&lt;&gt;"",($BM$21+2)&lt;=$BO$21),$BN$21&amp;"-"&amp;TEXT(($BM$21+2),"00"),"")</f>
        <v/>
      </c>
      <c r="H129" s="6"/>
      <c r="I129" s="9" t="str">
        <f>IF(CB129="","",CB129&amp;"-"&amp;TEXT(COUNTIF($CA$72:$CA$95,CB129)+COUNTIF($CB$72:$CB$95,CB129)+COUNTIF($CC$72:$CC$95,CB129)+COUNTIF($CD$72:$CD$95,CB129)+COUNTIF($CA$100:$CA$123,CB129)+COUNTIF($CB$100:$CB$123,CB129)+COUNTIF($CC$100:$CC$123,CB129)+COUNTIF($CD$100:$CD$123,CB129)+COUNTIF($CA$128:$CA$151,CB129)+COUNTIF($CB$128:CB129,CB129),"000"))</f>
        <v/>
      </c>
      <c r="J129" s="9" t="str">
        <f>IF(AND($BN$22&lt;&gt;"",($BM$22+2)&lt;=$BO$22),$BN$22,"")</f>
        <v/>
      </c>
      <c r="K129" s="9" t="str">
        <f>IF(AND($BN$22&lt;&gt;"",($BM$22+2)&lt;=$BO$22),TEXT(($BM$22+2),"00"),"")</f>
        <v/>
      </c>
      <c r="L129" s="9" t="str">
        <f>IF(AND($BN$22&lt;&gt;"",($BM$22+2)&lt;=$BO$22),$BN$22&amp;"-"&amp;TEXT(($BM$22+2),"00"),"")</f>
        <v/>
      </c>
      <c r="N129" s="6"/>
      <c r="O129" s="9" t="str">
        <f>IF(CC129="","",CC129&amp;"-"&amp;TEXT(COUNTIF($CA$72:$CA$95,CC129)+COUNTIF($CB$72:$CB$95,CC129)+COUNTIF($CC$72:$CC$95,CC129)+COUNTIF($CD$72:$CD$95,CC129)+COUNTIF($CA$100:$CA$123,CC129)+COUNTIF($CB$100:$CB$123,CC129)+COUNTIF($CC$100:$CC$123,CC129)+COUNTIF($CD$100:$CD$123,CC129)+COUNTIF($CA$128:$CA$151,CC129)+COUNTIF($CB$128:$CB$151,CC129)+COUNTIF($CC$128:CC129,CC129),"000"))</f>
        <v/>
      </c>
      <c r="P129" s="9" t="str">
        <f>IF(AND($BN$23&lt;&gt;"",($BM$23+2)&lt;=$BO$23),$BN$23,"")</f>
        <v/>
      </c>
      <c r="Q129" s="9" t="str">
        <f>IF(AND($BN$23&lt;&gt;"",($BM$23+2)&lt;=$BO$23),TEXT(($BM$23+2),"00"),"")</f>
        <v/>
      </c>
      <c r="R129" s="9" t="str">
        <f>IF(AND($BN$23&lt;&gt;"",($BM$23+2)&lt;=$BO$23),$BN$23&amp;"-"&amp;TEXT(($BM$23+2),"00"),"")</f>
        <v/>
      </c>
      <c r="T129" s="6"/>
      <c r="U129" s="9" t="str">
        <f>IF(CD129="","",CD129&amp;"-"&amp;TEXT(COUNTIF($CA$72:$CA$95,CD129)+COUNTIF($CB$72:$CB$95,CD129)+COUNTIF($CC$72:$CC$95,CD129)+COUNTIF($CD$72:$CD$95,CD129)+COUNTIF($CA$100:$CA$123,CD129)+COUNTIF($CB$100:$CB$123,CD129)+COUNTIF($CC$100:$CC$123,CD129)+COUNTIF($CD$100:$CD$123,CD129)+COUNTIF($CA$128:$CA$151,CD129)+COUNTIF($CB$128:$CB$151,CD129)+COUNTIF($CC$128:$CC$151,CD129)+COUNTIF($CD$128:CD129,CD129),"000"))</f>
        <v/>
      </c>
      <c r="V129" s="9" t="str">
        <f>IF(AND($BN$24&lt;&gt;"",($BM$24+2)&lt;=$BO$24),$BN$24,"")</f>
        <v/>
      </c>
      <c r="W129" s="9" t="str">
        <f>IF(AND($BN$24&lt;&gt;"",($BM$24+2)&lt;=$BO$24),TEXT(($BM$24+2),"00"),"")</f>
        <v/>
      </c>
      <c r="X129" s="9" t="str">
        <f>IF(AND($BN$24&lt;&gt;"",($BM$24+2)&lt;=$BO$24),$BN$24&amp;"-"&amp;TEXT(($BM$24+2),"00"),"")</f>
        <v/>
      </c>
      <c r="CA129" t="str" cm="1">
        <f t="array" ref="CA129">IF(NOT(AND($BN$21&lt;&gt;"",($BM$21+2)&lt;=$BO$21)),"",IF(B129&lt;&gt;"",IF(B129="-","",B129),IF(ISNUMBER(SEARCH(":",$BP$21)),IFERROR(_xlfn.LET(_xlpm.s,_xlfn.TEXTSPLIT($BP$21,","),_xlpm.k,FIND(":",_xlpm.s),INDEX(TRIM(LEFT(_xlpm.s,_xlpm.k-1)),_xlfn.XMATCH(($BM$21+2),_xlfn.SCAN(0,--MID(_xlpm.s,_xlpm.k+1,9),_xlfn.LAMBDA(_xlpm.a,_xlpm.v,_xlpm.a+_xlpm.v)),1))),""),IF(($BM$21+2)&lt;=$BQ$21,$BP$21,""))))</f>
        <v/>
      </c>
      <c r="CB129" t="str" cm="1">
        <f t="array" ref="CB129">IF(NOT(AND($BN$22&lt;&gt;"",($BM$22+2)&lt;=$BO$22)),"",IF(H129&lt;&gt;"",IF(H129="-","",H129),IF(ISNUMBER(SEARCH(":",$BP$22)),IFERROR(_xlfn.LET(_xlpm.s,_xlfn.TEXTSPLIT($BP$22,","),_xlpm.k,FIND(":",_xlpm.s),INDEX(TRIM(LEFT(_xlpm.s,_xlpm.k-1)),_xlfn.XMATCH(($BM$22+2),_xlfn.SCAN(0,--MID(_xlpm.s,_xlpm.k+1,9),_xlfn.LAMBDA(_xlpm.a,_xlpm.v,_xlpm.a+_xlpm.v)),1))),""),IF(($BM$22+2)&lt;=$BQ$22,$BP$22,""))))</f>
        <v/>
      </c>
      <c r="CC129" t="str" cm="1">
        <f t="array" ref="CC129">IF(NOT(AND($BN$23&lt;&gt;"",($BM$23+2)&lt;=$BO$23)),"",IF(N129&lt;&gt;"",IF(N129="-","",N129),IF(ISNUMBER(SEARCH(":",$BP$23)),IFERROR(_xlfn.LET(_xlpm.s,_xlfn.TEXTSPLIT($BP$23,","),_xlpm.k,FIND(":",_xlpm.s),INDEX(TRIM(LEFT(_xlpm.s,_xlpm.k-1)),_xlfn.XMATCH(($BM$23+2),_xlfn.SCAN(0,--MID(_xlpm.s,_xlpm.k+1,9),_xlfn.LAMBDA(_xlpm.a,_xlpm.v,_xlpm.a+_xlpm.v)),1))),""),IF(($BM$23+2)&lt;=$BQ$23,$BP$23,""))))</f>
        <v/>
      </c>
      <c r="CD129" t="str" cm="1">
        <f t="array" ref="CD129">IF(NOT(AND($BN$24&lt;&gt;"",($BM$24+2)&lt;=$BO$24)),"",IF(T129&lt;&gt;"",IF(T129="-","",T129),IF(ISNUMBER(SEARCH(":",$BP$24)),IFERROR(_xlfn.LET(_xlpm.s,_xlfn.TEXTSPLIT($BP$24,","),_xlpm.k,FIND(":",_xlpm.s),INDEX(TRIM(LEFT(_xlpm.s,_xlpm.k-1)),_xlfn.XMATCH(($BM$24+2),_xlfn.SCAN(0,--MID(_xlpm.s,_xlpm.k+1,9),_xlfn.LAMBDA(_xlpm.a,_xlpm.v,_xlpm.a+_xlpm.v)),1))),""),IF(($BM$24+2)&lt;=$BQ$24,$BP$24,""))))</f>
        <v/>
      </c>
    </row>
    <row r="130" spans="2:82" hidden="1" x14ac:dyDescent="0.45">
      <c r="B130" s="6"/>
      <c r="C130" s="9" t="str">
        <f>IF(CA130="","",CA130&amp;"-"&amp;TEXT(COUNTIF($CA$72:$CA$95,CA130)+COUNTIF($CB$72:$CB$95,CA130)+COUNTIF($CC$72:$CC$95,CA130)+COUNTIF($CD$72:$CD$95,CA130)+COUNTIF($CA$100:$CA$123,CA130)+COUNTIF($CB$100:$CB$123,CA130)+COUNTIF($CC$100:$CC$123,CA130)+COUNTIF($CD$100:$CD$123,CA130)+COUNTIF($CA$128:CA130,CA130),"000"))</f>
        <v/>
      </c>
      <c r="D130" s="9" t="str">
        <f>IF(AND($BN$21&lt;&gt;"",($BM$21+3)&lt;=$BO$21),$BN$21,"")</f>
        <v/>
      </c>
      <c r="E130" s="9" t="str">
        <f>IF(AND($BN$21&lt;&gt;"",($BM$21+3)&lt;=$BO$21),TEXT(($BM$21+3),"00"),"")</f>
        <v/>
      </c>
      <c r="F130" s="9" t="str">
        <f>IF(AND($BN$21&lt;&gt;"",($BM$21+3)&lt;=$BO$21),$BN$21&amp;"-"&amp;TEXT(($BM$21+3),"00"),"")</f>
        <v/>
      </c>
      <c r="H130" s="6"/>
      <c r="I130" s="9" t="str">
        <f>IF(CB130="","",CB130&amp;"-"&amp;TEXT(COUNTIF($CA$72:$CA$95,CB130)+COUNTIF($CB$72:$CB$95,CB130)+COUNTIF($CC$72:$CC$95,CB130)+COUNTIF($CD$72:$CD$95,CB130)+COUNTIF($CA$100:$CA$123,CB130)+COUNTIF($CB$100:$CB$123,CB130)+COUNTIF($CC$100:$CC$123,CB130)+COUNTIF($CD$100:$CD$123,CB130)+COUNTIF($CA$128:$CA$151,CB130)+COUNTIF($CB$128:CB130,CB130),"000"))</f>
        <v/>
      </c>
      <c r="J130" s="9" t="str">
        <f>IF(AND($BN$22&lt;&gt;"",($BM$22+3)&lt;=$BO$22),$BN$22,"")</f>
        <v/>
      </c>
      <c r="K130" s="9" t="str">
        <f>IF(AND($BN$22&lt;&gt;"",($BM$22+3)&lt;=$BO$22),TEXT(($BM$22+3),"00"),"")</f>
        <v/>
      </c>
      <c r="L130" s="9" t="str">
        <f>IF(AND($BN$22&lt;&gt;"",($BM$22+3)&lt;=$BO$22),$BN$22&amp;"-"&amp;TEXT(($BM$22+3),"00"),"")</f>
        <v/>
      </c>
      <c r="N130" s="6"/>
      <c r="O130" s="9" t="str">
        <f>IF(CC130="","",CC130&amp;"-"&amp;TEXT(COUNTIF($CA$72:$CA$95,CC130)+COUNTIF($CB$72:$CB$95,CC130)+COUNTIF($CC$72:$CC$95,CC130)+COUNTIF($CD$72:$CD$95,CC130)+COUNTIF($CA$100:$CA$123,CC130)+COUNTIF($CB$100:$CB$123,CC130)+COUNTIF($CC$100:$CC$123,CC130)+COUNTIF($CD$100:$CD$123,CC130)+COUNTIF($CA$128:$CA$151,CC130)+COUNTIF($CB$128:$CB$151,CC130)+COUNTIF($CC$128:CC130,CC130),"000"))</f>
        <v/>
      </c>
      <c r="P130" s="9" t="str">
        <f>IF(AND($BN$23&lt;&gt;"",($BM$23+3)&lt;=$BO$23),$BN$23,"")</f>
        <v/>
      </c>
      <c r="Q130" s="9" t="str">
        <f>IF(AND($BN$23&lt;&gt;"",($BM$23+3)&lt;=$BO$23),TEXT(($BM$23+3),"00"),"")</f>
        <v/>
      </c>
      <c r="R130" s="9" t="str">
        <f>IF(AND($BN$23&lt;&gt;"",($BM$23+3)&lt;=$BO$23),$BN$23&amp;"-"&amp;TEXT(($BM$23+3),"00"),"")</f>
        <v/>
      </c>
      <c r="T130" s="6"/>
      <c r="U130" s="9" t="str">
        <f>IF(CD130="","",CD130&amp;"-"&amp;TEXT(COUNTIF($CA$72:$CA$95,CD130)+COUNTIF($CB$72:$CB$95,CD130)+COUNTIF($CC$72:$CC$95,CD130)+COUNTIF($CD$72:$CD$95,CD130)+COUNTIF($CA$100:$CA$123,CD130)+COUNTIF($CB$100:$CB$123,CD130)+COUNTIF($CC$100:$CC$123,CD130)+COUNTIF($CD$100:$CD$123,CD130)+COUNTIF($CA$128:$CA$151,CD130)+COUNTIF($CB$128:$CB$151,CD130)+COUNTIF($CC$128:$CC$151,CD130)+COUNTIF($CD$128:CD130,CD130),"000"))</f>
        <v/>
      </c>
      <c r="V130" s="9" t="str">
        <f>IF(AND($BN$24&lt;&gt;"",($BM$24+3)&lt;=$BO$24),$BN$24,"")</f>
        <v/>
      </c>
      <c r="W130" s="9" t="str">
        <f>IF(AND($BN$24&lt;&gt;"",($BM$24+3)&lt;=$BO$24),TEXT(($BM$24+3),"00"),"")</f>
        <v/>
      </c>
      <c r="X130" s="9" t="str">
        <f>IF(AND($BN$24&lt;&gt;"",($BM$24+3)&lt;=$BO$24),$BN$24&amp;"-"&amp;TEXT(($BM$24+3),"00"),"")</f>
        <v/>
      </c>
      <c r="CA130" t="str" cm="1">
        <f t="array" ref="CA130">IF(NOT(AND($BN$21&lt;&gt;"",($BM$21+3)&lt;=$BO$21)),"",IF(B130&lt;&gt;"",IF(B130="-","",B130),IF(ISNUMBER(SEARCH(":",$BP$21)),IFERROR(_xlfn.LET(_xlpm.s,_xlfn.TEXTSPLIT($BP$21,","),_xlpm.k,FIND(":",_xlpm.s),INDEX(TRIM(LEFT(_xlpm.s,_xlpm.k-1)),_xlfn.XMATCH(($BM$21+3),_xlfn.SCAN(0,--MID(_xlpm.s,_xlpm.k+1,9),_xlfn.LAMBDA(_xlpm.a,_xlpm.v,_xlpm.a+_xlpm.v)),1))),""),IF(($BM$21+3)&lt;=$BQ$21,$BP$21,""))))</f>
        <v/>
      </c>
      <c r="CB130" t="str" cm="1">
        <f t="array" ref="CB130">IF(NOT(AND($BN$22&lt;&gt;"",($BM$22+3)&lt;=$BO$22)),"",IF(H130&lt;&gt;"",IF(H130="-","",H130),IF(ISNUMBER(SEARCH(":",$BP$22)),IFERROR(_xlfn.LET(_xlpm.s,_xlfn.TEXTSPLIT($BP$22,","),_xlpm.k,FIND(":",_xlpm.s),INDEX(TRIM(LEFT(_xlpm.s,_xlpm.k-1)),_xlfn.XMATCH(($BM$22+3),_xlfn.SCAN(0,--MID(_xlpm.s,_xlpm.k+1,9),_xlfn.LAMBDA(_xlpm.a,_xlpm.v,_xlpm.a+_xlpm.v)),1))),""),IF(($BM$22+3)&lt;=$BQ$22,$BP$22,""))))</f>
        <v/>
      </c>
      <c r="CC130" t="str" cm="1">
        <f t="array" ref="CC130">IF(NOT(AND($BN$23&lt;&gt;"",($BM$23+3)&lt;=$BO$23)),"",IF(N130&lt;&gt;"",IF(N130="-","",N130),IF(ISNUMBER(SEARCH(":",$BP$23)),IFERROR(_xlfn.LET(_xlpm.s,_xlfn.TEXTSPLIT($BP$23,","),_xlpm.k,FIND(":",_xlpm.s),INDEX(TRIM(LEFT(_xlpm.s,_xlpm.k-1)),_xlfn.XMATCH(($BM$23+3),_xlfn.SCAN(0,--MID(_xlpm.s,_xlpm.k+1,9),_xlfn.LAMBDA(_xlpm.a,_xlpm.v,_xlpm.a+_xlpm.v)),1))),""),IF(($BM$23+3)&lt;=$BQ$23,$BP$23,""))))</f>
        <v/>
      </c>
      <c r="CD130" t="str" cm="1">
        <f t="array" ref="CD130">IF(NOT(AND($BN$24&lt;&gt;"",($BM$24+3)&lt;=$BO$24)),"",IF(T130&lt;&gt;"",IF(T130="-","",T130),IF(ISNUMBER(SEARCH(":",$BP$24)),IFERROR(_xlfn.LET(_xlpm.s,_xlfn.TEXTSPLIT($BP$24,","),_xlpm.k,FIND(":",_xlpm.s),INDEX(TRIM(LEFT(_xlpm.s,_xlpm.k-1)),_xlfn.XMATCH(($BM$24+3),_xlfn.SCAN(0,--MID(_xlpm.s,_xlpm.k+1,9),_xlfn.LAMBDA(_xlpm.a,_xlpm.v,_xlpm.a+_xlpm.v)),1))),""),IF(($BM$24+3)&lt;=$BQ$24,$BP$24,""))))</f>
        <v/>
      </c>
    </row>
    <row r="131" spans="2:82" hidden="1" x14ac:dyDescent="0.45">
      <c r="B131" s="6"/>
      <c r="C131" s="9" t="str">
        <f>IF(CA131="","",CA131&amp;"-"&amp;TEXT(COUNTIF($CA$72:$CA$95,CA131)+COUNTIF($CB$72:$CB$95,CA131)+COUNTIF($CC$72:$CC$95,CA131)+COUNTIF($CD$72:$CD$95,CA131)+COUNTIF($CA$100:$CA$123,CA131)+COUNTIF($CB$100:$CB$123,CA131)+COUNTIF($CC$100:$CC$123,CA131)+COUNTIF($CD$100:$CD$123,CA131)+COUNTIF($CA$128:CA131,CA131),"000"))</f>
        <v/>
      </c>
      <c r="D131" s="9" t="str">
        <f>IF(AND($BN$21&lt;&gt;"",($BM$21+4)&lt;=$BO$21),$BN$21,"")</f>
        <v/>
      </c>
      <c r="E131" s="9" t="str">
        <f>IF(AND($BN$21&lt;&gt;"",($BM$21+4)&lt;=$BO$21),TEXT(($BM$21+4),"00"),"")</f>
        <v/>
      </c>
      <c r="F131" s="9" t="str">
        <f>IF(AND($BN$21&lt;&gt;"",($BM$21+4)&lt;=$BO$21),$BN$21&amp;"-"&amp;TEXT(($BM$21+4),"00"),"")</f>
        <v/>
      </c>
      <c r="H131" s="6"/>
      <c r="I131" s="9" t="str">
        <f>IF(CB131="","",CB131&amp;"-"&amp;TEXT(COUNTIF($CA$72:$CA$95,CB131)+COUNTIF($CB$72:$CB$95,CB131)+COUNTIF($CC$72:$CC$95,CB131)+COUNTIF($CD$72:$CD$95,CB131)+COUNTIF($CA$100:$CA$123,CB131)+COUNTIF($CB$100:$CB$123,CB131)+COUNTIF($CC$100:$CC$123,CB131)+COUNTIF($CD$100:$CD$123,CB131)+COUNTIF($CA$128:$CA$151,CB131)+COUNTIF($CB$128:CB131,CB131),"000"))</f>
        <v/>
      </c>
      <c r="J131" s="9" t="str">
        <f>IF(AND($BN$22&lt;&gt;"",($BM$22+4)&lt;=$BO$22),$BN$22,"")</f>
        <v/>
      </c>
      <c r="K131" s="9" t="str">
        <f>IF(AND($BN$22&lt;&gt;"",($BM$22+4)&lt;=$BO$22),TEXT(($BM$22+4),"00"),"")</f>
        <v/>
      </c>
      <c r="L131" s="9" t="str">
        <f>IF(AND($BN$22&lt;&gt;"",($BM$22+4)&lt;=$BO$22),$BN$22&amp;"-"&amp;TEXT(($BM$22+4),"00"),"")</f>
        <v/>
      </c>
      <c r="N131" s="6"/>
      <c r="O131" s="9" t="str">
        <f>IF(CC131="","",CC131&amp;"-"&amp;TEXT(COUNTIF($CA$72:$CA$95,CC131)+COUNTIF($CB$72:$CB$95,CC131)+COUNTIF($CC$72:$CC$95,CC131)+COUNTIF($CD$72:$CD$95,CC131)+COUNTIF($CA$100:$CA$123,CC131)+COUNTIF($CB$100:$CB$123,CC131)+COUNTIF($CC$100:$CC$123,CC131)+COUNTIF($CD$100:$CD$123,CC131)+COUNTIF($CA$128:$CA$151,CC131)+COUNTIF($CB$128:$CB$151,CC131)+COUNTIF($CC$128:CC131,CC131),"000"))</f>
        <v/>
      </c>
      <c r="P131" s="9" t="str">
        <f>IF(AND($BN$23&lt;&gt;"",($BM$23+4)&lt;=$BO$23),$BN$23,"")</f>
        <v/>
      </c>
      <c r="Q131" s="9" t="str">
        <f>IF(AND($BN$23&lt;&gt;"",($BM$23+4)&lt;=$BO$23),TEXT(($BM$23+4),"00"),"")</f>
        <v/>
      </c>
      <c r="R131" s="9" t="str">
        <f>IF(AND($BN$23&lt;&gt;"",($BM$23+4)&lt;=$BO$23),$BN$23&amp;"-"&amp;TEXT(($BM$23+4),"00"),"")</f>
        <v/>
      </c>
      <c r="T131" s="6"/>
      <c r="U131" s="9" t="str">
        <f>IF(CD131="","",CD131&amp;"-"&amp;TEXT(COUNTIF($CA$72:$CA$95,CD131)+COUNTIF($CB$72:$CB$95,CD131)+COUNTIF($CC$72:$CC$95,CD131)+COUNTIF($CD$72:$CD$95,CD131)+COUNTIF($CA$100:$CA$123,CD131)+COUNTIF($CB$100:$CB$123,CD131)+COUNTIF($CC$100:$CC$123,CD131)+COUNTIF($CD$100:$CD$123,CD131)+COUNTIF($CA$128:$CA$151,CD131)+COUNTIF($CB$128:$CB$151,CD131)+COUNTIF($CC$128:$CC$151,CD131)+COUNTIF($CD$128:CD131,CD131),"000"))</f>
        <v/>
      </c>
      <c r="V131" s="9" t="str">
        <f>IF(AND($BN$24&lt;&gt;"",($BM$24+4)&lt;=$BO$24),$BN$24,"")</f>
        <v/>
      </c>
      <c r="W131" s="9" t="str">
        <f>IF(AND($BN$24&lt;&gt;"",($BM$24+4)&lt;=$BO$24),TEXT(($BM$24+4),"00"),"")</f>
        <v/>
      </c>
      <c r="X131" s="9" t="str">
        <f>IF(AND($BN$24&lt;&gt;"",($BM$24+4)&lt;=$BO$24),$BN$24&amp;"-"&amp;TEXT(($BM$24+4),"00"),"")</f>
        <v/>
      </c>
      <c r="CA131" t="str" cm="1">
        <f t="array" ref="CA131">IF(NOT(AND($BN$21&lt;&gt;"",($BM$21+4)&lt;=$BO$21)),"",IF(B131&lt;&gt;"",IF(B131="-","",B131),IF(ISNUMBER(SEARCH(":",$BP$21)),IFERROR(_xlfn.LET(_xlpm.s,_xlfn.TEXTSPLIT($BP$21,","),_xlpm.k,FIND(":",_xlpm.s),INDEX(TRIM(LEFT(_xlpm.s,_xlpm.k-1)),_xlfn.XMATCH(($BM$21+4),_xlfn.SCAN(0,--MID(_xlpm.s,_xlpm.k+1,9),_xlfn.LAMBDA(_xlpm.a,_xlpm.v,_xlpm.a+_xlpm.v)),1))),""),IF(($BM$21+4)&lt;=$BQ$21,$BP$21,""))))</f>
        <v/>
      </c>
      <c r="CB131" t="str" cm="1">
        <f t="array" ref="CB131">IF(NOT(AND($BN$22&lt;&gt;"",($BM$22+4)&lt;=$BO$22)),"",IF(H131&lt;&gt;"",IF(H131="-","",H131),IF(ISNUMBER(SEARCH(":",$BP$22)),IFERROR(_xlfn.LET(_xlpm.s,_xlfn.TEXTSPLIT($BP$22,","),_xlpm.k,FIND(":",_xlpm.s),INDEX(TRIM(LEFT(_xlpm.s,_xlpm.k-1)),_xlfn.XMATCH(($BM$22+4),_xlfn.SCAN(0,--MID(_xlpm.s,_xlpm.k+1,9),_xlfn.LAMBDA(_xlpm.a,_xlpm.v,_xlpm.a+_xlpm.v)),1))),""),IF(($BM$22+4)&lt;=$BQ$22,$BP$22,""))))</f>
        <v/>
      </c>
      <c r="CC131" t="str" cm="1">
        <f t="array" ref="CC131">IF(NOT(AND($BN$23&lt;&gt;"",($BM$23+4)&lt;=$BO$23)),"",IF(N131&lt;&gt;"",IF(N131="-","",N131),IF(ISNUMBER(SEARCH(":",$BP$23)),IFERROR(_xlfn.LET(_xlpm.s,_xlfn.TEXTSPLIT($BP$23,","),_xlpm.k,FIND(":",_xlpm.s),INDEX(TRIM(LEFT(_xlpm.s,_xlpm.k-1)),_xlfn.XMATCH(($BM$23+4),_xlfn.SCAN(0,--MID(_xlpm.s,_xlpm.k+1,9),_xlfn.LAMBDA(_xlpm.a,_xlpm.v,_xlpm.a+_xlpm.v)),1))),""),IF(($BM$23+4)&lt;=$BQ$23,$BP$23,""))))</f>
        <v/>
      </c>
      <c r="CD131" t="str" cm="1">
        <f t="array" ref="CD131">IF(NOT(AND($BN$24&lt;&gt;"",($BM$24+4)&lt;=$BO$24)),"",IF(T131&lt;&gt;"",IF(T131="-","",T131),IF(ISNUMBER(SEARCH(":",$BP$24)),IFERROR(_xlfn.LET(_xlpm.s,_xlfn.TEXTSPLIT($BP$24,","),_xlpm.k,FIND(":",_xlpm.s),INDEX(TRIM(LEFT(_xlpm.s,_xlpm.k-1)),_xlfn.XMATCH(($BM$24+4),_xlfn.SCAN(0,--MID(_xlpm.s,_xlpm.k+1,9),_xlfn.LAMBDA(_xlpm.a,_xlpm.v,_xlpm.a+_xlpm.v)),1))),""),IF(($BM$24+4)&lt;=$BQ$24,$BP$24,""))))</f>
        <v/>
      </c>
    </row>
    <row r="132" spans="2:82" hidden="1" x14ac:dyDescent="0.45">
      <c r="B132" s="6"/>
      <c r="C132" s="9" t="str">
        <f>IF(CA132="","",CA132&amp;"-"&amp;TEXT(COUNTIF($CA$72:$CA$95,CA132)+COUNTIF($CB$72:$CB$95,CA132)+COUNTIF($CC$72:$CC$95,CA132)+COUNTIF($CD$72:$CD$95,CA132)+COUNTIF($CA$100:$CA$123,CA132)+COUNTIF($CB$100:$CB$123,CA132)+COUNTIF($CC$100:$CC$123,CA132)+COUNTIF($CD$100:$CD$123,CA132)+COUNTIF($CA$128:CA132,CA132),"000"))</f>
        <v/>
      </c>
      <c r="D132" s="9" t="str">
        <f>IF(AND($BN$21&lt;&gt;"",($BM$21+5)&lt;=$BO$21),$BN$21,"")</f>
        <v/>
      </c>
      <c r="E132" s="9" t="str">
        <f>IF(AND($BN$21&lt;&gt;"",($BM$21+5)&lt;=$BO$21),TEXT(($BM$21+5),"00"),"")</f>
        <v/>
      </c>
      <c r="F132" s="9" t="str">
        <f>IF(AND($BN$21&lt;&gt;"",($BM$21+5)&lt;=$BO$21),$BN$21&amp;"-"&amp;TEXT(($BM$21+5),"00"),"")</f>
        <v/>
      </c>
      <c r="H132" s="6"/>
      <c r="I132" s="9" t="str">
        <f>IF(CB132="","",CB132&amp;"-"&amp;TEXT(COUNTIF($CA$72:$CA$95,CB132)+COUNTIF($CB$72:$CB$95,CB132)+COUNTIF($CC$72:$CC$95,CB132)+COUNTIF($CD$72:$CD$95,CB132)+COUNTIF($CA$100:$CA$123,CB132)+COUNTIF($CB$100:$CB$123,CB132)+COUNTIF($CC$100:$CC$123,CB132)+COUNTIF($CD$100:$CD$123,CB132)+COUNTIF($CA$128:$CA$151,CB132)+COUNTIF($CB$128:CB132,CB132),"000"))</f>
        <v/>
      </c>
      <c r="J132" s="9" t="str">
        <f>IF(AND($BN$22&lt;&gt;"",($BM$22+5)&lt;=$BO$22),$BN$22,"")</f>
        <v/>
      </c>
      <c r="K132" s="9" t="str">
        <f>IF(AND($BN$22&lt;&gt;"",($BM$22+5)&lt;=$BO$22),TEXT(($BM$22+5),"00"),"")</f>
        <v/>
      </c>
      <c r="L132" s="9" t="str">
        <f>IF(AND($BN$22&lt;&gt;"",($BM$22+5)&lt;=$BO$22),$BN$22&amp;"-"&amp;TEXT(($BM$22+5),"00"),"")</f>
        <v/>
      </c>
      <c r="N132" s="6"/>
      <c r="O132" s="9" t="str">
        <f>IF(CC132="","",CC132&amp;"-"&amp;TEXT(COUNTIF($CA$72:$CA$95,CC132)+COUNTIF($CB$72:$CB$95,CC132)+COUNTIF($CC$72:$CC$95,CC132)+COUNTIF($CD$72:$CD$95,CC132)+COUNTIF($CA$100:$CA$123,CC132)+COUNTIF($CB$100:$CB$123,CC132)+COUNTIF($CC$100:$CC$123,CC132)+COUNTIF($CD$100:$CD$123,CC132)+COUNTIF($CA$128:$CA$151,CC132)+COUNTIF($CB$128:$CB$151,CC132)+COUNTIF($CC$128:CC132,CC132),"000"))</f>
        <v/>
      </c>
      <c r="P132" s="9" t="str">
        <f>IF(AND($BN$23&lt;&gt;"",($BM$23+5)&lt;=$BO$23),$BN$23,"")</f>
        <v/>
      </c>
      <c r="Q132" s="9" t="str">
        <f>IF(AND($BN$23&lt;&gt;"",($BM$23+5)&lt;=$BO$23),TEXT(($BM$23+5),"00"),"")</f>
        <v/>
      </c>
      <c r="R132" s="9" t="str">
        <f>IF(AND($BN$23&lt;&gt;"",($BM$23+5)&lt;=$BO$23),$BN$23&amp;"-"&amp;TEXT(($BM$23+5),"00"),"")</f>
        <v/>
      </c>
      <c r="T132" s="6"/>
      <c r="U132" s="9" t="str">
        <f>IF(CD132="","",CD132&amp;"-"&amp;TEXT(COUNTIF($CA$72:$CA$95,CD132)+COUNTIF($CB$72:$CB$95,CD132)+COUNTIF($CC$72:$CC$95,CD132)+COUNTIF($CD$72:$CD$95,CD132)+COUNTIF($CA$100:$CA$123,CD132)+COUNTIF($CB$100:$CB$123,CD132)+COUNTIF($CC$100:$CC$123,CD132)+COUNTIF($CD$100:$CD$123,CD132)+COUNTIF($CA$128:$CA$151,CD132)+COUNTIF($CB$128:$CB$151,CD132)+COUNTIF($CC$128:$CC$151,CD132)+COUNTIF($CD$128:CD132,CD132),"000"))</f>
        <v/>
      </c>
      <c r="V132" s="9" t="str">
        <f>IF(AND($BN$24&lt;&gt;"",($BM$24+5)&lt;=$BO$24),$BN$24,"")</f>
        <v/>
      </c>
      <c r="W132" s="9" t="str">
        <f>IF(AND($BN$24&lt;&gt;"",($BM$24+5)&lt;=$BO$24),TEXT(($BM$24+5),"00"),"")</f>
        <v/>
      </c>
      <c r="X132" s="9" t="str">
        <f>IF(AND($BN$24&lt;&gt;"",($BM$24+5)&lt;=$BO$24),$BN$24&amp;"-"&amp;TEXT(($BM$24+5),"00"),"")</f>
        <v/>
      </c>
      <c r="CA132" t="str" cm="1">
        <f t="array" ref="CA132">IF(NOT(AND($BN$21&lt;&gt;"",($BM$21+5)&lt;=$BO$21)),"",IF(B132&lt;&gt;"",IF(B132="-","",B132),IF(ISNUMBER(SEARCH(":",$BP$21)),IFERROR(_xlfn.LET(_xlpm.s,_xlfn.TEXTSPLIT($BP$21,","),_xlpm.k,FIND(":",_xlpm.s),INDEX(TRIM(LEFT(_xlpm.s,_xlpm.k-1)),_xlfn.XMATCH(($BM$21+5),_xlfn.SCAN(0,--MID(_xlpm.s,_xlpm.k+1,9),_xlfn.LAMBDA(_xlpm.a,_xlpm.v,_xlpm.a+_xlpm.v)),1))),""),IF(($BM$21+5)&lt;=$BQ$21,$BP$21,""))))</f>
        <v/>
      </c>
      <c r="CB132" t="str" cm="1">
        <f t="array" ref="CB132">IF(NOT(AND($BN$22&lt;&gt;"",($BM$22+5)&lt;=$BO$22)),"",IF(H132&lt;&gt;"",IF(H132="-","",H132),IF(ISNUMBER(SEARCH(":",$BP$22)),IFERROR(_xlfn.LET(_xlpm.s,_xlfn.TEXTSPLIT($BP$22,","),_xlpm.k,FIND(":",_xlpm.s),INDEX(TRIM(LEFT(_xlpm.s,_xlpm.k-1)),_xlfn.XMATCH(($BM$22+5),_xlfn.SCAN(0,--MID(_xlpm.s,_xlpm.k+1,9),_xlfn.LAMBDA(_xlpm.a,_xlpm.v,_xlpm.a+_xlpm.v)),1))),""),IF(($BM$22+5)&lt;=$BQ$22,$BP$22,""))))</f>
        <v/>
      </c>
      <c r="CC132" t="str" cm="1">
        <f t="array" ref="CC132">IF(NOT(AND($BN$23&lt;&gt;"",($BM$23+5)&lt;=$BO$23)),"",IF(N132&lt;&gt;"",IF(N132="-","",N132),IF(ISNUMBER(SEARCH(":",$BP$23)),IFERROR(_xlfn.LET(_xlpm.s,_xlfn.TEXTSPLIT($BP$23,","),_xlpm.k,FIND(":",_xlpm.s),INDEX(TRIM(LEFT(_xlpm.s,_xlpm.k-1)),_xlfn.XMATCH(($BM$23+5),_xlfn.SCAN(0,--MID(_xlpm.s,_xlpm.k+1,9),_xlfn.LAMBDA(_xlpm.a,_xlpm.v,_xlpm.a+_xlpm.v)),1))),""),IF(($BM$23+5)&lt;=$BQ$23,$BP$23,""))))</f>
        <v/>
      </c>
      <c r="CD132" t="str" cm="1">
        <f t="array" ref="CD132">IF(NOT(AND($BN$24&lt;&gt;"",($BM$24+5)&lt;=$BO$24)),"",IF(T132&lt;&gt;"",IF(T132="-","",T132),IF(ISNUMBER(SEARCH(":",$BP$24)),IFERROR(_xlfn.LET(_xlpm.s,_xlfn.TEXTSPLIT($BP$24,","),_xlpm.k,FIND(":",_xlpm.s),INDEX(TRIM(LEFT(_xlpm.s,_xlpm.k-1)),_xlfn.XMATCH(($BM$24+5),_xlfn.SCAN(0,--MID(_xlpm.s,_xlpm.k+1,9),_xlfn.LAMBDA(_xlpm.a,_xlpm.v,_xlpm.a+_xlpm.v)),1))),""),IF(($BM$24+5)&lt;=$BQ$24,$BP$24,""))))</f>
        <v/>
      </c>
    </row>
    <row r="133" spans="2:82" hidden="1" x14ac:dyDescent="0.45">
      <c r="B133" s="6"/>
      <c r="C133" s="9" t="str">
        <f>IF(CA133="","",CA133&amp;"-"&amp;TEXT(COUNTIF($CA$72:$CA$95,CA133)+COUNTIF($CB$72:$CB$95,CA133)+COUNTIF($CC$72:$CC$95,CA133)+COUNTIF($CD$72:$CD$95,CA133)+COUNTIF($CA$100:$CA$123,CA133)+COUNTIF($CB$100:$CB$123,CA133)+COUNTIF($CC$100:$CC$123,CA133)+COUNTIF($CD$100:$CD$123,CA133)+COUNTIF($CA$128:CA133,CA133),"000"))</f>
        <v/>
      </c>
      <c r="D133" s="9" t="str">
        <f>IF(AND($BN$21&lt;&gt;"",($BM$21+6)&lt;=$BO$21),$BN$21,"")</f>
        <v/>
      </c>
      <c r="E133" s="9" t="str">
        <f>IF(AND($BN$21&lt;&gt;"",($BM$21+6)&lt;=$BO$21),TEXT(($BM$21+6),"00"),"")</f>
        <v/>
      </c>
      <c r="F133" s="9" t="str">
        <f>IF(AND($BN$21&lt;&gt;"",($BM$21+6)&lt;=$BO$21),$BN$21&amp;"-"&amp;TEXT(($BM$21+6),"00"),"")</f>
        <v/>
      </c>
      <c r="H133" s="6"/>
      <c r="I133" s="9" t="str">
        <f>IF(CB133="","",CB133&amp;"-"&amp;TEXT(COUNTIF($CA$72:$CA$95,CB133)+COUNTIF($CB$72:$CB$95,CB133)+COUNTIF($CC$72:$CC$95,CB133)+COUNTIF($CD$72:$CD$95,CB133)+COUNTIF($CA$100:$CA$123,CB133)+COUNTIF($CB$100:$CB$123,CB133)+COUNTIF($CC$100:$CC$123,CB133)+COUNTIF($CD$100:$CD$123,CB133)+COUNTIF($CA$128:$CA$151,CB133)+COUNTIF($CB$128:CB133,CB133),"000"))</f>
        <v/>
      </c>
      <c r="J133" s="9" t="str">
        <f>IF(AND($BN$22&lt;&gt;"",($BM$22+6)&lt;=$BO$22),$BN$22,"")</f>
        <v/>
      </c>
      <c r="K133" s="9" t="str">
        <f>IF(AND($BN$22&lt;&gt;"",($BM$22+6)&lt;=$BO$22),TEXT(($BM$22+6),"00"),"")</f>
        <v/>
      </c>
      <c r="L133" s="9" t="str">
        <f>IF(AND($BN$22&lt;&gt;"",($BM$22+6)&lt;=$BO$22),$BN$22&amp;"-"&amp;TEXT(($BM$22+6),"00"),"")</f>
        <v/>
      </c>
      <c r="N133" s="6"/>
      <c r="O133" s="9" t="str">
        <f>IF(CC133="","",CC133&amp;"-"&amp;TEXT(COUNTIF($CA$72:$CA$95,CC133)+COUNTIF($CB$72:$CB$95,CC133)+COUNTIF($CC$72:$CC$95,CC133)+COUNTIF($CD$72:$CD$95,CC133)+COUNTIF($CA$100:$CA$123,CC133)+COUNTIF($CB$100:$CB$123,CC133)+COUNTIF($CC$100:$CC$123,CC133)+COUNTIF($CD$100:$CD$123,CC133)+COUNTIF($CA$128:$CA$151,CC133)+COUNTIF($CB$128:$CB$151,CC133)+COUNTIF($CC$128:CC133,CC133),"000"))</f>
        <v/>
      </c>
      <c r="P133" s="9" t="str">
        <f>IF(AND($BN$23&lt;&gt;"",($BM$23+6)&lt;=$BO$23),$BN$23,"")</f>
        <v/>
      </c>
      <c r="Q133" s="9" t="str">
        <f>IF(AND($BN$23&lt;&gt;"",($BM$23+6)&lt;=$BO$23),TEXT(($BM$23+6),"00"),"")</f>
        <v/>
      </c>
      <c r="R133" s="9" t="str">
        <f>IF(AND($BN$23&lt;&gt;"",($BM$23+6)&lt;=$BO$23),$BN$23&amp;"-"&amp;TEXT(($BM$23+6),"00"),"")</f>
        <v/>
      </c>
      <c r="T133" s="6"/>
      <c r="U133" s="9" t="str">
        <f>IF(CD133="","",CD133&amp;"-"&amp;TEXT(COUNTIF($CA$72:$CA$95,CD133)+COUNTIF($CB$72:$CB$95,CD133)+COUNTIF($CC$72:$CC$95,CD133)+COUNTIF($CD$72:$CD$95,CD133)+COUNTIF($CA$100:$CA$123,CD133)+COUNTIF($CB$100:$CB$123,CD133)+COUNTIF($CC$100:$CC$123,CD133)+COUNTIF($CD$100:$CD$123,CD133)+COUNTIF($CA$128:$CA$151,CD133)+COUNTIF($CB$128:$CB$151,CD133)+COUNTIF($CC$128:$CC$151,CD133)+COUNTIF($CD$128:CD133,CD133),"000"))</f>
        <v/>
      </c>
      <c r="V133" s="9" t="str">
        <f>IF(AND($BN$24&lt;&gt;"",($BM$24+6)&lt;=$BO$24),$BN$24,"")</f>
        <v/>
      </c>
      <c r="W133" s="9" t="str">
        <f>IF(AND($BN$24&lt;&gt;"",($BM$24+6)&lt;=$BO$24),TEXT(($BM$24+6),"00"),"")</f>
        <v/>
      </c>
      <c r="X133" s="9" t="str">
        <f>IF(AND($BN$24&lt;&gt;"",($BM$24+6)&lt;=$BO$24),$BN$24&amp;"-"&amp;TEXT(($BM$24+6),"00"),"")</f>
        <v/>
      </c>
      <c r="CA133" t="str" cm="1">
        <f t="array" ref="CA133">IF(NOT(AND($BN$21&lt;&gt;"",($BM$21+6)&lt;=$BO$21)),"",IF(B133&lt;&gt;"",IF(B133="-","",B133),IF(ISNUMBER(SEARCH(":",$BP$21)),IFERROR(_xlfn.LET(_xlpm.s,_xlfn.TEXTSPLIT($BP$21,","),_xlpm.k,FIND(":",_xlpm.s),INDEX(TRIM(LEFT(_xlpm.s,_xlpm.k-1)),_xlfn.XMATCH(($BM$21+6),_xlfn.SCAN(0,--MID(_xlpm.s,_xlpm.k+1,9),_xlfn.LAMBDA(_xlpm.a,_xlpm.v,_xlpm.a+_xlpm.v)),1))),""),IF(($BM$21+6)&lt;=$BQ$21,$BP$21,""))))</f>
        <v/>
      </c>
      <c r="CB133" t="str" cm="1">
        <f t="array" ref="CB133">IF(NOT(AND($BN$22&lt;&gt;"",($BM$22+6)&lt;=$BO$22)),"",IF(H133&lt;&gt;"",IF(H133="-","",H133),IF(ISNUMBER(SEARCH(":",$BP$22)),IFERROR(_xlfn.LET(_xlpm.s,_xlfn.TEXTSPLIT($BP$22,","),_xlpm.k,FIND(":",_xlpm.s),INDEX(TRIM(LEFT(_xlpm.s,_xlpm.k-1)),_xlfn.XMATCH(($BM$22+6),_xlfn.SCAN(0,--MID(_xlpm.s,_xlpm.k+1,9),_xlfn.LAMBDA(_xlpm.a,_xlpm.v,_xlpm.a+_xlpm.v)),1))),""),IF(($BM$22+6)&lt;=$BQ$22,$BP$22,""))))</f>
        <v/>
      </c>
      <c r="CC133" t="str" cm="1">
        <f t="array" ref="CC133">IF(NOT(AND($BN$23&lt;&gt;"",($BM$23+6)&lt;=$BO$23)),"",IF(N133&lt;&gt;"",IF(N133="-","",N133),IF(ISNUMBER(SEARCH(":",$BP$23)),IFERROR(_xlfn.LET(_xlpm.s,_xlfn.TEXTSPLIT($BP$23,","),_xlpm.k,FIND(":",_xlpm.s),INDEX(TRIM(LEFT(_xlpm.s,_xlpm.k-1)),_xlfn.XMATCH(($BM$23+6),_xlfn.SCAN(0,--MID(_xlpm.s,_xlpm.k+1,9),_xlfn.LAMBDA(_xlpm.a,_xlpm.v,_xlpm.a+_xlpm.v)),1))),""),IF(($BM$23+6)&lt;=$BQ$23,$BP$23,""))))</f>
        <v/>
      </c>
      <c r="CD133" t="str" cm="1">
        <f t="array" ref="CD133">IF(NOT(AND($BN$24&lt;&gt;"",($BM$24+6)&lt;=$BO$24)),"",IF(T133&lt;&gt;"",IF(T133="-","",T133),IF(ISNUMBER(SEARCH(":",$BP$24)),IFERROR(_xlfn.LET(_xlpm.s,_xlfn.TEXTSPLIT($BP$24,","),_xlpm.k,FIND(":",_xlpm.s),INDEX(TRIM(LEFT(_xlpm.s,_xlpm.k-1)),_xlfn.XMATCH(($BM$24+6),_xlfn.SCAN(0,--MID(_xlpm.s,_xlpm.k+1,9),_xlfn.LAMBDA(_xlpm.a,_xlpm.v,_xlpm.a+_xlpm.v)),1))),""),IF(($BM$24+6)&lt;=$BQ$24,$BP$24,""))))</f>
        <v/>
      </c>
    </row>
    <row r="134" spans="2:82" hidden="1" x14ac:dyDescent="0.45">
      <c r="B134" s="6"/>
      <c r="C134" s="9" t="str">
        <f>IF(CA134="","",CA134&amp;"-"&amp;TEXT(COUNTIF($CA$72:$CA$95,CA134)+COUNTIF($CB$72:$CB$95,CA134)+COUNTIF($CC$72:$CC$95,CA134)+COUNTIF($CD$72:$CD$95,CA134)+COUNTIF($CA$100:$CA$123,CA134)+COUNTIF($CB$100:$CB$123,CA134)+COUNTIF($CC$100:$CC$123,CA134)+COUNTIF($CD$100:$CD$123,CA134)+COUNTIF($CA$128:CA134,CA134),"000"))</f>
        <v/>
      </c>
      <c r="D134" s="9" t="str">
        <f>IF(AND($BN$21&lt;&gt;"",($BM$21+7)&lt;=$BO$21),$BN$21,"")</f>
        <v/>
      </c>
      <c r="E134" s="9" t="str">
        <f>IF(AND($BN$21&lt;&gt;"",($BM$21+7)&lt;=$BO$21),TEXT(($BM$21+7),"00"),"")</f>
        <v/>
      </c>
      <c r="F134" s="9" t="str">
        <f>IF(AND($BN$21&lt;&gt;"",($BM$21+7)&lt;=$BO$21),$BN$21&amp;"-"&amp;TEXT(($BM$21+7),"00"),"")</f>
        <v/>
      </c>
      <c r="H134" s="6"/>
      <c r="I134" s="9" t="str">
        <f>IF(CB134="","",CB134&amp;"-"&amp;TEXT(COUNTIF($CA$72:$CA$95,CB134)+COUNTIF($CB$72:$CB$95,CB134)+COUNTIF($CC$72:$CC$95,CB134)+COUNTIF($CD$72:$CD$95,CB134)+COUNTIF($CA$100:$CA$123,CB134)+COUNTIF($CB$100:$CB$123,CB134)+COUNTIF($CC$100:$CC$123,CB134)+COUNTIF($CD$100:$CD$123,CB134)+COUNTIF($CA$128:$CA$151,CB134)+COUNTIF($CB$128:CB134,CB134),"000"))</f>
        <v/>
      </c>
      <c r="J134" s="9" t="str">
        <f>IF(AND($BN$22&lt;&gt;"",($BM$22+7)&lt;=$BO$22),$BN$22,"")</f>
        <v/>
      </c>
      <c r="K134" s="9" t="str">
        <f>IF(AND($BN$22&lt;&gt;"",($BM$22+7)&lt;=$BO$22),TEXT(($BM$22+7),"00"),"")</f>
        <v/>
      </c>
      <c r="L134" s="9" t="str">
        <f>IF(AND($BN$22&lt;&gt;"",($BM$22+7)&lt;=$BO$22),$BN$22&amp;"-"&amp;TEXT(($BM$22+7),"00"),"")</f>
        <v/>
      </c>
      <c r="N134" s="6"/>
      <c r="O134" s="9" t="str">
        <f>IF(CC134="","",CC134&amp;"-"&amp;TEXT(COUNTIF($CA$72:$CA$95,CC134)+COUNTIF($CB$72:$CB$95,CC134)+COUNTIF($CC$72:$CC$95,CC134)+COUNTIF($CD$72:$CD$95,CC134)+COUNTIF($CA$100:$CA$123,CC134)+COUNTIF($CB$100:$CB$123,CC134)+COUNTIF($CC$100:$CC$123,CC134)+COUNTIF($CD$100:$CD$123,CC134)+COUNTIF($CA$128:$CA$151,CC134)+COUNTIF($CB$128:$CB$151,CC134)+COUNTIF($CC$128:CC134,CC134),"000"))</f>
        <v/>
      </c>
      <c r="P134" s="9" t="str">
        <f>IF(AND($BN$23&lt;&gt;"",($BM$23+7)&lt;=$BO$23),$BN$23,"")</f>
        <v/>
      </c>
      <c r="Q134" s="9" t="str">
        <f>IF(AND($BN$23&lt;&gt;"",($BM$23+7)&lt;=$BO$23),TEXT(($BM$23+7),"00"),"")</f>
        <v/>
      </c>
      <c r="R134" s="9" t="str">
        <f>IF(AND($BN$23&lt;&gt;"",($BM$23+7)&lt;=$BO$23),$BN$23&amp;"-"&amp;TEXT(($BM$23+7),"00"),"")</f>
        <v/>
      </c>
      <c r="T134" s="6"/>
      <c r="U134" s="9" t="str">
        <f>IF(CD134="","",CD134&amp;"-"&amp;TEXT(COUNTIF($CA$72:$CA$95,CD134)+COUNTIF($CB$72:$CB$95,CD134)+COUNTIF($CC$72:$CC$95,CD134)+COUNTIF($CD$72:$CD$95,CD134)+COUNTIF($CA$100:$CA$123,CD134)+COUNTIF($CB$100:$CB$123,CD134)+COUNTIF($CC$100:$CC$123,CD134)+COUNTIF($CD$100:$CD$123,CD134)+COUNTIF($CA$128:$CA$151,CD134)+COUNTIF($CB$128:$CB$151,CD134)+COUNTIF($CC$128:$CC$151,CD134)+COUNTIF($CD$128:CD134,CD134),"000"))</f>
        <v/>
      </c>
      <c r="V134" s="9" t="str">
        <f>IF(AND($BN$24&lt;&gt;"",($BM$24+7)&lt;=$BO$24),$BN$24,"")</f>
        <v/>
      </c>
      <c r="W134" s="9" t="str">
        <f>IF(AND($BN$24&lt;&gt;"",($BM$24+7)&lt;=$BO$24),TEXT(($BM$24+7),"00"),"")</f>
        <v/>
      </c>
      <c r="X134" s="9" t="str">
        <f>IF(AND($BN$24&lt;&gt;"",($BM$24+7)&lt;=$BO$24),$BN$24&amp;"-"&amp;TEXT(($BM$24+7),"00"),"")</f>
        <v/>
      </c>
      <c r="CA134" t="str" cm="1">
        <f t="array" ref="CA134">IF(NOT(AND($BN$21&lt;&gt;"",($BM$21+7)&lt;=$BO$21)),"",IF(B134&lt;&gt;"",IF(B134="-","",B134),IF(ISNUMBER(SEARCH(":",$BP$21)),IFERROR(_xlfn.LET(_xlpm.s,_xlfn.TEXTSPLIT($BP$21,","),_xlpm.k,FIND(":",_xlpm.s),INDEX(TRIM(LEFT(_xlpm.s,_xlpm.k-1)),_xlfn.XMATCH(($BM$21+7),_xlfn.SCAN(0,--MID(_xlpm.s,_xlpm.k+1,9),_xlfn.LAMBDA(_xlpm.a,_xlpm.v,_xlpm.a+_xlpm.v)),1))),""),IF(($BM$21+7)&lt;=$BQ$21,$BP$21,""))))</f>
        <v/>
      </c>
      <c r="CB134" t="str" cm="1">
        <f t="array" ref="CB134">IF(NOT(AND($BN$22&lt;&gt;"",($BM$22+7)&lt;=$BO$22)),"",IF(H134&lt;&gt;"",IF(H134="-","",H134),IF(ISNUMBER(SEARCH(":",$BP$22)),IFERROR(_xlfn.LET(_xlpm.s,_xlfn.TEXTSPLIT($BP$22,","),_xlpm.k,FIND(":",_xlpm.s),INDEX(TRIM(LEFT(_xlpm.s,_xlpm.k-1)),_xlfn.XMATCH(($BM$22+7),_xlfn.SCAN(0,--MID(_xlpm.s,_xlpm.k+1,9),_xlfn.LAMBDA(_xlpm.a,_xlpm.v,_xlpm.a+_xlpm.v)),1))),""),IF(($BM$22+7)&lt;=$BQ$22,$BP$22,""))))</f>
        <v/>
      </c>
      <c r="CC134" t="str" cm="1">
        <f t="array" ref="CC134">IF(NOT(AND($BN$23&lt;&gt;"",($BM$23+7)&lt;=$BO$23)),"",IF(N134&lt;&gt;"",IF(N134="-","",N134),IF(ISNUMBER(SEARCH(":",$BP$23)),IFERROR(_xlfn.LET(_xlpm.s,_xlfn.TEXTSPLIT($BP$23,","),_xlpm.k,FIND(":",_xlpm.s),INDEX(TRIM(LEFT(_xlpm.s,_xlpm.k-1)),_xlfn.XMATCH(($BM$23+7),_xlfn.SCAN(0,--MID(_xlpm.s,_xlpm.k+1,9),_xlfn.LAMBDA(_xlpm.a,_xlpm.v,_xlpm.a+_xlpm.v)),1))),""),IF(($BM$23+7)&lt;=$BQ$23,$BP$23,""))))</f>
        <v/>
      </c>
      <c r="CD134" t="str" cm="1">
        <f t="array" ref="CD134">IF(NOT(AND($BN$24&lt;&gt;"",($BM$24+7)&lt;=$BO$24)),"",IF(T134&lt;&gt;"",IF(T134="-","",T134),IF(ISNUMBER(SEARCH(":",$BP$24)),IFERROR(_xlfn.LET(_xlpm.s,_xlfn.TEXTSPLIT($BP$24,","),_xlpm.k,FIND(":",_xlpm.s),INDEX(TRIM(LEFT(_xlpm.s,_xlpm.k-1)),_xlfn.XMATCH(($BM$24+7),_xlfn.SCAN(0,--MID(_xlpm.s,_xlpm.k+1,9),_xlfn.LAMBDA(_xlpm.a,_xlpm.v,_xlpm.a+_xlpm.v)),1))),""),IF(($BM$24+7)&lt;=$BQ$24,$BP$24,""))))</f>
        <v/>
      </c>
    </row>
    <row r="135" spans="2:82" hidden="1" x14ac:dyDescent="0.45">
      <c r="B135" s="6"/>
      <c r="C135" s="9" t="str">
        <f>IF(CA135="","",CA135&amp;"-"&amp;TEXT(COUNTIF($CA$72:$CA$95,CA135)+COUNTIF($CB$72:$CB$95,CA135)+COUNTIF($CC$72:$CC$95,CA135)+COUNTIF($CD$72:$CD$95,CA135)+COUNTIF($CA$100:$CA$123,CA135)+COUNTIF($CB$100:$CB$123,CA135)+COUNTIF($CC$100:$CC$123,CA135)+COUNTIF($CD$100:$CD$123,CA135)+COUNTIF($CA$128:CA135,CA135),"000"))</f>
        <v/>
      </c>
      <c r="D135" s="9" t="str">
        <f>IF(AND($BN$21&lt;&gt;"",($BM$21+8)&lt;=$BO$21),$BN$21,"")</f>
        <v/>
      </c>
      <c r="E135" s="9" t="str">
        <f>IF(AND($BN$21&lt;&gt;"",($BM$21+8)&lt;=$BO$21),TEXT(($BM$21+8),"00"),"")</f>
        <v/>
      </c>
      <c r="F135" s="9" t="str">
        <f>IF(AND($BN$21&lt;&gt;"",($BM$21+8)&lt;=$BO$21),$BN$21&amp;"-"&amp;TEXT(($BM$21+8),"00"),"")</f>
        <v/>
      </c>
      <c r="H135" s="6"/>
      <c r="I135" s="9" t="str">
        <f>IF(CB135="","",CB135&amp;"-"&amp;TEXT(COUNTIF($CA$72:$CA$95,CB135)+COUNTIF($CB$72:$CB$95,CB135)+COUNTIF($CC$72:$CC$95,CB135)+COUNTIF($CD$72:$CD$95,CB135)+COUNTIF($CA$100:$CA$123,CB135)+COUNTIF($CB$100:$CB$123,CB135)+COUNTIF($CC$100:$CC$123,CB135)+COUNTIF($CD$100:$CD$123,CB135)+COUNTIF($CA$128:$CA$151,CB135)+COUNTIF($CB$128:CB135,CB135),"000"))</f>
        <v/>
      </c>
      <c r="J135" s="9" t="str">
        <f>IF(AND($BN$22&lt;&gt;"",($BM$22+8)&lt;=$BO$22),$BN$22,"")</f>
        <v/>
      </c>
      <c r="K135" s="9" t="str">
        <f>IF(AND($BN$22&lt;&gt;"",($BM$22+8)&lt;=$BO$22),TEXT(($BM$22+8),"00"),"")</f>
        <v/>
      </c>
      <c r="L135" s="9" t="str">
        <f>IF(AND($BN$22&lt;&gt;"",($BM$22+8)&lt;=$BO$22),$BN$22&amp;"-"&amp;TEXT(($BM$22+8),"00"),"")</f>
        <v/>
      </c>
      <c r="N135" s="6"/>
      <c r="O135" s="9" t="str">
        <f>IF(CC135="","",CC135&amp;"-"&amp;TEXT(COUNTIF($CA$72:$CA$95,CC135)+COUNTIF($CB$72:$CB$95,CC135)+COUNTIF($CC$72:$CC$95,CC135)+COUNTIF($CD$72:$CD$95,CC135)+COUNTIF($CA$100:$CA$123,CC135)+COUNTIF($CB$100:$CB$123,CC135)+COUNTIF($CC$100:$CC$123,CC135)+COUNTIF($CD$100:$CD$123,CC135)+COUNTIF($CA$128:$CA$151,CC135)+COUNTIF($CB$128:$CB$151,CC135)+COUNTIF($CC$128:CC135,CC135),"000"))</f>
        <v/>
      </c>
      <c r="P135" s="9" t="str">
        <f>IF(AND($BN$23&lt;&gt;"",($BM$23+8)&lt;=$BO$23),$BN$23,"")</f>
        <v/>
      </c>
      <c r="Q135" s="9" t="str">
        <f>IF(AND($BN$23&lt;&gt;"",($BM$23+8)&lt;=$BO$23),TEXT(($BM$23+8),"00"),"")</f>
        <v/>
      </c>
      <c r="R135" s="9" t="str">
        <f>IF(AND($BN$23&lt;&gt;"",($BM$23+8)&lt;=$BO$23),$BN$23&amp;"-"&amp;TEXT(($BM$23+8),"00"),"")</f>
        <v/>
      </c>
      <c r="T135" s="6"/>
      <c r="U135" s="9" t="str">
        <f>IF(CD135="","",CD135&amp;"-"&amp;TEXT(COUNTIF($CA$72:$CA$95,CD135)+COUNTIF($CB$72:$CB$95,CD135)+COUNTIF($CC$72:$CC$95,CD135)+COUNTIF($CD$72:$CD$95,CD135)+COUNTIF($CA$100:$CA$123,CD135)+COUNTIF($CB$100:$CB$123,CD135)+COUNTIF($CC$100:$CC$123,CD135)+COUNTIF($CD$100:$CD$123,CD135)+COUNTIF($CA$128:$CA$151,CD135)+COUNTIF($CB$128:$CB$151,CD135)+COUNTIF($CC$128:$CC$151,CD135)+COUNTIF($CD$128:CD135,CD135),"000"))</f>
        <v/>
      </c>
      <c r="V135" s="9" t="str">
        <f>IF(AND($BN$24&lt;&gt;"",($BM$24+8)&lt;=$BO$24),$BN$24,"")</f>
        <v/>
      </c>
      <c r="W135" s="9" t="str">
        <f>IF(AND($BN$24&lt;&gt;"",($BM$24+8)&lt;=$BO$24),TEXT(($BM$24+8),"00"),"")</f>
        <v/>
      </c>
      <c r="X135" s="9" t="str">
        <f>IF(AND($BN$24&lt;&gt;"",($BM$24+8)&lt;=$BO$24),$BN$24&amp;"-"&amp;TEXT(($BM$24+8),"00"),"")</f>
        <v/>
      </c>
      <c r="CA135" t="str" cm="1">
        <f t="array" ref="CA135">IF(NOT(AND($BN$21&lt;&gt;"",($BM$21+8)&lt;=$BO$21)),"",IF(B135&lt;&gt;"",IF(B135="-","",B135),IF(ISNUMBER(SEARCH(":",$BP$21)),IFERROR(_xlfn.LET(_xlpm.s,_xlfn.TEXTSPLIT($BP$21,","),_xlpm.k,FIND(":",_xlpm.s),INDEX(TRIM(LEFT(_xlpm.s,_xlpm.k-1)),_xlfn.XMATCH(($BM$21+8),_xlfn.SCAN(0,--MID(_xlpm.s,_xlpm.k+1,9),_xlfn.LAMBDA(_xlpm.a,_xlpm.v,_xlpm.a+_xlpm.v)),1))),""),IF(($BM$21+8)&lt;=$BQ$21,$BP$21,""))))</f>
        <v/>
      </c>
      <c r="CB135" t="str" cm="1">
        <f t="array" ref="CB135">IF(NOT(AND($BN$22&lt;&gt;"",($BM$22+8)&lt;=$BO$22)),"",IF(H135&lt;&gt;"",IF(H135="-","",H135),IF(ISNUMBER(SEARCH(":",$BP$22)),IFERROR(_xlfn.LET(_xlpm.s,_xlfn.TEXTSPLIT($BP$22,","),_xlpm.k,FIND(":",_xlpm.s),INDEX(TRIM(LEFT(_xlpm.s,_xlpm.k-1)),_xlfn.XMATCH(($BM$22+8),_xlfn.SCAN(0,--MID(_xlpm.s,_xlpm.k+1,9),_xlfn.LAMBDA(_xlpm.a,_xlpm.v,_xlpm.a+_xlpm.v)),1))),""),IF(($BM$22+8)&lt;=$BQ$22,$BP$22,""))))</f>
        <v/>
      </c>
      <c r="CC135" t="str" cm="1">
        <f t="array" ref="CC135">IF(NOT(AND($BN$23&lt;&gt;"",($BM$23+8)&lt;=$BO$23)),"",IF(N135&lt;&gt;"",IF(N135="-","",N135),IF(ISNUMBER(SEARCH(":",$BP$23)),IFERROR(_xlfn.LET(_xlpm.s,_xlfn.TEXTSPLIT($BP$23,","),_xlpm.k,FIND(":",_xlpm.s),INDEX(TRIM(LEFT(_xlpm.s,_xlpm.k-1)),_xlfn.XMATCH(($BM$23+8),_xlfn.SCAN(0,--MID(_xlpm.s,_xlpm.k+1,9),_xlfn.LAMBDA(_xlpm.a,_xlpm.v,_xlpm.a+_xlpm.v)),1))),""),IF(($BM$23+8)&lt;=$BQ$23,$BP$23,""))))</f>
        <v/>
      </c>
      <c r="CD135" t="str" cm="1">
        <f t="array" ref="CD135">IF(NOT(AND($BN$24&lt;&gt;"",($BM$24+8)&lt;=$BO$24)),"",IF(T135&lt;&gt;"",IF(T135="-","",T135),IF(ISNUMBER(SEARCH(":",$BP$24)),IFERROR(_xlfn.LET(_xlpm.s,_xlfn.TEXTSPLIT($BP$24,","),_xlpm.k,FIND(":",_xlpm.s),INDEX(TRIM(LEFT(_xlpm.s,_xlpm.k-1)),_xlfn.XMATCH(($BM$24+8),_xlfn.SCAN(0,--MID(_xlpm.s,_xlpm.k+1,9),_xlfn.LAMBDA(_xlpm.a,_xlpm.v,_xlpm.a+_xlpm.v)),1))),""),IF(($BM$24+8)&lt;=$BQ$24,$BP$24,""))))</f>
        <v/>
      </c>
    </row>
    <row r="136" spans="2:82" hidden="1" x14ac:dyDescent="0.45">
      <c r="B136" s="6"/>
      <c r="C136" s="9" t="str">
        <f>IF(CA136="","",CA136&amp;"-"&amp;TEXT(COUNTIF($CA$72:$CA$95,CA136)+COUNTIF($CB$72:$CB$95,CA136)+COUNTIF($CC$72:$CC$95,CA136)+COUNTIF($CD$72:$CD$95,CA136)+COUNTIF($CA$100:$CA$123,CA136)+COUNTIF($CB$100:$CB$123,CA136)+COUNTIF($CC$100:$CC$123,CA136)+COUNTIF($CD$100:$CD$123,CA136)+COUNTIF($CA$128:CA136,CA136),"000"))</f>
        <v/>
      </c>
      <c r="D136" s="9" t="str">
        <f>IF(AND($BN$21&lt;&gt;"",($BM$21+9)&lt;=$BO$21),$BN$21,"")</f>
        <v/>
      </c>
      <c r="E136" s="9" t="str">
        <f>IF(AND($BN$21&lt;&gt;"",($BM$21+9)&lt;=$BO$21),TEXT(($BM$21+9),"00"),"")</f>
        <v/>
      </c>
      <c r="F136" s="9" t="str">
        <f>IF(AND($BN$21&lt;&gt;"",($BM$21+9)&lt;=$BO$21),$BN$21&amp;"-"&amp;TEXT(($BM$21+9),"00"),"")</f>
        <v/>
      </c>
      <c r="H136" s="6"/>
      <c r="I136" s="9" t="str">
        <f>IF(CB136="","",CB136&amp;"-"&amp;TEXT(COUNTIF($CA$72:$CA$95,CB136)+COUNTIF($CB$72:$CB$95,CB136)+COUNTIF($CC$72:$CC$95,CB136)+COUNTIF($CD$72:$CD$95,CB136)+COUNTIF($CA$100:$CA$123,CB136)+COUNTIF($CB$100:$CB$123,CB136)+COUNTIF($CC$100:$CC$123,CB136)+COUNTIF($CD$100:$CD$123,CB136)+COUNTIF($CA$128:$CA$151,CB136)+COUNTIF($CB$128:CB136,CB136),"000"))</f>
        <v/>
      </c>
      <c r="J136" s="9" t="str">
        <f>IF(AND($BN$22&lt;&gt;"",($BM$22+9)&lt;=$BO$22),$BN$22,"")</f>
        <v/>
      </c>
      <c r="K136" s="9" t="str">
        <f>IF(AND($BN$22&lt;&gt;"",($BM$22+9)&lt;=$BO$22),TEXT(($BM$22+9),"00"),"")</f>
        <v/>
      </c>
      <c r="L136" s="9" t="str">
        <f>IF(AND($BN$22&lt;&gt;"",($BM$22+9)&lt;=$BO$22),$BN$22&amp;"-"&amp;TEXT(($BM$22+9),"00"),"")</f>
        <v/>
      </c>
      <c r="N136" s="6"/>
      <c r="O136" s="9" t="str">
        <f>IF(CC136="","",CC136&amp;"-"&amp;TEXT(COUNTIF($CA$72:$CA$95,CC136)+COUNTIF($CB$72:$CB$95,CC136)+COUNTIF($CC$72:$CC$95,CC136)+COUNTIF($CD$72:$CD$95,CC136)+COUNTIF($CA$100:$CA$123,CC136)+COUNTIF($CB$100:$CB$123,CC136)+COUNTIF($CC$100:$CC$123,CC136)+COUNTIF($CD$100:$CD$123,CC136)+COUNTIF($CA$128:$CA$151,CC136)+COUNTIF($CB$128:$CB$151,CC136)+COUNTIF($CC$128:CC136,CC136),"000"))</f>
        <v/>
      </c>
      <c r="P136" s="9" t="str">
        <f>IF(AND($BN$23&lt;&gt;"",($BM$23+9)&lt;=$BO$23),$BN$23,"")</f>
        <v/>
      </c>
      <c r="Q136" s="9" t="str">
        <f>IF(AND($BN$23&lt;&gt;"",($BM$23+9)&lt;=$BO$23),TEXT(($BM$23+9),"00"),"")</f>
        <v/>
      </c>
      <c r="R136" s="9" t="str">
        <f>IF(AND($BN$23&lt;&gt;"",($BM$23+9)&lt;=$BO$23),$BN$23&amp;"-"&amp;TEXT(($BM$23+9),"00"),"")</f>
        <v/>
      </c>
      <c r="T136" s="6"/>
      <c r="U136" s="9" t="str">
        <f>IF(CD136="","",CD136&amp;"-"&amp;TEXT(COUNTIF($CA$72:$CA$95,CD136)+COUNTIF($CB$72:$CB$95,CD136)+COUNTIF($CC$72:$CC$95,CD136)+COUNTIF($CD$72:$CD$95,CD136)+COUNTIF($CA$100:$CA$123,CD136)+COUNTIF($CB$100:$CB$123,CD136)+COUNTIF($CC$100:$CC$123,CD136)+COUNTIF($CD$100:$CD$123,CD136)+COUNTIF($CA$128:$CA$151,CD136)+COUNTIF($CB$128:$CB$151,CD136)+COUNTIF($CC$128:$CC$151,CD136)+COUNTIF($CD$128:CD136,CD136),"000"))</f>
        <v/>
      </c>
      <c r="V136" s="9" t="str">
        <f>IF(AND($BN$24&lt;&gt;"",($BM$24+9)&lt;=$BO$24),$BN$24,"")</f>
        <v/>
      </c>
      <c r="W136" s="9" t="str">
        <f>IF(AND($BN$24&lt;&gt;"",($BM$24+9)&lt;=$BO$24),TEXT(($BM$24+9),"00"),"")</f>
        <v/>
      </c>
      <c r="X136" s="9" t="str">
        <f>IF(AND($BN$24&lt;&gt;"",($BM$24+9)&lt;=$BO$24),$BN$24&amp;"-"&amp;TEXT(($BM$24+9),"00"),"")</f>
        <v/>
      </c>
      <c r="CA136" t="str" cm="1">
        <f t="array" ref="CA136">IF(NOT(AND($BN$21&lt;&gt;"",($BM$21+9)&lt;=$BO$21)),"",IF(B136&lt;&gt;"",IF(B136="-","",B136),IF(ISNUMBER(SEARCH(":",$BP$21)),IFERROR(_xlfn.LET(_xlpm.s,_xlfn.TEXTSPLIT($BP$21,","),_xlpm.k,FIND(":",_xlpm.s),INDEX(TRIM(LEFT(_xlpm.s,_xlpm.k-1)),_xlfn.XMATCH(($BM$21+9),_xlfn.SCAN(0,--MID(_xlpm.s,_xlpm.k+1,9),_xlfn.LAMBDA(_xlpm.a,_xlpm.v,_xlpm.a+_xlpm.v)),1))),""),IF(($BM$21+9)&lt;=$BQ$21,$BP$21,""))))</f>
        <v/>
      </c>
      <c r="CB136" t="str" cm="1">
        <f t="array" ref="CB136">IF(NOT(AND($BN$22&lt;&gt;"",($BM$22+9)&lt;=$BO$22)),"",IF(H136&lt;&gt;"",IF(H136="-","",H136),IF(ISNUMBER(SEARCH(":",$BP$22)),IFERROR(_xlfn.LET(_xlpm.s,_xlfn.TEXTSPLIT($BP$22,","),_xlpm.k,FIND(":",_xlpm.s),INDEX(TRIM(LEFT(_xlpm.s,_xlpm.k-1)),_xlfn.XMATCH(($BM$22+9),_xlfn.SCAN(0,--MID(_xlpm.s,_xlpm.k+1,9),_xlfn.LAMBDA(_xlpm.a,_xlpm.v,_xlpm.a+_xlpm.v)),1))),""),IF(($BM$22+9)&lt;=$BQ$22,$BP$22,""))))</f>
        <v/>
      </c>
      <c r="CC136" t="str" cm="1">
        <f t="array" ref="CC136">IF(NOT(AND($BN$23&lt;&gt;"",($BM$23+9)&lt;=$BO$23)),"",IF(N136&lt;&gt;"",IF(N136="-","",N136),IF(ISNUMBER(SEARCH(":",$BP$23)),IFERROR(_xlfn.LET(_xlpm.s,_xlfn.TEXTSPLIT($BP$23,","),_xlpm.k,FIND(":",_xlpm.s),INDEX(TRIM(LEFT(_xlpm.s,_xlpm.k-1)),_xlfn.XMATCH(($BM$23+9),_xlfn.SCAN(0,--MID(_xlpm.s,_xlpm.k+1,9),_xlfn.LAMBDA(_xlpm.a,_xlpm.v,_xlpm.a+_xlpm.v)),1))),""),IF(($BM$23+9)&lt;=$BQ$23,$BP$23,""))))</f>
        <v/>
      </c>
      <c r="CD136" t="str" cm="1">
        <f t="array" ref="CD136">IF(NOT(AND($BN$24&lt;&gt;"",($BM$24+9)&lt;=$BO$24)),"",IF(T136&lt;&gt;"",IF(T136="-","",T136),IF(ISNUMBER(SEARCH(":",$BP$24)),IFERROR(_xlfn.LET(_xlpm.s,_xlfn.TEXTSPLIT($BP$24,","),_xlpm.k,FIND(":",_xlpm.s),INDEX(TRIM(LEFT(_xlpm.s,_xlpm.k-1)),_xlfn.XMATCH(($BM$24+9),_xlfn.SCAN(0,--MID(_xlpm.s,_xlpm.k+1,9),_xlfn.LAMBDA(_xlpm.a,_xlpm.v,_xlpm.a+_xlpm.v)),1))),""),IF(($BM$24+9)&lt;=$BQ$24,$BP$24,""))))</f>
        <v/>
      </c>
    </row>
    <row r="137" spans="2:82" hidden="1" x14ac:dyDescent="0.45">
      <c r="B137" s="6"/>
      <c r="C137" s="9" t="str">
        <f>IF(CA137="","",CA137&amp;"-"&amp;TEXT(COUNTIF($CA$72:$CA$95,CA137)+COUNTIF($CB$72:$CB$95,CA137)+COUNTIF($CC$72:$CC$95,CA137)+COUNTIF($CD$72:$CD$95,CA137)+COUNTIF($CA$100:$CA$123,CA137)+COUNTIF($CB$100:$CB$123,CA137)+COUNTIF($CC$100:$CC$123,CA137)+COUNTIF($CD$100:$CD$123,CA137)+COUNTIF($CA$128:CA137,CA137),"000"))</f>
        <v/>
      </c>
      <c r="D137" s="9" t="str">
        <f>IF(AND($BN$21&lt;&gt;"",($BM$21+10)&lt;=$BO$21),$BN$21,"")</f>
        <v/>
      </c>
      <c r="E137" s="9" t="str">
        <f>IF(AND($BN$21&lt;&gt;"",($BM$21+10)&lt;=$BO$21),TEXT(($BM$21+10),"00"),"")</f>
        <v/>
      </c>
      <c r="F137" s="9" t="str">
        <f>IF(AND($BN$21&lt;&gt;"",($BM$21+10)&lt;=$BO$21),$BN$21&amp;"-"&amp;TEXT(($BM$21+10),"00"),"")</f>
        <v/>
      </c>
      <c r="H137" s="6"/>
      <c r="I137" s="9" t="str">
        <f>IF(CB137="","",CB137&amp;"-"&amp;TEXT(COUNTIF($CA$72:$CA$95,CB137)+COUNTIF($CB$72:$CB$95,CB137)+COUNTIF($CC$72:$CC$95,CB137)+COUNTIF($CD$72:$CD$95,CB137)+COUNTIF($CA$100:$CA$123,CB137)+COUNTIF($CB$100:$CB$123,CB137)+COUNTIF($CC$100:$CC$123,CB137)+COUNTIF($CD$100:$CD$123,CB137)+COUNTIF($CA$128:$CA$151,CB137)+COUNTIF($CB$128:CB137,CB137),"000"))</f>
        <v/>
      </c>
      <c r="J137" s="9" t="str">
        <f>IF(AND($BN$22&lt;&gt;"",($BM$22+10)&lt;=$BO$22),$BN$22,"")</f>
        <v/>
      </c>
      <c r="K137" s="9" t="str">
        <f>IF(AND($BN$22&lt;&gt;"",($BM$22+10)&lt;=$BO$22),TEXT(($BM$22+10),"00"),"")</f>
        <v/>
      </c>
      <c r="L137" s="9" t="str">
        <f>IF(AND($BN$22&lt;&gt;"",($BM$22+10)&lt;=$BO$22),$BN$22&amp;"-"&amp;TEXT(($BM$22+10),"00"),"")</f>
        <v/>
      </c>
      <c r="N137" s="6"/>
      <c r="O137" s="9" t="str">
        <f>IF(CC137="","",CC137&amp;"-"&amp;TEXT(COUNTIF($CA$72:$CA$95,CC137)+COUNTIF($CB$72:$CB$95,CC137)+COUNTIF($CC$72:$CC$95,CC137)+COUNTIF($CD$72:$CD$95,CC137)+COUNTIF($CA$100:$CA$123,CC137)+COUNTIF($CB$100:$CB$123,CC137)+COUNTIF($CC$100:$CC$123,CC137)+COUNTIF($CD$100:$CD$123,CC137)+COUNTIF($CA$128:$CA$151,CC137)+COUNTIF($CB$128:$CB$151,CC137)+COUNTIF($CC$128:CC137,CC137),"000"))</f>
        <v/>
      </c>
      <c r="P137" s="9" t="str">
        <f>IF(AND($BN$23&lt;&gt;"",($BM$23+10)&lt;=$BO$23),$BN$23,"")</f>
        <v/>
      </c>
      <c r="Q137" s="9" t="str">
        <f>IF(AND($BN$23&lt;&gt;"",($BM$23+10)&lt;=$BO$23),TEXT(($BM$23+10),"00"),"")</f>
        <v/>
      </c>
      <c r="R137" s="9" t="str">
        <f>IF(AND($BN$23&lt;&gt;"",($BM$23+10)&lt;=$BO$23),$BN$23&amp;"-"&amp;TEXT(($BM$23+10),"00"),"")</f>
        <v/>
      </c>
      <c r="T137" s="6"/>
      <c r="U137" s="9" t="str">
        <f>IF(CD137="","",CD137&amp;"-"&amp;TEXT(COUNTIF($CA$72:$CA$95,CD137)+COUNTIF($CB$72:$CB$95,CD137)+COUNTIF($CC$72:$CC$95,CD137)+COUNTIF($CD$72:$CD$95,CD137)+COUNTIF($CA$100:$CA$123,CD137)+COUNTIF($CB$100:$CB$123,CD137)+COUNTIF($CC$100:$CC$123,CD137)+COUNTIF($CD$100:$CD$123,CD137)+COUNTIF($CA$128:$CA$151,CD137)+COUNTIF($CB$128:$CB$151,CD137)+COUNTIF($CC$128:$CC$151,CD137)+COUNTIF($CD$128:CD137,CD137),"000"))</f>
        <v/>
      </c>
      <c r="V137" s="9" t="str">
        <f>IF(AND($BN$24&lt;&gt;"",($BM$24+10)&lt;=$BO$24),$BN$24,"")</f>
        <v/>
      </c>
      <c r="W137" s="9" t="str">
        <f>IF(AND($BN$24&lt;&gt;"",($BM$24+10)&lt;=$BO$24),TEXT(($BM$24+10),"00"),"")</f>
        <v/>
      </c>
      <c r="X137" s="9" t="str">
        <f>IF(AND($BN$24&lt;&gt;"",($BM$24+10)&lt;=$BO$24),$BN$24&amp;"-"&amp;TEXT(($BM$24+10),"00"),"")</f>
        <v/>
      </c>
      <c r="CA137" t="str" cm="1">
        <f t="array" ref="CA137">IF(NOT(AND($BN$21&lt;&gt;"",($BM$21+10)&lt;=$BO$21)),"",IF(B137&lt;&gt;"",IF(B137="-","",B137),IF(ISNUMBER(SEARCH(":",$BP$21)),IFERROR(_xlfn.LET(_xlpm.s,_xlfn.TEXTSPLIT($BP$21,","),_xlpm.k,FIND(":",_xlpm.s),INDEX(TRIM(LEFT(_xlpm.s,_xlpm.k-1)),_xlfn.XMATCH(($BM$21+10),_xlfn.SCAN(0,--MID(_xlpm.s,_xlpm.k+1,9),_xlfn.LAMBDA(_xlpm.a,_xlpm.v,_xlpm.a+_xlpm.v)),1))),""),IF(($BM$21+10)&lt;=$BQ$21,$BP$21,""))))</f>
        <v/>
      </c>
      <c r="CB137" t="str" cm="1">
        <f t="array" ref="CB137">IF(NOT(AND($BN$22&lt;&gt;"",($BM$22+10)&lt;=$BO$22)),"",IF(H137&lt;&gt;"",IF(H137="-","",H137),IF(ISNUMBER(SEARCH(":",$BP$22)),IFERROR(_xlfn.LET(_xlpm.s,_xlfn.TEXTSPLIT($BP$22,","),_xlpm.k,FIND(":",_xlpm.s),INDEX(TRIM(LEFT(_xlpm.s,_xlpm.k-1)),_xlfn.XMATCH(($BM$22+10),_xlfn.SCAN(0,--MID(_xlpm.s,_xlpm.k+1,9),_xlfn.LAMBDA(_xlpm.a,_xlpm.v,_xlpm.a+_xlpm.v)),1))),""),IF(($BM$22+10)&lt;=$BQ$22,$BP$22,""))))</f>
        <v/>
      </c>
      <c r="CC137" t="str" cm="1">
        <f t="array" ref="CC137">IF(NOT(AND($BN$23&lt;&gt;"",($BM$23+10)&lt;=$BO$23)),"",IF(N137&lt;&gt;"",IF(N137="-","",N137),IF(ISNUMBER(SEARCH(":",$BP$23)),IFERROR(_xlfn.LET(_xlpm.s,_xlfn.TEXTSPLIT($BP$23,","),_xlpm.k,FIND(":",_xlpm.s),INDEX(TRIM(LEFT(_xlpm.s,_xlpm.k-1)),_xlfn.XMATCH(($BM$23+10),_xlfn.SCAN(0,--MID(_xlpm.s,_xlpm.k+1,9),_xlfn.LAMBDA(_xlpm.a,_xlpm.v,_xlpm.a+_xlpm.v)),1))),""),IF(($BM$23+10)&lt;=$BQ$23,$BP$23,""))))</f>
        <v/>
      </c>
      <c r="CD137" t="str" cm="1">
        <f t="array" ref="CD137">IF(NOT(AND($BN$24&lt;&gt;"",($BM$24+10)&lt;=$BO$24)),"",IF(T137&lt;&gt;"",IF(T137="-","",T137),IF(ISNUMBER(SEARCH(":",$BP$24)),IFERROR(_xlfn.LET(_xlpm.s,_xlfn.TEXTSPLIT($BP$24,","),_xlpm.k,FIND(":",_xlpm.s),INDEX(TRIM(LEFT(_xlpm.s,_xlpm.k-1)),_xlfn.XMATCH(($BM$24+10),_xlfn.SCAN(0,--MID(_xlpm.s,_xlpm.k+1,9),_xlfn.LAMBDA(_xlpm.a,_xlpm.v,_xlpm.a+_xlpm.v)),1))),""),IF(($BM$24+10)&lt;=$BQ$24,$BP$24,""))))</f>
        <v/>
      </c>
    </row>
    <row r="138" spans="2:82" hidden="1" x14ac:dyDescent="0.45">
      <c r="B138" s="6"/>
      <c r="C138" s="9" t="str">
        <f>IF(CA138="","",CA138&amp;"-"&amp;TEXT(COUNTIF($CA$72:$CA$95,CA138)+COUNTIF($CB$72:$CB$95,CA138)+COUNTIF($CC$72:$CC$95,CA138)+COUNTIF($CD$72:$CD$95,CA138)+COUNTIF($CA$100:$CA$123,CA138)+COUNTIF($CB$100:$CB$123,CA138)+COUNTIF($CC$100:$CC$123,CA138)+COUNTIF($CD$100:$CD$123,CA138)+COUNTIF($CA$128:CA138,CA138),"000"))</f>
        <v/>
      </c>
      <c r="D138" s="9" t="str">
        <f>IF(AND($BN$21&lt;&gt;"",($BM$21+11)&lt;=$BO$21),$BN$21,"")</f>
        <v/>
      </c>
      <c r="E138" s="9" t="str">
        <f>IF(AND($BN$21&lt;&gt;"",($BM$21+11)&lt;=$BO$21),TEXT(($BM$21+11),"00"),"")</f>
        <v/>
      </c>
      <c r="F138" s="9" t="str">
        <f>IF(AND($BN$21&lt;&gt;"",($BM$21+11)&lt;=$BO$21),$BN$21&amp;"-"&amp;TEXT(($BM$21+11),"00"),"")</f>
        <v/>
      </c>
      <c r="H138" s="6"/>
      <c r="I138" s="9" t="str">
        <f>IF(CB138="","",CB138&amp;"-"&amp;TEXT(COUNTIF($CA$72:$CA$95,CB138)+COUNTIF($CB$72:$CB$95,CB138)+COUNTIF($CC$72:$CC$95,CB138)+COUNTIF($CD$72:$CD$95,CB138)+COUNTIF($CA$100:$CA$123,CB138)+COUNTIF($CB$100:$CB$123,CB138)+COUNTIF($CC$100:$CC$123,CB138)+COUNTIF($CD$100:$CD$123,CB138)+COUNTIF($CA$128:$CA$151,CB138)+COUNTIF($CB$128:CB138,CB138),"000"))</f>
        <v/>
      </c>
      <c r="J138" s="9" t="str">
        <f>IF(AND($BN$22&lt;&gt;"",($BM$22+11)&lt;=$BO$22),$BN$22,"")</f>
        <v/>
      </c>
      <c r="K138" s="9" t="str">
        <f>IF(AND($BN$22&lt;&gt;"",($BM$22+11)&lt;=$BO$22),TEXT(($BM$22+11),"00"),"")</f>
        <v/>
      </c>
      <c r="L138" s="9" t="str">
        <f>IF(AND($BN$22&lt;&gt;"",($BM$22+11)&lt;=$BO$22),$BN$22&amp;"-"&amp;TEXT(($BM$22+11),"00"),"")</f>
        <v/>
      </c>
      <c r="N138" s="6"/>
      <c r="O138" s="9" t="str">
        <f>IF(CC138="","",CC138&amp;"-"&amp;TEXT(COUNTIF($CA$72:$CA$95,CC138)+COUNTIF($CB$72:$CB$95,CC138)+COUNTIF($CC$72:$CC$95,CC138)+COUNTIF($CD$72:$CD$95,CC138)+COUNTIF($CA$100:$CA$123,CC138)+COUNTIF($CB$100:$CB$123,CC138)+COUNTIF($CC$100:$CC$123,CC138)+COUNTIF($CD$100:$CD$123,CC138)+COUNTIF($CA$128:$CA$151,CC138)+COUNTIF($CB$128:$CB$151,CC138)+COUNTIF($CC$128:CC138,CC138),"000"))</f>
        <v/>
      </c>
      <c r="P138" s="9" t="str">
        <f>IF(AND($BN$23&lt;&gt;"",($BM$23+11)&lt;=$BO$23),$BN$23,"")</f>
        <v/>
      </c>
      <c r="Q138" s="9" t="str">
        <f>IF(AND($BN$23&lt;&gt;"",($BM$23+11)&lt;=$BO$23),TEXT(($BM$23+11),"00"),"")</f>
        <v/>
      </c>
      <c r="R138" s="9" t="str">
        <f>IF(AND($BN$23&lt;&gt;"",($BM$23+11)&lt;=$BO$23),$BN$23&amp;"-"&amp;TEXT(($BM$23+11),"00"),"")</f>
        <v/>
      </c>
      <c r="T138" s="6"/>
      <c r="U138" s="9" t="str">
        <f>IF(CD138="","",CD138&amp;"-"&amp;TEXT(COUNTIF($CA$72:$CA$95,CD138)+COUNTIF($CB$72:$CB$95,CD138)+COUNTIF($CC$72:$CC$95,CD138)+COUNTIF($CD$72:$CD$95,CD138)+COUNTIF($CA$100:$CA$123,CD138)+COUNTIF($CB$100:$CB$123,CD138)+COUNTIF($CC$100:$CC$123,CD138)+COUNTIF($CD$100:$CD$123,CD138)+COUNTIF($CA$128:$CA$151,CD138)+COUNTIF($CB$128:$CB$151,CD138)+COUNTIF($CC$128:$CC$151,CD138)+COUNTIF($CD$128:CD138,CD138),"000"))</f>
        <v/>
      </c>
      <c r="V138" s="9" t="str">
        <f>IF(AND($BN$24&lt;&gt;"",($BM$24+11)&lt;=$BO$24),$BN$24,"")</f>
        <v/>
      </c>
      <c r="W138" s="9" t="str">
        <f>IF(AND($BN$24&lt;&gt;"",($BM$24+11)&lt;=$BO$24),TEXT(($BM$24+11),"00"),"")</f>
        <v/>
      </c>
      <c r="X138" s="9" t="str">
        <f>IF(AND($BN$24&lt;&gt;"",($BM$24+11)&lt;=$BO$24),$BN$24&amp;"-"&amp;TEXT(($BM$24+11),"00"),"")</f>
        <v/>
      </c>
      <c r="CA138" t="str" cm="1">
        <f t="array" ref="CA138">IF(NOT(AND($BN$21&lt;&gt;"",($BM$21+11)&lt;=$BO$21)),"",IF(B138&lt;&gt;"",IF(B138="-","",B138),IF(ISNUMBER(SEARCH(":",$BP$21)),IFERROR(_xlfn.LET(_xlpm.s,_xlfn.TEXTSPLIT($BP$21,","),_xlpm.k,FIND(":",_xlpm.s),INDEX(TRIM(LEFT(_xlpm.s,_xlpm.k-1)),_xlfn.XMATCH(($BM$21+11),_xlfn.SCAN(0,--MID(_xlpm.s,_xlpm.k+1,9),_xlfn.LAMBDA(_xlpm.a,_xlpm.v,_xlpm.a+_xlpm.v)),1))),""),IF(($BM$21+11)&lt;=$BQ$21,$BP$21,""))))</f>
        <v/>
      </c>
      <c r="CB138" t="str" cm="1">
        <f t="array" ref="CB138">IF(NOT(AND($BN$22&lt;&gt;"",($BM$22+11)&lt;=$BO$22)),"",IF(H138&lt;&gt;"",IF(H138="-","",H138),IF(ISNUMBER(SEARCH(":",$BP$22)),IFERROR(_xlfn.LET(_xlpm.s,_xlfn.TEXTSPLIT($BP$22,","),_xlpm.k,FIND(":",_xlpm.s),INDEX(TRIM(LEFT(_xlpm.s,_xlpm.k-1)),_xlfn.XMATCH(($BM$22+11),_xlfn.SCAN(0,--MID(_xlpm.s,_xlpm.k+1,9),_xlfn.LAMBDA(_xlpm.a,_xlpm.v,_xlpm.a+_xlpm.v)),1))),""),IF(($BM$22+11)&lt;=$BQ$22,$BP$22,""))))</f>
        <v/>
      </c>
      <c r="CC138" t="str" cm="1">
        <f t="array" ref="CC138">IF(NOT(AND($BN$23&lt;&gt;"",($BM$23+11)&lt;=$BO$23)),"",IF(N138&lt;&gt;"",IF(N138="-","",N138),IF(ISNUMBER(SEARCH(":",$BP$23)),IFERROR(_xlfn.LET(_xlpm.s,_xlfn.TEXTSPLIT($BP$23,","),_xlpm.k,FIND(":",_xlpm.s),INDEX(TRIM(LEFT(_xlpm.s,_xlpm.k-1)),_xlfn.XMATCH(($BM$23+11),_xlfn.SCAN(0,--MID(_xlpm.s,_xlpm.k+1,9),_xlfn.LAMBDA(_xlpm.a,_xlpm.v,_xlpm.a+_xlpm.v)),1))),""),IF(($BM$23+11)&lt;=$BQ$23,$BP$23,""))))</f>
        <v/>
      </c>
      <c r="CD138" t="str" cm="1">
        <f t="array" ref="CD138">IF(NOT(AND($BN$24&lt;&gt;"",($BM$24+11)&lt;=$BO$24)),"",IF(T138&lt;&gt;"",IF(T138="-","",T138),IF(ISNUMBER(SEARCH(":",$BP$24)),IFERROR(_xlfn.LET(_xlpm.s,_xlfn.TEXTSPLIT($BP$24,","),_xlpm.k,FIND(":",_xlpm.s),INDEX(TRIM(LEFT(_xlpm.s,_xlpm.k-1)),_xlfn.XMATCH(($BM$24+11),_xlfn.SCAN(0,--MID(_xlpm.s,_xlpm.k+1,9),_xlfn.LAMBDA(_xlpm.a,_xlpm.v,_xlpm.a+_xlpm.v)),1))),""),IF(($BM$24+11)&lt;=$BQ$24,$BP$24,""))))</f>
        <v/>
      </c>
    </row>
    <row r="139" spans="2:82" hidden="1" x14ac:dyDescent="0.45">
      <c r="B139" s="6"/>
      <c r="C139" s="9" t="str">
        <f>IF(CA139="","",CA139&amp;"-"&amp;TEXT(COUNTIF($CA$72:$CA$95,CA139)+COUNTIF($CB$72:$CB$95,CA139)+COUNTIF($CC$72:$CC$95,CA139)+COUNTIF($CD$72:$CD$95,CA139)+COUNTIF($CA$100:$CA$123,CA139)+COUNTIF($CB$100:$CB$123,CA139)+COUNTIF($CC$100:$CC$123,CA139)+COUNTIF($CD$100:$CD$123,CA139)+COUNTIF($CA$128:CA139,CA139),"000"))</f>
        <v/>
      </c>
      <c r="D139" s="9" t="str">
        <f>IF(AND($BN$21&lt;&gt;"",($BM$21+12)&lt;=$BO$21),$BN$21,"")</f>
        <v/>
      </c>
      <c r="E139" s="9" t="str">
        <f>IF(AND($BN$21&lt;&gt;"",($BM$21+12)&lt;=$BO$21),TEXT(($BM$21+12),"00"),"")</f>
        <v/>
      </c>
      <c r="F139" s="9" t="str">
        <f>IF(AND($BN$21&lt;&gt;"",($BM$21+12)&lt;=$BO$21),$BN$21&amp;"-"&amp;TEXT(($BM$21+12),"00"),"")</f>
        <v/>
      </c>
      <c r="H139" s="6"/>
      <c r="I139" s="9" t="str">
        <f>IF(CB139="","",CB139&amp;"-"&amp;TEXT(COUNTIF($CA$72:$CA$95,CB139)+COUNTIF($CB$72:$CB$95,CB139)+COUNTIF($CC$72:$CC$95,CB139)+COUNTIF($CD$72:$CD$95,CB139)+COUNTIF($CA$100:$CA$123,CB139)+COUNTIF($CB$100:$CB$123,CB139)+COUNTIF($CC$100:$CC$123,CB139)+COUNTIF($CD$100:$CD$123,CB139)+COUNTIF($CA$128:$CA$151,CB139)+COUNTIF($CB$128:CB139,CB139),"000"))</f>
        <v/>
      </c>
      <c r="J139" s="9" t="str">
        <f>IF(AND($BN$22&lt;&gt;"",($BM$22+12)&lt;=$BO$22),$BN$22,"")</f>
        <v/>
      </c>
      <c r="K139" s="9" t="str">
        <f>IF(AND($BN$22&lt;&gt;"",($BM$22+12)&lt;=$BO$22),TEXT(($BM$22+12),"00"),"")</f>
        <v/>
      </c>
      <c r="L139" s="9" t="str">
        <f>IF(AND($BN$22&lt;&gt;"",($BM$22+12)&lt;=$BO$22),$BN$22&amp;"-"&amp;TEXT(($BM$22+12),"00"),"")</f>
        <v/>
      </c>
      <c r="N139" s="6"/>
      <c r="O139" s="9" t="str">
        <f>IF(CC139="","",CC139&amp;"-"&amp;TEXT(COUNTIF($CA$72:$CA$95,CC139)+COUNTIF($CB$72:$CB$95,CC139)+COUNTIF($CC$72:$CC$95,CC139)+COUNTIF($CD$72:$CD$95,CC139)+COUNTIF($CA$100:$CA$123,CC139)+COUNTIF($CB$100:$CB$123,CC139)+COUNTIF($CC$100:$CC$123,CC139)+COUNTIF($CD$100:$CD$123,CC139)+COUNTIF($CA$128:$CA$151,CC139)+COUNTIF($CB$128:$CB$151,CC139)+COUNTIF($CC$128:CC139,CC139),"000"))</f>
        <v/>
      </c>
      <c r="P139" s="9" t="str">
        <f>IF(AND($BN$23&lt;&gt;"",($BM$23+12)&lt;=$BO$23),$BN$23,"")</f>
        <v/>
      </c>
      <c r="Q139" s="9" t="str">
        <f>IF(AND($BN$23&lt;&gt;"",($BM$23+12)&lt;=$BO$23),TEXT(($BM$23+12),"00"),"")</f>
        <v/>
      </c>
      <c r="R139" s="9" t="str">
        <f>IF(AND($BN$23&lt;&gt;"",($BM$23+12)&lt;=$BO$23),$BN$23&amp;"-"&amp;TEXT(($BM$23+12),"00"),"")</f>
        <v/>
      </c>
      <c r="T139" s="6"/>
      <c r="U139" s="9" t="str">
        <f>IF(CD139="","",CD139&amp;"-"&amp;TEXT(COUNTIF($CA$72:$CA$95,CD139)+COUNTIF($CB$72:$CB$95,CD139)+COUNTIF($CC$72:$CC$95,CD139)+COUNTIF($CD$72:$CD$95,CD139)+COUNTIF($CA$100:$CA$123,CD139)+COUNTIF($CB$100:$CB$123,CD139)+COUNTIF($CC$100:$CC$123,CD139)+COUNTIF($CD$100:$CD$123,CD139)+COUNTIF($CA$128:$CA$151,CD139)+COUNTIF($CB$128:$CB$151,CD139)+COUNTIF($CC$128:$CC$151,CD139)+COUNTIF($CD$128:CD139,CD139),"000"))</f>
        <v/>
      </c>
      <c r="V139" s="9" t="str">
        <f>IF(AND($BN$24&lt;&gt;"",($BM$24+12)&lt;=$BO$24),$BN$24,"")</f>
        <v/>
      </c>
      <c r="W139" s="9" t="str">
        <f>IF(AND($BN$24&lt;&gt;"",($BM$24+12)&lt;=$BO$24),TEXT(($BM$24+12),"00"),"")</f>
        <v/>
      </c>
      <c r="X139" s="9" t="str">
        <f>IF(AND($BN$24&lt;&gt;"",($BM$24+12)&lt;=$BO$24),$BN$24&amp;"-"&amp;TEXT(($BM$24+12),"00"),"")</f>
        <v/>
      </c>
      <c r="CA139" t="str" cm="1">
        <f t="array" ref="CA139">IF(NOT(AND($BN$21&lt;&gt;"",($BM$21+12)&lt;=$BO$21)),"",IF(B139&lt;&gt;"",IF(B139="-","",B139),IF(ISNUMBER(SEARCH(":",$BP$21)),IFERROR(_xlfn.LET(_xlpm.s,_xlfn.TEXTSPLIT($BP$21,","),_xlpm.k,FIND(":",_xlpm.s),INDEX(TRIM(LEFT(_xlpm.s,_xlpm.k-1)),_xlfn.XMATCH(($BM$21+12),_xlfn.SCAN(0,--MID(_xlpm.s,_xlpm.k+1,9),_xlfn.LAMBDA(_xlpm.a,_xlpm.v,_xlpm.a+_xlpm.v)),1))),""),IF(($BM$21+12)&lt;=$BQ$21,$BP$21,""))))</f>
        <v/>
      </c>
      <c r="CB139" t="str" cm="1">
        <f t="array" ref="CB139">IF(NOT(AND($BN$22&lt;&gt;"",($BM$22+12)&lt;=$BO$22)),"",IF(H139&lt;&gt;"",IF(H139="-","",H139),IF(ISNUMBER(SEARCH(":",$BP$22)),IFERROR(_xlfn.LET(_xlpm.s,_xlfn.TEXTSPLIT($BP$22,","),_xlpm.k,FIND(":",_xlpm.s),INDEX(TRIM(LEFT(_xlpm.s,_xlpm.k-1)),_xlfn.XMATCH(($BM$22+12),_xlfn.SCAN(0,--MID(_xlpm.s,_xlpm.k+1,9),_xlfn.LAMBDA(_xlpm.a,_xlpm.v,_xlpm.a+_xlpm.v)),1))),""),IF(($BM$22+12)&lt;=$BQ$22,$BP$22,""))))</f>
        <v/>
      </c>
      <c r="CC139" t="str" cm="1">
        <f t="array" ref="CC139">IF(NOT(AND($BN$23&lt;&gt;"",($BM$23+12)&lt;=$BO$23)),"",IF(N139&lt;&gt;"",IF(N139="-","",N139),IF(ISNUMBER(SEARCH(":",$BP$23)),IFERROR(_xlfn.LET(_xlpm.s,_xlfn.TEXTSPLIT($BP$23,","),_xlpm.k,FIND(":",_xlpm.s),INDEX(TRIM(LEFT(_xlpm.s,_xlpm.k-1)),_xlfn.XMATCH(($BM$23+12),_xlfn.SCAN(0,--MID(_xlpm.s,_xlpm.k+1,9),_xlfn.LAMBDA(_xlpm.a,_xlpm.v,_xlpm.a+_xlpm.v)),1))),""),IF(($BM$23+12)&lt;=$BQ$23,$BP$23,""))))</f>
        <v/>
      </c>
      <c r="CD139" t="str" cm="1">
        <f t="array" ref="CD139">IF(NOT(AND($BN$24&lt;&gt;"",($BM$24+12)&lt;=$BO$24)),"",IF(T139&lt;&gt;"",IF(T139="-","",T139),IF(ISNUMBER(SEARCH(":",$BP$24)),IFERROR(_xlfn.LET(_xlpm.s,_xlfn.TEXTSPLIT($BP$24,","),_xlpm.k,FIND(":",_xlpm.s),INDEX(TRIM(LEFT(_xlpm.s,_xlpm.k-1)),_xlfn.XMATCH(($BM$24+12),_xlfn.SCAN(0,--MID(_xlpm.s,_xlpm.k+1,9),_xlfn.LAMBDA(_xlpm.a,_xlpm.v,_xlpm.a+_xlpm.v)),1))),""),IF(($BM$24+12)&lt;=$BQ$24,$BP$24,""))))</f>
        <v/>
      </c>
    </row>
    <row r="140" spans="2:82" hidden="1" x14ac:dyDescent="0.45">
      <c r="B140" s="6"/>
      <c r="C140" s="9" t="str">
        <f>IF(CA140="","",CA140&amp;"-"&amp;TEXT(COUNTIF($CA$72:$CA$95,CA140)+COUNTIF($CB$72:$CB$95,CA140)+COUNTIF($CC$72:$CC$95,CA140)+COUNTIF($CD$72:$CD$95,CA140)+COUNTIF($CA$100:$CA$123,CA140)+COUNTIF($CB$100:$CB$123,CA140)+COUNTIF($CC$100:$CC$123,CA140)+COUNTIF($CD$100:$CD$123,CA140)+COUNTIF($CA$128:CA140,CA140),"000"))</f>
        <v/>
      </c>
      <c r="D140" s="9" t="str">
        <f>IF(AND($BN$21&lt;&gt;"",($BM$21+13)&lt;=$BO$21),$BN$21,"")</f>
        <v/>
      </c>
      <c r="E140" s="9" t="str">
        <f>IF(AND($BN$21&lt;&gt;"",($BM$21+13)&lt;=$BO$21),TEXT(($BM$21+13),"00"),"")</f>
        <v/>
      </c>
      <c r="F140" s="9" t="str">
        <f>IF(AND($BN$21&lt;&gt;"",($BM$21+13)&lt;=$BO$21),$BN$21&amp;"-"&amp;TEXT(($BM$21+13),"00"),"")</f>
        <v/>
      </c>
      <c r="H140" s="6"/>
      <c r="I140" s="9" t="str">
        <f>IF(CB140="","",CB140&amp;"-"&amp;TEXT(COUNTIF($CA$72:$CA$95,CB140)+COUNTIF($CB$72:$CB$95,CB140)+COUNTIF($CC$72:$CC$95,CB140)+COUNTIF($CD$72:$CD$95,CB140)+COUNTIF($CA$100:$CA$123,CB140)+COUNTIF($CB$100:$CB$123,CB140)+COUNTIF($CC$100:$CC$123,CB140)+COUNTIF($CD$100:$CD$123,CB140)+COUNTIF($CA$128:$CA$151,CB140)+COUNTIF($CB$128:CB140,CB140),"000"))</f>
        <v/>
      </c>
      <c r="J140" s="9" t="str">
        <f>IF(AND($BN$22&lt;&gt;"",($BM$22+13)&lt;=$BO$22),$BN$22,"")</f>
        <v/>
      </c>
      <c r="K140" s="9" t="str">
        <f>IF(AND($BN$22&lt;&gt;"",($BM$22+13)&lt;=$BO$22),TEXT(($BM$22+13),"00"),"")</f>
        <v/>
      </c>
      <c r="L140" s="9" t="str">
        <f>IF(AND($BN$22&lt;&gt;"",($BM$22+13)&lt;=$BO$22),$BN$22&amp;"-"&amp;TEXT(($BM$22+13),"00"),"")</f>
        <v/>
      </c>
      <c r="N140" s="6"/>
      <c r="O140" s="9" t="str">
        <f>IF(CC140="","",CC140&amp;"-"&amp;TEXT(COUNTIF($CA$72:$CA$95,CC140)+COUNTIF($CB$72:$CB$95,CC140)+COUNTIF($CC$72:$CC$95,CC140)+COUNTIF($CD$72:$CD$95,CC140)+COUNTIF($CA$100:$CA$123,CC140)+COUNTIF($CB$100:$CB$123,CC140)+COUNTIF($CC$100:$CC$123,CC140)+COUNTIF($CD$100:$CD$123,CC140)+COUNTIF($CA$128:$CA$151,CC140)+COUNTIF($CB$128:$CB$151,CC140)+COUNTIF($CC$128:CC140,CC140),"000"))</f>
        <v/>
      </c>
      <c r="P140" s="9" t="str">
        <f>IF(AND($BN$23&lt;&gt;"",($BM$23+13)&lt;=$BO$23),$BN$23,"")</f>
        <v/>
      </c>
      <c r="Q140" s="9" t="str">
        <f>IF(AND($BN$23&lt;&gt;"",($BM$23+13)&lt;=$BO$23),TEXT(($BM$23+13),"00"),"")</f>
        <v/>
      </c>
      <c r="R140" s="9" t="str">
        <f>IF(AND($BN$23&lt;&gt;"",($BM$23+13)&lt;=$BO$23),$BN$23&amp;"-"&amp;TEXT(($BM$23+13),"00"),"")</f>
        <v/>
      </c>
      <c r="T140" s="6"/>
      <c r="U140" s="9" t="str">
        <f>IF(CD140="","",CD140&amp;"-"&amp;TEXT(COUNTIF($CA$72:$CA$95,CD140)+COUNTIF($CB$72:$CB$95,CD140)+COUNTIF($CC$72:$CC$95,CD140)+COUNTIF($CD$72:$CD$95,CD140)+COUNTIF($CA$100:$CA$123,CD140)+COUNTIF($CB$100:$CB$123,CD140)+COUNTIF($CC$100:$CC$123,CD140)+COUNTIF($CD$100:$CD$123,CD140)+COUNTIF($CA$128:$CA$151,CD140)+COUNTIF($CB$128:$CB$151,CD140)+COUNTIF($CC$128:$CC$151,CD140)+COUNTIF($CD$128:CD140,CD140),"000"))</f>
        <v/>
      </c>
      <c r="V140" s="9" t="str">
        <f>IF(AND($BN$24&lt;&gt;"",($BM$24+13)&lt;=$BO$24),$BN$24,"")</f>
        <v/>
      </c>
      <c r="W140" s="9" t="str">
        <f>IF(AND($BN$24&lt;&gt;"",($BM$24+13)&lt;=$BO$24),TEXT(($BM$24+13),"00"),"")</f>
        <v/>
      </c>
      <c r="X140" s="9" t="str">
        <f>IF(AND($BN$24&lt;&gt;"",($BM$24+13)&lt;=$BO$24),$BN$24&amp;"-"&amp;TEXT(($BM$24+13),"00"),"")</f>
        <v/>
      </c>
      <c r="CA140" t="str" cm="1">
        <f t="array" ref="CA140">IF(NOT(AND($BN$21&lt;&gt;"",($BM$21+13)&lt;=$BO$21)),"",IF(B140&lt;&gt;"",IF(B140="-","",B140),IF(ISNUMBER(SEARCH(":",$BP$21)),IFERROR(_xlfn.LET(_xlpm.s,_xlfn.TEXTSPLIT($BP$21,","),_xlpm.k,FIND(":",_xlpm.s),INDEX(TRIM(LEFT(_xlpm.s,_xlpm.k-1)),_xlfn.XMATCH(($BM$21+13),_xlfn.SCAN(0,--MID(_xlpm.s,_xlpm.k+1,9),_xlfn.LAMBDA(_xlpm.a,_xlpm.v,_xlpm.a+_xlpm.v)),1))),""),IF(($BM$21+13)&lt;=$BQ$21,$BP$21,""))))</f>
        <v/>
      </c>
      <c r="CB140" t="str" cm="1">
        <f t="array" ref="CB140">IF(NOT(AND($BN$22&lt;&gt;"",($BM$22+13)&lt;=$BO$22)),"",IF(H140&lt;&gt;"",IF(H140="-","",H140),IF(ISNUMBER(SEARCH(":",$BP$22)),IFERROR(_xlfn.LET(_xlpm.s,_xlfn.TEXTSPLIT($BP$22,","),_xlpm.k,FIND(":",_xlpm.s),INDEX(TRIM(LEFT(_xlpm.s,_xlpm.k-1)),_xlfn.XMATCH(($BM$22+13),_xlfn.SCAN(0,--MID(_xlpm.s,_xlpm.k+1,9),_xlfn.LAMBDA(_xlpm.a,_xlpm.v,_xlpm.a+_xlpm.v)),1))),""),IF(($BM$22+13)&lt;=$BQ$22,$BP$22,""))))</f>
        <v/>
      </c>
      <c r="CC140" t="str" cm="1">
        <f t="array" ref="CC140">IF(NOT(AND($BN$23&lt;&gt;"",($BM$23+13)&lt;=$BO$23)),"",IF(N140&lt;&gt;"",IF(N140="-","",N140),IF(ISNUMBER(SEARCH(":",$BP$23)),IFERROR(_xlfn.LET(_xlpm.s,_xlfn.TEXTSPLIT($BP$23,","),_xlpm.k,FIND(":",_xlpm.s),INDEX(TRIM(LEFT(_xlpm.s,_xlpm.k-1)),_xlfn.XMATCH(($BM$23+13),_xlfn.SCAN(0,--MID(_xlpm.s,_xlpm.k+1,9),_xlfn.LAMBDA(_xlpm.a,_xlpm.v,_xlpm.a+_xlpm.v)),1))),""),IF(($BM$23+13)&lt;=$BQ$23,$BP$23,""))))</f>
        <v/>
      </c>
      <c r="CD140" t="str" cm="1">
        <f t="array" ref="CD140">IF(NOT(AND($BN$24&lt;&gt;"",($BM$24+13)&lt;=$BO$24)),"",IF(T140&lt;&gt;"",IF(T140="-","",T140),IF(ISNUMBER(SEARCH(":",$BP$24)),IFERROR(_xlfn.LET(_xlpm.s,_xlfn.TEXTSPLIT($BP$24,","),_xlpm.k,FIND(":",_xlpm.s),INDEX(TRIM(LEFT(_xlpm.s,_xlpm.k-1)),_xlfn.XMATCH(($BM$24+13),_xlfn.SCAN(0,--MID(_xlpm.s,_xlpm.k+1,9),_xlfn.LAMBDA(_xlpm.a,_xlpm.v,_xlpm.a+_xlpm.v)),1))),""),IF(($BM$24+13)&lt;=$BQ$24,$BP$24,""))))</f>
        <v/>
      </c>
    </row>
    <row r="141" spans="2:82" hidden="1" x14ac:dyDescent="0.45">
      <c r="B141" s="6"/>
      <c r="C141" s="9" t="str">
        <f>IF(CA141="","",CA141&amp;"-"&amp;TEXT(COUNTIF($CA$72:$CA$95,CA141)+COUNTIF($CB$72:$CB$95,CA141)+COUNTIF($CC$72:$CC$95,CA141)+COUNTIF($CD$72:$CD$95,CA141)+COUNTIF($CA$100:$CA$123,CA141)+COUNTIF($CB$100:$CB$123,CA141)+COUNTIF($CC$100:$CC$123,CA141)+COUNTIF($CD$100:$CD$123,CA141)+COUNTIF($CA$128:CA141,CA141),"000"))</f>
        <v/>
      </c>
      <c r="D141" s="9" t="str">
        <f>IF(AND($BN$21&lt;&gt;"",($BM$21+14)&lt;=$BO$21),$BN$21,"")</f>
        <v/>
      </c>
      <c r="E141" s="9" t="str">
        <f>IF(AND($BN$21&lt;&gt;"",($BM$21+14)&lt;=$BO$21),TEXT(($BM$21+14),"00"),"")</f>
        <v/>
      </c>
      <c r="F141" s="9" t="str">
        <f>IF(AND($BN$21&lt;&gt;"",($BM$21+14)&lt;=$BO$21),$BN$21&amp;"-"&amp;TEXT(($BM$21+14),"00"),"")</f>
        <v/>
      </c>
      <c r="H141" s="6"/>
      <c r="I141" s="9" t="str">
        <f>IF(CB141="","",CB141&amp;"-"&amp;TEXT(COUNTIF($CA$72:$CA$95,CB141)+COUNTIF($CB$72:$CB$95,CB141)+COUNTIF($CC$72:$CC$95,CB141)+COUNTIF($CD$72:$CD$95,CB141)+COUNTIF($CA$100:$CA$123,CB141)+COUNTIF($CB$100:$CB$123,CB141)+COUNTIF($CC$100:$CC$123,CB141)+COUNTIF($CD$100:$CD$123,CB141)+COUNTIF($CA$128:$CA$151,CB141)+COUNTIF($CB$128:CB141,CB141),"000"))</f>
        <v/>
      </c>
      <c r="J141" s="9" t="str">
        <f>IF(AND($BN$22&lt;&gt;"",($BM$22+14)&lt;=$BO$22),$BN$22,"")</f>
        <v/>
      </c>
      <c r="K141" s="9" t="str">
        <f>IF(AND($BN$22&lt;&gt;"",($BM$22+14)&lt;=$BO$22),TEXT(($BM$22+14),"00"),"")</f>
        <v/>
      </c>
      <c r="L141" s="9" t="str">
        <f>IF(AND($BN$22&lt;&gt;"",($BM$22+14)&lt;=$BO$22),$BN$22&amp;"-"&amp;TEXT(($BM$22+14),"00"),"")</f>
        <v/>
      </c>
      <c r="N141" s="6"/>
      <c r="O141" s="9" t="str">
        <f>IF(CC141="","",CC141&amp;"-"&amp;TEXT(COUNTIF($CA$72:$CA$95,CC141)+COUNTIF($CB$72:$CB$95,CC141)+COUNTIF($CC$72:$CC$95,CC141)+COUNTIF($CD$72:$CD$95,CC141)+COUNTIF($CA$100:$CA$123,CC141)+COUNTIF($CB$100:$CB$123,CC141)+COUNTIF($CC$100:$CC$123,CC141)+COUNTIF($CD$100:$CD$123,CC141)+COUNTIF($CA$128:$CA$151,CC141)+COUNTIF($CB$128:$CB$151,CC141)+COUNTIF($CC$128:CC141,CC141),"000"))</f>
        <v/>
      </c>
      <c r="P141" s="9" t="str">
        <f>IF(AND($BN$23&lt;&gt;"",($BM$23+14)&lt;=$BO$23),$BN$23,"")</f>
        <v/>
      </c>
      <c r="Q141" s="9" t="str">
        <f>IF(AND($BN$23&lt;&gt;"",($BM$23+14)&lt;=$BO$23),TEXT(($BM$23+14),"00"),"")</f>
        <v/>
      </c>
      <c r="R141" s="9" t="str">
        <f>IF(AND($BN$23&lt;&gt;"",($BM$23+14)&lt;=$BO$23),$BN$23&amp;"-"&amp;TEXT(($BM$23+14),"00"),"")</f>
        <v/>
      </c>
      <c r="T141" s="6"/>
      <c r="U141" s="9" t="str">
        <f>IF(CD141="","",CD141&amp;"-"&amp;TEXT(COUNTIF($CA$72:$CA$95,CD141)+COUNTIF($CB$72:$CB$95,CD141)+COUNTIF($CC$72:$CC$95,CD141)+COUNTIF($CD$72:$CD$95,CD141)+COUNTIF($CA$100:$CA$123,CD141)+COUNTIF($CB$100:$CB$123,CD141)+COUNTIF($CC$100:$CC$123,CD141)+COUNTIF($CD$100:$CD$123,CD141)+COUNTIF($CA$128:$CA$151,CD141)+COUNTIF($CB$128:$CB$151,CD141)+COUNTIF($CC$128:$CC$151,CD141)+COUNTIF($CD$128:CD141,CD141),"000"))</f>
        <v/>
      </c>
      <c r="V141" s="9" t="str">
        <f>IF(AND($BN$24&lt;&gt;"",($BM$24+14)&lt;=$BO$24),$BN$24,"")</f>
        <v/>
      </c>
      <c r="W141" s="9" t="str">
        <f>IF(AND($BN$24&lt;&gt;"",($BM$24+14)&lt;=$BO$24),TEXT(($BM$24+14),"00"),"")</f>
        <v/>
      </c>
      <c r="X141" s="9" t="str">
        <f>IF(AND($BN$24&lt;&gt;"",($BM$24+14)&lt;=$BO$24),$BN$24&amp;"-"&amp;TEXT(($BM$24+14),"00"),"")</f>
        <v/>
      </c>
      <c r="CA141" t="str" cm="1">
        <f t="array" ref="CA141">IF(NOT(AND($BN$21&lt;&gt;"",($BM$21+14)&lt;=$BO$21)),"",IF(B141&lt;&gt;"",IF(B141="-","",B141),IF(ISNUMBER(SEARCH(":",$BP$21)),IFERROR(_xlfn.LET(_xlpm.s,_xlfn.TEXTSPLIT($BP$21,","),_xlpm.k,FIND(":",_xlpm.s),INDEX(TRIM(LEFT(_xlpm.s,_xlpm.k-1)),_xlfn.XMATCH(($BM$21+14),_xlfn.SCAN(0,--MID(_xlpm.s,_xlpm.k+1,9),_xlfn.LAMBDA(_xlpm.a,_xlpm.v,_xlpm.a+_xlpm.v)),1))),""),IF(($BM$21+14)&lt;=$BQ$21,$BP$21,""))))</f>
        <v/>
      </c>
      <c r="CB141" t="str" cm="1">
        <f t="array" ref="CB141">IF(NOT(AND($BN$22&lt;&gt;"",($BM$22+14)&lt;=$BO$22)),"",IF(H141&lt;&gt;"",IF(H141="-","",H141),IF(ISNUMBER(SEARCH(":",$BP$22)),IFERROR(_xlfn.LET(_xlpm.s,_xlfn.TEXTSPLIT($BP$22,","),_xlpm.k,FIND(":",_xlpm.s),INDEX(TRIM(LEFT(_xlpm.s,_xlpm.k-1)),_xlfn.XMATCH(($BM$22+14),_xlfn.SCAN(0,--MID(_xlpm.s,_xlpm.k+1,9),_xlfn.LAMBDA(_xlpm.a,_xlpm.v,_xlpm.a+_xlpm.v)),1))),""),IF(($BM$22+14)&lt;=$BQ$22,$BP$22,""))))</f>
        <v/>
      </c>
      <c r="CC141" t="str" cm="1">
        <f t="array" ref="CC141">IF(NOT(AND($BN$23&lt;&gt;"",($BM$23+14)&lt;=$BO$23)),"",IF(N141&lt;&gt;"",IF(N141="-","",N141),IF(ISNUMBER(SEARCH(":",$BP$23)),IFERROR(_xlfn.LET(_xlpm.s,_xlfn.TEXTSPLIT($BP$23,","),_xlpm.k,FIND(":",_xlpm.s),INDEX(TRIM(LEFT(_xlpm.s,_xlpm.k-1)),_xlfn.XMATCH(($BM$23+14),_xlfn.SCAN(0,--MID(_xlpm.s,_xlpm.k+1,9),_xlfn.LAMBDA(_xlpm.a,_xlpm.v,_xlpm.a+_xlpm.v)),1))),""),IF(($BM$23+14)&lt;=$BQ$23,$BP$23,""))))</f>
        <v/>
      </c>
      <c r="CD141" t="str" cm="1">
        <f t="array" ref="CD141">IF(NOT(AND($BN$24&lt;&gt;"",($BM$24+14)&lt;=$BO$24)),"",IF(T141&lt;&gt;"",IF(T141="-","",T141),IF(ISNUMBER(SEARCH(":",$BP$24)),IFERROR(_xlfn.LET(_xlpm.s,_xlfn.TEXTSPLIT($BP$24,","),_xlpm.k,FIND(":",_xlpm.s),INDEX(TRIM(LEFT(_xlpm.s,_xlpm.k-1)),_xlfn.XMATCH(($BM$24+14),_xlfn.SCAN(0,--MID(_xlpm.s,_xlpm.k+1,9),_xlfn.LAMBDA(_xlpm.a,_xlpm.v,_xlpm.a+_xlpm.v)),1))),""),IF(($BM$24+14)&lt;=$BQ$24,$BP$24,""))))</f>
        <v/>
      </c>
    </row>
    <row r="142" spans="2:82" hidden="1" x14ac:dyDescent="0.45">
      <c r="B142" s="6"/>
      <c r="C142" s="9" t="str">
        <f>IF(CA142="","",CA142&amp;"-"&amp;TEXT(COUNTIF($CA$72:$CA$95,CA142)+COUNTIF($CB$72:$CB$95,CA142)+COUNTIF($CC$72:$CC$95,CA142)+COUNTIF($CD$72:$CD$95,CA142)+COUNTIF($CA$100:$CA$123,CA142)+COUNTIF($CB$100:$CB$123,CA142)+COUNTIF($CC$100:$CC$123,CA142)+COUNTIF($CD$100:$CD$123,CA142)+COUNTIF($CA$128:CA142,CA142),"000"))</f>
        <v/>
      </c>
      <c r="D142" s="9" t="str">
        <f>IF(AND($BN$21&lt;&gt;"",($BM$21+15)&lt;=$BO$21),$BN$21,"")</f>
        <v/>
      </c>
      <c r="E142" s="9" t="str">
        <f>IF(AND($BN$21&lt;&gt;"",($BM$21+15)&lt;=$BO$21),TEXT(($BM$21+15),"00"),"")</f>
        <v/>
      </c>
      <c r="F142" s="9" t="str">
        <f>IF(AND($BN$21&lt;&gt;"",($BM$21+15)&lt;=$BO$21),$BN$21&amp;"-"&amp;TEXT(($BM$21+15),"00"),"")</f>
        <v/>
      </c>
      <c r="H142" s="6"/>
      <c r="I142" s="9" t="str">
        <f>IF(CB142="","",CB142&amp;"-"&amp;TEXT(COUNTIF($CA$72:$CA$95,CB142)+COUNTIF($CB$72:$CB$95,CB142)+COUNTIF($CC$72:$CC$95,CB142)+COUNTIF($CD$72:$CD$95,CB142)+COUNTIF($CA$100:$CA$123,CB142)+COUNTIF($CB$100:$CB$123,CB142)+COUNTIF($CC$100:$CC$123,CB142)+COUNTIF($CD$100:$CD$123,CB142)+COUNTIF($CA$128:$CA$151,CB142)+COUNTIF($CB$128:CB142,CB142),"000"))</f>
        <v/>
      </c>
      <c r="J142" s="9" t="str">
        <f>IF(AND($BN$22&lt;&gt;"",($BM$22+15)&lt;=$BO$22),$BN$22,"")</f>
        <v/>
      </c>
      <c r="K142" s="9" t="str">
        <f>IF(AND($BN$22&lt;&gt;"",($BM$22+15)&lt;=$BO$22),TEXT(($BM$22+15),"00"),"")</f>
        <v/>
      </c>
      <c r="L142" s="9" t="str">
        <f>IF(AND($BN$22&lt;&gt;"",($BM$22+15)&lt;=$BO$22),$BN$22&amp;"-"&amp;TEXT(($BM$22+15),"00"),"")</f>
        <v/>
      </c>
      <c r="N142" s="6"/>
      <c r="O142" s="9" t="str">
        <f>IF(CC142="","",CC142&amp;"-"&amp;TEXT(COUNTIF($CA$72:$CA$95,CC142)+COUNTIF($CB$72:$CB$95,CC142)+COUNTIF($CC$72:$CC$95,CC142)+COUNTIF($CD$72:$CD$95,CC142)+COUNTIF($CA$100:$CA$123,CC142)+COUNTIF($CB$100:$CB$123,CC142)+COUNTIF($CC$100:$CC$123,CC142)+COUNTIF($CD$100:$CD$123,CC142)+COUNTIF($CA$128:$CA$151,CC142)+COUNTIF($CB$128:$CB$151,CC142)+COUNTIF($CC$128:CC142,CC142),"000"))</f>
        <v/>
      </c>
      <c r="P142" s="9" t="str">
        <f>IF(AND($BN$23&lt;&gt;"",($BM$23+15)&lt;=$BO$23),$BN$23,"")</f>
        <v/>
      </c>
      <c r="Q142" s="9" t="str">
        <f>IF(AND($BN$23&lt;&gt;"",($BM$23+15)&lt;=$BO$23),TEXT(($BM$23+15),"00"),"")</f>
        <v/>
      </c>
      <c r="R142" s="9" t="str">
        <f>IF(AND($BN$23&lt;&gt;"",($BM$23+15)&lt;=$BO$23),$BN$23&amp;"-"&amp;TEXT(($BM$23+15),"00"),"")</f>
        <v/>
      </c>
      <c r="T142" s="6"/>
      <c r="U142" s="9" t="str">
        <f>IF(CD142="","",CD142&amp;"-"&amp;TEXT(COUNTIF($CA$72:$CA$95,CD142)+COUNTIF($CB$72:$CB$95,CD142)+COUNTIF($CC$72:$CC$95,CD142)+COUNTIF($CD$72:$CD$95,CD142)+COUNTIF($CA$100:$CA$123,CD142)+COUNTIF($CB$100:$CB$123,CD142)+COUNTIF($CC$100:$CC$123,CD142)+COUNTIF($CD$100:$CD$123,CD142)+COUNTIF($CA$128:$CA$151,CD142)+COUNTIF($CB$128:$CB$151,CD142)+COUNTIF($CC$128:$CC$151,CD142)+COUNTIF($CD$128:CD142,CD142),"000"))</f>
        <v/>
      </c>
      <c r="V142" s="9" t="str">
        <f>IF(AND($BN$24&lt;&gt;"",($BM$24+15)&lt;=$BO$24),$BN$24,"")</f>
        <v/>
      </c>
      <c r="W142" s="9" t="str">
        <f>IF(AND($BN$24&lt;&gt;"",($BM$24+15)&lt;=$BO$24),TEXT(($BM$24+15),"00"),"")</f>
        <v/>
      </c>
      <c r="X142" s="9" t="str">
        <f>IF(AND($BN$24&lt;&gt;"",($BM$24+15)&lt;=$BO$24),$BN$24&amp;"-"&amp;TEXT(($BM$24+15),"00"),"")</f>
        <v/>
      </c>
      <c r="CA142" t="str" cm="1">
        <f t="array" ref="CA142">IF(NOT(AND($BN$21&lt;&gt;"",($BM$21+15)&lt;=$BO$21)),"",IF(B142&lt;&gt;"",IF(B142="-","",B142),IF(ISNUMBER(SEARCH(":",$BP$21)),IFERROR(_xlfn.LET(_xlpm.s,_xlfn.TEXTSPLIT($BP$21,","),_xlpm.k,FIND(":",_xlpm.s),INDEX(TRIM(LEFT(_xlpm.s,_xlpm.k-1)),_xlfn.XMATCH(($BM$21+15),_xlfn.SCAN(0,--MID(_xlpm.s,_xlpm.k+1,9),_xlfn.LAMBDA(_xlpm.a,_xlpm.v,_xlpm.a+_xlpm.v)),1))),""),IF(($BM$21+15)&lt;=$BQ$21,$BP$21,""))))</f>
        <v/>
      </c>
      <c r="CB142" t="str" cm="1">
        <f t="array" ref="CB142">IF(NOT(AND($BN$22&lt;&gt;"",($BM$22+15)&lt;=$BO$22)),"",IF(H142&lt;&gt;"",IF(H142="-","",H142),IF(ISNUMBER(SEARCH(":",$BP$22)),IFERROR(_xlfn.LET(_xlpm.s,_xlfn.TEXTSPLIT($BP$22,","),_xlpm.k,FIND(":",_xlpm.s),INDEX(TRIM(LEFT(_xlpm.s,_xlpm.k-1)),_xlfn.XMATCH(($BM$22+15),_xlfn.SCAN(0,--MID(_xlpm.s,_xlpm.k+1,9),_xlfn.LAMBDA(_xlpm.a,_xlpm.v,_xlpm.a+_xlpm.v)),1))),""),IF(($BM$22+15)&lt;=$BQ$22,$BP$22,""))))</f>
        <v/>
      </c>
      <c r="CC142" t="str" cm="1">
        <f t="array" ref="CC142">IF(NOT(AND($BN$23&lt;&gt;"",($BM$23+15)&lt;=$BO$23)),"",IF(N142&lt;&gt;"",IF(N142="-","",N142),IF(ISNUMBER(SEARCH(":",$BP$23)),IFERROR(_xlfn.LET(_xlpm.s,_xlfn.TEXTSPLIT($BP$23,","),_xlpm.k,FIND(":",_xlpm.s),INDEX(TRIM(LEFT(_xlpm.s,_xlpm.k-1)),_xlfn.XMATCH(($BM$23+15),_xlfn.SCAN(0,--MID(_xlpm.s,_xlpm.k+1,9),_xlfn.LAMBDA(_xlpm.a,_xlpm.v,_xlpm.a+_xlpm.v)),1))),""),IF(($BM$23+15)&lt;=$BQ$23,$BP$23,""))))</f>
        <v/>
      </c>
      <c r="CD142" t="str" cm="1">
        <f t="array" ref="CD142">IF(NOT(AND($BN$24&lt;&gt;"",($BM$24+15)&lt;=$BO$24)),"",IF(T142&lt;&gt;"",IF(T142="-","",T142),IF(ISNUMBER(SEARCH(":",$BP$24)),IFERROR(_xlfn.LET(_xlpm.s,_xlfn.TEXTSPLIT($BP$24,","),_xlpm.k,FIND(":",_xlpm.s),INDEX(TRIM(LEFT(_xlpm.s,_xlpm.k-1)),_xlfn.XMATCH(($BM$24+15),_xlfn.SCAN(0,--MID(_xlpm.s,_xlpm.k+1,9),_xlfn.LAMBDA(_xlpm.a,_xlpm.v,_xlpm.a+_xlpm.v)),1))),""),IF(($BM$24+15)&lt;=$BQ$24,$BP$24,""))))</f>
        <v/>
      </c>
    </row>
    <row r="143" spans="2:82" hidden="1" x14ac:dyDescent="0.45">
      <c r="B143" s="6"/>
      <c r="C143" s="9" t="str">
        <f>IF(CA143="","",CA143&amp;"-"&amp;TEXT(COUNTIF($CA$72:$CA$95,CA143)+COUNTIF($CB$72:$CB$95,CA143)+COUNTIF($CC$72:$CC$95,CA143)+COUNTIF($CD$72:$CD$95,CA143)+COUNTIF($CA$100:$CA$123,CA143)+COUNTIF($CB$100:$CB$123,CA143)+COUNTIF($CC$100:$CC$123,CA143)+COUNTIF($CD$100:$CD$123,CA143)+COUNTIF($CA$128:CA143,CA143),"000"))</f>
        <v/>
      </c>
      <c r="D143" s="9" t="str">
        <f>IF(AND($BN$21&lt;&gt;"",($BM$21+16)&lt;=$BO$21),$BN$21,"")</f>
        <v/>
      </c>
      <c r="E143" s="9" t="str">
        <f>IF(AND($BN$21&lt;&gt;"",($BM$21+16)&lt;=$BO$21),TEXT(($BM$21+16),"00"),"")</f>
        <v/>
      </c>
      <c r="F143" s="9" t="str">
        <f>IF(AND($BN$21&lt;&gt;"",($BM$21+16)&lt;=$BO$21),$BN$21&amp;"-"&amp;TEXT(($BM$21+16),"00"),"")</f>
        <v/>
      </c>
      <c r="H143" s="6"/>
      <c r="I143" s="9" t="str">
        <f>IF(CB143="","",CB143&amp;"-"&amp;TEXT(COUNTIF($CA$72:$CA$95,CB143)+COUNTIF($CB$72:$CB$95,CB143)+COUNTIF($CC$72:$CC$95,CB143)+COUNTIF($CD$72:$CD$95,CB143)+COUNTIF($CA$100:$CA$123,CB143)+COUNTIF($CB$100:$CB$123,CB143)+COUNTIF($CC$100:$CC$123,CB143)+COUNTIF($CD$100:$CD$123,CB143)+COUNTIF($CA$128:$CA$151,CB143)+COUNTIF($CB$128:CB143,CB143),"000"))</f>
        <v/>
      </c>
      <c r="J143" s="9" t="str">
        <f>IF(AND($BN$22&lt;&gt;"",($BM$22+16)&lt;=$BO$22),$BN$22,"")</f>
        <v/>
      </c>
      <c r="K143" s="9" t="str">
        <f>IF(AND($BN$22&lt;&gt;"",($BM$22+16)&lt;=$BO$22),TEXT(($BM$22+16),"00"),"")</f>
        <v/>
      </c>
      <c r="L143" s="9" t="str">
        <f>IF(AND($BN$22&lt;&gt;"",($BM$22+16)&lt;=$BO$22),$BN$22&amp;"-"&amp;TEXT(($BM$22+16),"00"),"")</f>
        <v/>
      </c>
      <c r="N143" s="6"/>
      <c r="O143" s="9" t="str">
        <f>IF(CC143="","",CC143&amp;"-"&amp;TEXT(COUNTIF($CA$72:$CA$95,CC143)+COUNTIF($CB$72:$CB$95,CC143)+COUNTIF($CC$72:$CC$95,CC143)+COUNTIF($CD$72:$CD$95,CC143)+COUNTIF($CA$100:$CA$123,CC143)+COUNTIF($CB$100:$CB$123,CC143)+COUNTIF($CC$100:$CC$123,CC143)+COUNTIF($CD$100:$CD$123,CC143)+COUNTIF($CA$128:$CA$151,CC143)+COUNTIF($CB$128:$CB$151,CC143)+COUNTIF($CC$128:CC143,CC143),"000"))</f>
        <v/>
      </c>
      <c r="P143" s="9" t="str">
        <f>IF(AND($BN$23&lt;&gt;"",($BM$23+16)&lt;=$BO$23),$BN$23,"")</f>
        <v/>
      </c>
      <c r="Q143" s="9" t="str">
        <f>IF(AND($BN$23&lt;&gt;"",($BM$23+16)&lt;=$BO$23),TEXT(($BM$23+16),"00"),"")</f>
        <v/>
      </c>
      <c r="R143" s="9" t="str">
        <f>IF(AND($BN$23&lt;&gt;"",($BM$23+16)&lt;=$BO$23),$BN$23&amp;"-"&amp;TEXT(($BM$23+16),"00"),"")</f>
        <v/>
      </c>
      <c r="T143" s="6"/>
      <c r="U143" s="9" t="str">
        <f>IF(CD143="","",CD143&amp;"-"&amp;TEXT(COUNTIF($CA$72:$CA$95,CD143)+COUNTIF($CB$72:$CB$95,CD143)+COUNTIF($CC$72:$CC$95,CD143)+COUNTIF($CD$72:$CD$95,CD143)+COUNTIF($CA$100:$CA$123,CD143)+COUNTIF($CB$100:$CB$123,CD143)+COUNTIF($CC$100:$CC$123,CD143)+COUNTIF($CD$100:$CD$123,CD143)+COUNTIF($CA$128:$CA$151,CD143)+COUNTIF($CB$128:$CB$151,CD143)+COUNTIF($CC$128:$CC$151,CD143)+COUNTIF($CD$128:CD143,CD143),"000"))</f>
        <v/>
      </c>
      <c r="V143" s="9" t="str">
        <f>IF(AND($BN$24&lt;&gt;"",($BM$24+16)&lt;=$BO$24),$BN$24,"")</f>
        <v/>
      </c>
      <c r="W143" s="9" t="str">
        <f>IF(AND($BN$24&lt;&gt;"",($BM$24+16)&lt;=$BO$24),TEXT(($BM$24+16),"00"),"")</f>
        <v/>
      </c>
      <c r="X143" s="9" t="str">
        <f>IF(AND($BN$24&lt;&gt;"",($BM$24+16)&lt;=$BO$24),$BN$24&amp;"-"&amp;TEXT(($BM$24+16),"00"),"")</f>
        <v/>
      </c>
      <c r="CA143" t="str" cm="1">
        <f t="array" ref="CA143">IF(NOT(AND($BN$21&lt;&gt;"",($BM$21+16)&lt;=$BO$21)),"",IF(B143&lt;&gt;"",IF(B143="-","",B143),IF(ISNUMBER(SEARCH(":",$BP$21)),IFERROR(_xlfn.LET(_xlpm.s,_xlfn.TEXTSPLIT($BP$21,","),_xlpm.k,FIND(":",_xlpm.s),INDEX(TRIM(LEFT(_xlpm.s,_xlpm.k-1)),_xlfn.XMATCH(($BM$21+16),_xlfn.SCAN(0,--MID(_xlpm.s,_xlpm.k+1,9),_xlfn.LAMBDA(_xlpm.a,_xlpm.v,_xlpm.a+_xlpm.v)),1))),""),IF(($BM$21+16)&lt;=$BQ$21,$BP$21,""))))</f>
        <v/>
      </c>
      <c r="CB143" t="str" cm="1">
        <f t="array" ref="CB143">IF(NOT(AND($BN$22&lt;&gt;"",($BM$22+16)&lt;=$BO$22)),"",IF(H143&lt;&gt;"",IF(H143="-","",H143),IF(ISNUMBER(SEARCH(":",$BP$22)),IFERROR(_xlfn.LET(_xlpm.s,_xlfn.TEXTSPLIT($BP$22,","),_xlpm.k,FIND(":",_xlpm.s),INDEX(TRIM(LEFT(_xlpm.s,_xlpm.k-1)),_xlfn.XMATCH(($BM$22+16),_xlfn.SCAN(0,--MID(_xlpm.s,_xlpm.k+1,9),_xlfn.LAMBDA(_xlpm.a,_xlpm.v,_xlpm.a+_xlpm.v)),1))),""),IF(($BM$22+16)&lt;=$BQ$22,$BP$22,""))))</f>
        <v/>
      </c>
      <c r="CC143" t="str" cm="1">
        <f t="array" ref="CC143">IF(NOT(AND($BN$23&lt;&gt;"",($BM$23+16)&lt;=$BO$23)),"",IF(N143&lt;&gt;"",IF(N143="-","",N143),IF(ISNUMBER(SEARCH(":",$BP$23)),IFERROR(_xlfn.LET(_xlpm.s,_xlfn.TEXTSPLIT($BP$23,","),_xlpm.k,FIND(":",_xlpm.s),INDEX(TRIM(LEFT(_xlpm.s,_xlpm.k-1)),_xlfn.XMATCH(($BM$23+16),_xlfn.SCAN(0,--MID(_xlpm.s,_xlpm.k+1,9),_xlfn.LAMBDA(_xlpm.a,_xlpm.v,_xlpm.a+_xlpm.v)),1))),""),IF(($BM$23+16)&lt;=$BQ$23,$BP$23,""))))</f>
        <v/>
      </c>
      <c r="CD143" t="str" cm="1">
        <f t="array" ref="CD143">IF(NOT(AND($BN$24&lt;&gt;"",($BM$24+16)&lt;=$BO$24)),"",IF(T143&lt;&gt;"",IF(T143="-","",T143),IF(ISNUMBER(SEARCH(":",$BP$24)),IFERROR(_xlfn.LET(_xlpm.s,_xlfn.TEXTSPLIT($BP$24,","),_xlpm.k,FIND(":",_xlpm.s),INDEX(TRIM(LEFT(_xlpm.s,_xlpm.k-1)),_xlfn.XMATCH(($BM$24+16),_xlfn.SCAN(0,--MID(_xlpm.s,_xlpm.k+1,9),_xlfn.LAMBDA(_xlpm.a,_xlpm.v,_xlpm.a+_xlpm.v)),1))),""),IF(($BM$24+16)&lt;=$BQ$24,$BP$24,""))))</f>
        <v/>
      </c>
    </row>
    <row r="144" spans="2:82" hidden="1" x14ac:dyDescent="0.45">
      <c r="B144" s="6"/>
      <c r="C144" s="9" t="str">
        <f>IF(CA144="","",CA144&amp;"-"&amp;TEXT(COUNTIF($CA$72:$CA$95,CA144)+COUNTIF($CB$72:$CB$95,CA144)+COUNTIF($CC$72:$CC$95,CA144)+COUNTIF($CD$72:$CD$95,CA144)+COUNTIF($CA$100:$CA$123,CA144)+COUNTIF($CB$100:$CB$123,CA144)+COUNTIF($CC$100:$CC$123,CA144)+COUNTIF($CD$100:$CD$123,CA144)+COUNTIF($CA$128:CA144,CA144),"000"))</f>
        <v/>
      </c>
      <c r="D144" s="9" t="str">
        <f>IF(AND($BN$21&lt;&gt;"",($BM$21+17)&lt;=$BO$21),$BN$21,"")</f>
        <v/>
      </c>
      <c r="E144" s="9" t="str">
        <f>IF(AND($BN$21&lt;&gt;"",($BM$21+17)&lt;=$BO$21),TEXT(($BM$21+17),"00"),"")</f>
        <v/>
      </c>
      <c r="F144" s="9" t="str">
        <f>IF(AND($BN$21&lt;&gt;"",($BM$21+17)&lt;=$BO$21),$BN$21&amp;"-"&amp;TEXT(($BM$21+17),"00"),"")</f>
        <v/>
      </c>
      <c r="H144" s="6"/>
      <c r="I144" s="9" t="str">
        <f>IF(CB144="","",CB144&amp;"-"&amp;TEXT(COUNTIF($CA$72:$CA$95,CB144)+COUNTIF($CB$72:$CB$95,CB144)+COUNTIF($CC$72:$CC$95,CB144)+COUNTIF($CD$72:$CD$95,CB144)+COUNTIF($CA$100:$CA$123,CB144)+COUNTIF($CB$100:$CB$123,CB144)+COUNTIF($CC$100:$CC$123,CB144)+COUNTIF($CD$100:$CD$123,CB144)+COUNTIF($CA$128:$CA$151,CB144)+COUNTIF($CB$128:CB144,CB144),"000"))</f>
        <v/>
      </c>
      <c r="J144" s="9" t="str">
        <f>IF(AND($BN$22&lt;&gt;"",($BM$22+17)&lt;=$BO$22),$BN$22,"")</f>
        <v/>
      </c>
      <c r="K144" s="9" t="str">
        <f>IF(AND($BN$22&lt;&gt;"",($BM$22+17)&lt;=$BO$22),TEXT(($BM$22+17),"00"),"")</f>
        <v/>
      </c>
      <c r="L144" s="9" t="str">
        <f>IF(AND($BN$22&lt;&gt;"",($BM$22+17)&lt;=$BO$22),$BN$22&amp;"-"&amp;TEXT(($BM$22+17),"00"),"")</f>
        <v/>
      </c>
      <c r="N144" s="6"/>
      <c r="O144" s="9" t="str">
        <f>IF(CC144="","",CC144&amp;"-"&amp;TEXT(COUNTIF($CA$72:$CA$95,CC144)+COUNTIF($CB$72:$CB$95,CC144)+COUNTIF($CC$72:$CC$95,CC144)+COUNTIF($CD$72:$CD$95,CC144)+COUNTIF($CA$100:$CA$123,CC144)+COUNTIF($CB$100:$CB$123,CC144)+COUNTIF($CC$100:$CC$123,CC144)+COUNTIF($CD$100:$CD$123,CC144)+COUNTIF($CA$128:$CA$151,CC144)+COUNTIF($CB$128:$CB$151,CC144)+COUNTIF($CC$128:CC144,CC144),"000"))</f>
        <v/>
      </c>
      <c r="P144" s="9" t="str">
        <f>IF(AND($BN$23&lt;&gt;"",($BM$23+17)&lt;=$BO$23),$BN$23,"")</f>
        <v/>
      </c>
      <c r="Q144" s="9" t="str">
        <f>IF(AND($BN$23&lt;&gt;"",($BM$23+17)&lt;=$BO$23),TEXT(($BM$23+17),"00"),"")</f>
        <v/>
      </c>
      <c r="R144" s="9" t="str">
        <f>IF(AND($BN$23&lt;&gt;"",($BM$23+17)&lt;=$BO$23),$BN$23&amp;"-"&amp;TEXT(($BM$23+17),"00"),"")</f>
        <v/>
      </c>
      <c r="T144" s="6"/>
      <c r="U144" s="9" t="str">
        <f>IF(CD144="","",CD144&amp;"-"&amp;TEXT(COUNTIF($CA$72:$CA$95,CD144)+COUNTIF($CB$72:$CB$95,CD144)+COUNTIF($CC$72:$CC$95,CD144)+COUNTIF($CD$72:$CD$95,CD144)+COUNTIF($CA$100:$CA$123,CD144)+COUNTIF($CB$100:$CB$123,CD144)+COUNTIF($CC$100:$CC$123,CD144)+COUNTIF($CD$100:$CD$123,CD144)+COUNTIF($CA$128:$CA$151,CD144)+COUNTIF($CB$128:$CB$151,CD144)+COUNTIF($CC$128:$CC$151,CD144)+COUNTIF($CD$128:CD144,CD144),"000"))</f>
        <v/>
      </c>
      <c r="V144" s="9" t="str">
        <f>IF(AND($BN$24&lt;&gt;"",($BM$24+17)&lt;=$BO$24),$BN$24,"")</f>
        <v/>
      </c>
      <c r="W144" s="9" t="str">
        <f>IF(AND($BN$24&lt;&gt;"",($BM$24+17)&lt;=$BO$24),TEXT(($BM$24+17),"00"),"")</f>
        <v/>
      </c>
      <c r="X144" s="9" t="str">
        <f>IF(AND($BN$24&lt;&gt;"",($BM$24+17)&lt;=$BO$24),$BN$24&amp;"-"&amp;TEXT(($BM$24+17),"00"),"")</f>
        <v/>
      </c>
      <c r="CA144" t="str" cm="1">
        <f t="array" ref="CA144">IF(NOT(AND($BN$21&lt;&gt;"",($BM$21+17)&lt;=$BO$21)),"",IF(B144&lt;&gt;"",IF(B144="-","",B144),IF(ISNUMBER(SEARCH(":",$BP$21)),IFERROR(_xlfn.LET(_xlpm.s,_xlfn.TEXTSPLIT($BP$21,","),_xlpm.k,FIND(":",_xlpm.s),INDEX(TRIM(LEFT(_xlpm.s,_xlpm.k-1)),_xlfn.XMATCH(($BM$21+17),_xlfn.SCAN(0,--MID(_xlpm.s,_xlpm.k+1,9),_xlfn.LAMBDA(_xlpm.a,_xlpm.v,_xlpm.a+_xlpm.v)),1))),""),IF(($BM$21+17)&lt;=$BQ$21,$BP$21,""))))</f>
        <v/>
      </c>
      <c r="CB144" t="str" cm="1">
        <f t="array" ref="CB144">IF(NOT(AND($BN$22&lt;&gt;"",($BM$22+17)&lt;=$BO$22)),"",IF(H144&lt;&gt;"",IF(H144="-","",H144),IF(ISNUMBER(SEARCH(":",$BP$22)),IFERROR(_xlfn.LET(_xlpm.s,_xlfn.TEXTSPLIT($BP$22,","),_xlpm.k,FIND(":",_xlpm.s),INDEX(TRIM(LEFT(_xlpm.s,_xlpm.k-1)),_xlfn.XMATCH(($BM$22+17),_xlfn.SCAN(0,--MID(_xlpm.s,_xlpm.k+1,9),_xlfn.LAMBDA(_xlpm.a,_xlpm.v,_xlpm.a+_xlpm.v)),1))),""),IF(($BM$22+17)&lt;=$BQ$22,$BP$22,""))))</f>
        <v/>
      </c>
      <c r="CC144" t="str" cm="1">
        <f t="array" ref="CC144">IF(NOT(AND($BN$23&lt;&gt;"",($BM$23+17)&lt;=$BO$23)),"",IF(N144&lt;&gt;"",IF(N144="-","",N144),IF(ISNUMBER(SEARCH(":",$BP$23)),IFERROR(_xlfn.LET(_xlpm.s,_xlfn.TEXTSPLIT($BP$23,","),_xlpm.k,FIND(":",_xlpm.s),INDEX(TRIM(LEFT(_xlpm.s,_xlpm.k-1)),_xlfn.XMATCH(($BM$23+17),_xlfn.SCAN(0,--MID(_xlpm.s,_xlpm.k+1,9),_xlfn.LAMBDA(_xlpm.a,_xlpm.v,_xlpm.a+_xlpm.v)),1))),""),IF(($BM$23+17)&lt;=$BQ$23,$BP$23,""))))</f>
        <v/>
      </c>
      <c r="CD144" t="str" cm="1">
        <f t="array" ref="CD144">IF(NOT(AND($BN$24&lt;&gt;"",($BM$24+17)&lt;=$BO$24)),"",IF(T144&lt;&gt;"",IF(T144="-","",T144),IF(ISNUMBER(SEARCH(":",$BP$24)),IFERROR(_xlfn.LET(_xlpm.s,_xlfn.TEXTSPLIT($BP$24,","),_xlpm.k,FIND(":",_xlpm.s),INDEX(TRIM(LEFT(_xlpm.s,_xlpm.k-1)),_xlfn.XMATCH(($BM$24+17),_xlfn.SCAN(0,--MID(_xlpm.s,_xlpm.k+1,9),_xlfn.LAMBDA(_xlpm.a,_xlpm.v,_xlpm.a+_xlpm.v)),1))),""),IF(($BM$24+17)&lt;=$BQ$24,$BP$24,""))))</f>
        <v/>
      </c>
    </row>
    <row r="145" spans="2:82" hidden="1" x14ac:dyDescent="0.45">
      <c r="B145" s="6"/>
      <c r="C145" s="9" t="str">
        <f>IF(CA145="","",CA145&amp;"-"&amp;TEXT(COUNTIF($CA$72:$CA$95,CA145)+COUNTIF($CB$72:$CB$95,CA145)+COUNTIF($CC$72:$CC$95,CA145)+COUNTIF($CD$72:$CD$95,CA145)+COUNTIF($CA$100:$CA$123,CA145)+COUNTIF($CB$100:$CB$123,CA145)+COUNTIF($CC$100:$CC$123,CA145)+COUNTIF($CD$100:$CD$123,CA145)+COUNTIF($CA$128:CA145,CA145),"000"))</f>
        <v/>
      </c>
      <c r="D145" s="9" t="str">
        <f>IF(AND($BN$21&lt;&gt;"",($BM$21+18)&lt;=$BO$21),$BN$21,"")</f>
        <v/>
      </c>
      <c r="E145" s="9" t="str">
        <f>IF(AND($BN$21&lt;&gt;"",($BM$21+18)&lt;=$BO$21),TEXT(($BM$21+18),"00"),"")</f>
        <v/>
      </c>
      <c r="F145" s="9" t="str">
        <f>IF(AND($BN$21&lt;&gt;"",($BM$21+18)&lt;=$BO$21),$BN$21&amp;"-"&amp;TEXT(($BM$21+18),"00"),"")</f>
        <v/>
      </c>
      <c r="H145" s="6"/>
      <c r="I145" s="9" t="str">
        <f>IF(CB145="","",CB145&amp;"-"&amp;TEXT(COUNTIF($CA$72:$CA$95,CB145)+COUNTIF($CB$72:$CB$95,CB145)+COUNTIF($CC$72:$CC$95,CB145)+COUNTIF($CD$72:$CD$95,CB145)+COUNTIF($CA$100:$CA$123,CB145)+COUNTIF($CB$100:$CB$123,CB145)+COUNTIF($CC$100:$CC$123,CB145)+COUNTIF($CD$100:$CD$123,CB145)+COUNTIF($CA$128:$CA$151,CB145)+COUNTIF($CB$128:CB145,CB145),"000"))</f>
        <v/>
      </c>
      <c r="J145" s="9" t="str">
        <f>IF(AND($BN$22&lt;&gt;"",($BM$22+18)&lt;=$BO$22),$BN$22,"")</f>
        <v/>
      </c>
      <c r="K145" s="9" t="str">
        <f>IF(AND($BN$22&lt;&gt;"",($BM$22+18)&lt;=$BO$22),TEXT(($BM$22+18),"00"),"")</f>
        <v/>
      </c>
      <c r="L145" s="9" t="str">
        <f>IF(AND($BN$22&lt;&gt;"",($BM$22+18)&lt;=$BO$22),$BN$22&amp;"-"&amp;TEXT(($BM$22+18),"00"),"")</f>
        <v/>
      </c>
      <c r="N145" s="6"/>
      <c r="O145" s="9" t="str">
        <f>IF(CC145="","",CC145&amp;"-"&amp;TEXT(COUNTIF($CA$72:$CA$95,CC145)+COUNTIF($CB$72:$CB$95,CC145)+COUNTIF($CC$72:$CC$95,CC145)+COUNTIF($CD$72:$CD$95,CC145)+COUNTIF($CA$100:$CA$123,CC145)+COUNTIF($CB$100:$CB$123,CC145)+COUNTIF($CC$100:$CC$123,CC145)+COUNTIF($CD$100:$CD$123,CC145)+COUNTIF($CA$128:$CA$151,CC145)+COUNTIF($CB$128:$CB$151,CC145)+COUNTIF($CC$128:CC145,CC145),"000"))</f>
        <v/>
      </c>
      <c r="P145" s="9" t="str">
        <f>IF(AND($BN$23&lt;&gt;"",($BM$23+18)&lt;=$BO$23),$BN$23,"")</f>
        <v/>
      </c>
      <c r="Q145" s="9" t="str">
        <f>IF(AND($BN$23&lt;&gt;"",($BM$23+18)&lt;=$BO$23),TEXT(($BM$23+18),"00"),"")</f>
        <v/>
      </c>
      <c r="R145" s="9" t="str">
        <f>IF(AND($BN$23&lt;&gt;"",($BM$23+18)&lt;=$BO$23),$BN$23&amp;"-"&amp;TEXT(($BM$23+18),"00"),"")</f>
        <v/>
      </c>
      <c r="T145" s="6"/>
      <c r="U145" s="9" t="str">
        <f>IF(CD145="","",CD145&amp;"-"&amp;TEXT(COUNTIF($CA$72:$CA$95,CD145)+COUNTIF($CB$72:$CB$95,CD145)+COUNTIF($CC$72:$CC$95,CD145)+COUNTIF($CD$72:$CD$95,CD145)+COUNTIF($CA$100:$CA$123,CD145)+COUNTIF($CB$100:$CB$123,CD145)+COUNTIF($CC$100:$CC$123,CD145)+COUNTIF($CD$100:$CD$123,CD145)+COUNTIF($CA$128:$CA$151,CD145)+COUNTIF($CB$128:$CB$151,CD145)+COUNTIF($CC$128:$CC$151,CD145)+COUNTIF($CD$128:CD145,CD145),"000"))</f>
        <v/>
      </c>
      <c r="V145" s="9" t="str">
        <f>IF(AND($BN$24&lt;&gt;"",($BM$24+18)&lt;=$BO$24),$BN$24,"")</f>
        <v/>
      </c>
      <c r="W145" s="9" t="str">
        <f>IF(AND($BN$24&lt;&gt;"",($BM$24+18)&lt;=$BO$24),TEXT(($BM$24+18),"00"),"")</f>
        <v/>
      </c>
      <c r="X145" s="9" t="str">
        <f>IF(AND($BN$24&lt;&gt;"",($BM$24+18)&lt;=$BO$24),$BN$24&amp;"-"&amp;TEXT(($BM$24+18),"00"),"")</f>
        <v/>
      </c>
      <c r="CA145" t="str" cm="1">
        <f t="array" ref="CA145">IF(NOT(AND($BN$21&lt;&gt;"",($BM$21+18)&lt;=$BO$21)),"",IF(B145&lt;&gt;"",IF(B145="-","",B145),IF(ISNUMBER(SEARCH(":",$BP$21)),IFERROR(_xlfn.LET(_xlpm.s,_xlfn.TEXTSPLIT($BP$21,","),_xlpm.k,FIND(":",_xlpm.s),INDEX(TRIM(LEFT(_xlpm.s,_xlpm.k-1)),_xlfn.XMATCH(($BM$21+18),_xlfn.SCAN(0,--MID(_xlpm.s,_xlpm.k+1,9),_xlfn.LAMBDA(_xlpm.a,_xlpm.v,_xlpm.a+_xlpm.v)),1))),""),IF(($BM$21+18)&lt;=$BQ$21,$BP$21,""))))</f>
        <v/>
      </c>
      <c r="CB145" t="str" cm="1">
        <f t="array" ref="CB145">IF(NOT(AND($BN$22&lt;&gt;"",($BM$22+18)&lt;=$BO$22)),"",IF(H145&lt;&gt;"",IF(H145="-","",H145),IF(ISNUMBER(SEARCH(":",$BP$22)),IFERROR(_xlfn.LET(_xlpm.s,_xlfn.TEXTSPLIT($BP$22,","),_xlpm.k,FIND(":",_xlpm.s),INDEX(TRIM(LEFT(_xlpm.s,_xlpm.k-1)),_xlfn.XMATCH(($BM$22+18),_xlfn.SCAN(0,--MID(_xlpm.s,_xlpm.k+1,9),_xlfn.LAMBDA(_xlpm.a,_xlpm.v,_xlpm.a+_xlpm.v)),1))),""),IF(($BM$22+18)&lt;=$BQ$22,$BP$22,""))))</f>
        <v/>
      </c>
      <c r="CC145" t="str" cm="1">
        <f t="array" ref="CC145">IF(NOT(AND($BN$23&lt;&gt;"",($BM$23+18)&lt;=$BO$23)),"",IF(N145&lt;&gt;"",IF(N145="-","",N145),IF(ISNUMBER(SEARCH(":",$BP$23)),IFERROR(_xlfn.LET(_xlpm.s,_xlfn.TEXTSPLIT($BP$23,","),_xlpm.k,FIND(":",_xlpm.s),INDEX(TRIM(LEFT(_xlpm.s,_xlpm.k-1)),_xlfn.XMATCH(($BM$23+18),_xlfn.SCAN(0,--MID(_xlpm.s,_xlpm.k+1,9),_xlfn.LAMBDA(_xlpm.a,_xlpm.v,_xlpm.a+_xlpm.v)),1))),""),IF(($BM$23+18)&lt;=$BQ$23,$BP$23,""))))</f>
        <v/>
      </c>
      <c r="CD145" t="str" cm="1">
        <f t="array" ref="CD145">IF(NOT(AND($BN$24&lt;&gt;"",($BM$24+18)&lt;=$BO$24)),"",IF(T145&lt;&gt;"",IF(T145="-","",T145),IF(ISNUMBER(SEARCH(":",$BP$24)),IFERROR(_xlfn.LET(_xlpm.s,_xlfn.TEXTSPLIT($BP$24,","),_xlpm.k,FIND(":",_xlpm.s),INDEX(TRIM(LEFT(_xlpm.s,_xlpm.k-1)),_xlfn.XMATCH(($BM$24+18),_xlfn.SCAN(0,--MID(_xlpm.s,_xlpm.k+1,9),_xlfn.LAMBDA(_xlpm.a,_xlpm.v,_xlpm.a+_xlpm.v)),1))),""),IF(($BM$24+18)&lt;=$BQ$24,$BP$24,""))))</f>
        <v/>
      </c>
    </row>
    <row r="146" spans="2:82" hidden="1" x14ac:dyDescent="0.45">
      <c r="B146" s="6"/>
      <c r="C146" s="9" t="str">
        <f>IF(CA146="","",CA146&amp;"-"&amp;TEXT(COUNTIF($CA$72:$CA$95,CA146)+COUNTIF($CB$72:$CB$95,CA146)+COUNTIF($CC$72:$CC$95,CA146)+COUNTIF($CD$72:$CD$95,CA146)+COUNTIF($CA$100:$CA$123,CA146)+COUNTIF($CB$100:$CB$123,CA146)+COUNTIF($CC$100:$CC$123,CA146)+COUNTIF($CD$100:$CD$123,CA146)+COUNTIF($CA$128:CA146,CA146),"000"))</f>
        <v/>
      </c>
      <c r="D146" s="9" t="str">
        <f>IF(AND($BN$21&lt;&gt;"",($BM$21+19)&lt;=$BO$21),$BN$21,"")</f>
        <v/>
      </c>
      <c r="E146" s="9" t="str">
        <f>IF(AND($BN$21&lt;&gt;"",($BM$21+19)&lt;=$BO$21),TEXT(($BM$21+19),"00"),"")</f>
        <v/>
      </c>
      <c r="F146" s="9" t="str">
        <f>IF(AND($BN$21&lt;&gt;"",($BM$21+19)&lt;=$BO$21),$BN$21&amp;"-"&amp;TEXT(($BM$21+19),"00"),"")</f>
        <v/>
      </c>
      <c r="H146" s="6"/>
      <c r="I146" s="9" t="str">
        <f>IF(CB146="","",CB146&amp;"-"&amp;TEXT(COUNTIF($CA$72:$CA$95,CB146)+COUNTIF($CB$72:$CB$95,CB146)+COUNTIF($CC$72:$CC$95,CB146)+COUNTIF($CD$72:$CD$95,CB146)+COUNTIF($CA$100:$CA$123,CB146)+COUNTIF($CB$100:$CB$123,CB146)+COUNTIF($CC$100:$CC$123,CB146)+COUNTIF($CD$100:$CD$123,CB146)+COUNTIF($CA$128:$CA$151,CB146)+COUNTIF($CB$128:CB146,CB146),"000"))</f>
        <v/>
      </c>
      <c r="J146" s="9" t="str">
        <f>IF(AND($BN$22&lt;&gt;"",($BM$22+19)&lt;=$BO$22),$BN$22,"")</f>
        <v/>
      </c>
      <c r="K146" s="9" t="str">
        <f>IF(AND($BN$22&lt;&gt;"",($BM$22+19)&lt;=$BO$22),TEXT(($BM$22+19),"00"),"")</f>
        <v/>
      </c>
      <c r="L146" s="9" t="str">
        <f>IF(AND($BN$22&lt;&gt;"",($BM$22+19)&lt;=$BO$22),$BN$22&amp;"-"&amp;TEXT(($BM$22+19),"00"),"")</f>
        <v/>
      </c>
      <c r="N146" s="6"/>
      <c r="O146" s="9" t="str">
        <f>IF(CC146="","",CC146&amp;"-"&amp;TEXT(COUNTIF($CA$72:$CA$95,CC146)+COUNTIF($CB$72:$CB$95,CC146)+COUNTIF($CC$72:$CC$95,CC146)+COUNTIF($CD$72:$CD$95,CC146)+COUNTIF($CA$100:$CA$123,CC146)+COUNTIF($CB$100:$CB$123,CC146)+COUNTIF($CC$100:$CC$123,CC146)+COUNTIF($CD$100:$CD$123,CC146)+COUNTIF($CA$128:$CA$151,CC146)+COUNTIF($CB$128:$CB$151,CC146)+COUNTIF($CC$128:CC146,CC146),"000"))</f>
        <v/>
      </c>
      <c r="P146" s="9" t="str">
        <f>IF(AND($BN$23&lt;&gt;"",($BM$23+19)&lt;=$BO$23),$BN$23,"")</f>
        <v/>
      </c>
      <c r="Q146" s="9" t="str">
        <f>IF(AND($BN$23&lt;&gt;"",($BM$23+19)&lt;=$BO$23),TEXT(($BM$23+19),"00"),"")</f>
        <v/>
      </c>
      <c r="R146" s="9" t="str">
        <f>IF(AND($BN$23&lt;&gt;"",($BM$23+19)&lt;=$BO$23),$BN$23&amp;"-"&amp;TEXT(($BM$23+19),"00"),"")</f>
        <v/>
      </c>
      <c r="T146" s="6"/>
      <c r="U146" s="9" t="str">
        <f>IF(CD146="","",CD146&amp;"-"&amp;TEXT(COUNTIF($CA$72:$CA$95,CD146)+COUNTIF($CB$72:$CB$95,CD146)+COUNTIF($CC$72:$CC$95,CD146)+COUNTIF($CD$72:$CD$95,CD146)+COUNTIF($CA$100:$CA$123,CD146)+COUNTIF($CB$100:$CB$123,CD146)+COUNTIF($CC$100:$CC$123,CD146)+COUNTIF($CD$100:$CD$123,CD146)+COUNTIF($CA$128:$CA$151,CD146)+COUNTIF($CB$128:$CB$151,CD146)+COUNTIF($CC$128:$CC$151,CD146)+COUNTIF($CD$128:CD146,CD146),"000"))</f>
        <v/>
      </c>
      <c r="V146" s="9" t="str">
        <f>IF(AND($BN$24&lt;&gt;"",($BM$24+19)&lt;=$BO$24),$BN$24,"")</f>
        <v/>
      </c>
      <c r="W146" s="9" t="str">
        <f>IF(AND($BN$24&lt;&gt;"",($BM$24+19)&lt;=$BO$24),TEXT(($BM$24+19),"00"),"")</f>
        <v/>
      </c>
      <c r="X146" s="9" t="str">
        <f>IF(AND($BN$24&lt;&gt;"",($BM$24+19)&lt;=$BO$24),$BN$24&amp;"-"&amp;TEXT(($BM$24+19),"00"),"")</f>
        <v/>
      </c>
      <c r="CA146" t="str" cm="1">
        <f t="array" ref="CA146">IF(NOT(AND($BN$21&lt;&gt;"",($BM$21+19)&lt;=$BO$21)),"",IF(B146&lt;&gt;"",IF(B146="-","",B146),IF(ISNUMBER(SEARCH(":",$BP$21)),IFERROR(_xlfn.LET(_xlpm.s,_xlfn.TEXTSPLIT($BP$21,","),_xlpm.k,FIND(":",_xlpm.s),INDEX(TRIM(LEFT(_xlpm.s,_xlpm.k-1)),_xlfn.XMATCH(($BM$21+19),_xlfn.SCAN(0,--MID(_xlpm.s,_xlpm.k+1,9),_xlfn.LAMBDA(_xlpm.a,_xlpm.v,_xlpm.a+_xlpm.v)),1))),""),IF(($BM$21+19)&lt;=$BQ$21,$BP$21,""))))</f>
        <v/>
      </c>
      <c r="CB146" t="str" cm="1">
        <f t="array" ref="CB146">IF(NOT(AND($BN$22&lt;&gt;"",($BM$22+19)&lt;=$BO$22)),"",IF(H146&lt;&gt;"",IF(H146="-","",H146),IF(ISNUMBER(SEARCH(":",$BP$22)),IFERROR(_xlfn.LET(_xlpm.s,_xlfn.TEXTSPLIT($BP$22,","),_xlpm.k,FIND(":",_xlpm.s),INDEX(TRIM(LEFT(_xlpm.s,_xlpm.k-1)),_xlfn.XMATCH(($BM$22+19),_xlfn.SCAN(0,--MID(_xlpm.s,_xlpm.k+1,9),_xlfn.LAMBDA(_xlpm.a,_xlpm.v,_xlpm.a+_xlpm.v)),1))),""),IF(($BM$22+19)&lt;=$BQ$22,$BP$22,""))))</f>
        <v/>
      </c>
      <c r="CC146" t="str" cm="1">
        <f t="array" ref="CC146">IF(NOT(AND($BN$23&lt;&gt;"",($BM$23+19)&lt;=$BO$23)),"",IF(N146&lt;&gt;"",IF(N146="-","",N146),IF(ISNUMBER(SEARCH(":",$BP$23)),IFERROR(_xlfn.LET(_xlpm.s,_xlfn.TEXTSPLIT($BP$23,","),_xlpm.k,FIND(":",_xlpm.s),INDEX(TRIM(LEFT(_xlpm.s,_xlpm.k-1)),_xlfn.XMATCH(($BM$23+19),_xlfn.SCAN(0,--MID(_xlpm.s,_xlpm.k+1,9),_xlfn.LAMBDA(_xlpm.a,_xlpm.v,_xlpm.a+_xlpm.v)),1))),""),IF(($BM$23+19)&lt;=$BQ$23,$BP$23,""))))</f>
        <v/>
      </c>
      <c r="CD146" t="str" cm="1">
        <f t="array" ref="CD146">IF(NOT(AND($BN$24&lt;&gt;"",($BM$24+19)&lt;=$BO$24)),"",IF(T146&lt;&gt;"",IF(T146="-","",T146),IF(ISNUMBER(SEARCH(":",$BP$24)),IFERROR(_xlfn.LET(_xlpm.s,_xlfn.TEXTSPLIT($BP$24,","),_xlpm.k,FIND(":",_xlpm.s),INDEX(TRIM(LEFT(_xlpm.s,_xlpm.k-1)),_xlfn.XMATCH(($BM$24+19),_xlfn.SCAN(0,--MID(_xlpm.s,_xlpm.k+1,9),_xlfn.LAMBDA(_xlpm.a,_xlpm.v,_xlpm.a+_xlpm.v)),1))),""),IF(($BM$24+19)&lt;=$BQ$24,$BP$24,""))))</f>
        <v/>
      </c>
    </row>
    <row r="147" spans="2:82" hidden="1" x14ac:dyDescent="0.45">
      <c r="B147" s="6"/>
      <c r="C147" s="9" t="str">
        <f>IF(CA147="","",CA147&amp;"-"&amp;TEXT(COUNTIF($CA$72:$CA$95,CA147)+COUNTIF($CB$72:$CB$95,CA147)+COUNTIF($CC$72:$CC$95,CA147)+COUNTIF($CD$72:$CD$95,CA147)+COUNTIF($CA$100:$CA$123,CA147)+COUNTIF($CB$100:$CB$123,CA147)+COUNTIF($CC$100:$CC$123,CA147)+COUNTIF($CD$100:$CD$123,CA147)+COUNTIF($CA$128:CA147,CA147),"000"))</f>
        <v/>
      </c>
      <c r="D147" s="9" t="str">
        <f>IF(AND($BN$21&lt;&gt;"",($BM$21+20)&lt;=$BO$21),$BN$21,"")</f>
        <v/>
      </c>
      <c r="E147" s="9" t="str">
        <f>IF(AND($BN$21&lt;&gt;"",($BM$21+20)&lt;=$BO$21),TEXT(($BM$21+20),"00"),"")</f>
        <v/>
      </c>
      <c r="F147" s="9" t="str">
        <f>IF(AND($BN$21&lt;&gt;"",($BM$21+20)&lt;=$BO$21),$BN$21&amp;"-"&amp;TEXT(($BM$21+20),"00"),"")</f>
        <v/>
      </c>
      <c r="H147" s="6"/>
      <c r="I147" s="9" t="str">
        <f>IF(CB147="","",CB147&amp;"-"&amp;TEXT(COUNTIF($CA$72:$CA$95,CB147)+COUNTIF($CB$72:$CB$95,CB147)+COUNTIF($CC$72:$CC$95,CB147)+COUNTIF($CD$72:$CD$95,CB147)+COUNTIF($CA$100:$CA$123,CB147)+COUNTIF($CB$100:$CB$123,CB147)+COUNTIF($CC$100:$CC$123,CB147)+COUNTIF($CD$100:$CD$123,CB147)+COUNTIF($CA$128:$CA$151,CB147)+COUNTIF($CB$128:CB147,CB147),"000"))</f>
        <v/>
      </c>
      <c r="J147" s="9" t="str">
        <f>IF(AND($BN$22&lt;&gt;"",($BM$22+20)&lt;=$BO$22),$BN$22,"")</f>
        <v/>
      </c>
      <c r="K147" s="9" t="str">
        <f>IF(AND($BN$22&lt;&gt;"",($BM$22+20)&lt;=$BO$22),TEXT(($BM$22+20),"00"),"")</f>
        <v/>
      </c>
      <c r="L147" s="9" t="str">
        <f>IF(AND($BN$22&lt;&gt;"",($BM$22+20)&lt;=$BO$22),$BN$22&amp;"-"&amp;TEXT(($BM$22+20),"00"),"")</f>
        <v/>
      </c>
      <c r="N147" s="6"/>
      <c r="O147" s="9" t="str">
        <f>IF(CC147="","",CC147&amp;"-"&amp;TEXT(COUNTIF($CA$72:$CA$95,CC147)+COUNTIF($CB$72:$CB$95,CC147)+COUNTIF($CC$72:$CC$95,CC147)+COUNTIF($CD$72:$CD$95,CC147)+COUNTIF($CA$100:$CA$123,CC147)+COUNTIF($CB$100:$CB$123,CC147)+COUNTIF($CC$100:$CC$123,CC147)+COUNTIF($CD$100:$CD$123,CC147)+COUNTIF($CA$128:$CA$151,CC147)+COUNTIF($CB$128:$CB$151,CC147)+COUNTIF($CC$128:CC147,CC147),"000"))</f>
        <v/>
      </c>
      <c r="P147" s="9" t="str">
        <f>IF(AND($BN$23&lt;&gt;"",($BM$23+20)&lt;=$BO$23),$BN$23,"")</f>
        <v/>
      </c>
      <c r="Q147" s="9" t="str">
        <f>IF(AND($BN$23&lt;&gt;"",($BM$23+20)&lt;=$BO$23),TEXT(($BM$23+20),"00"),"")</f>
        <v/>
      </c>
      <c r="R147" s="9" t="str">
        <f>IF(AND($BN$23&lt;&gt;"",($BM$23+20)&lt;=$BO$23),$BN$23&amp;"-"&amp;TEXT(($BM$23+20),"00"),"")</f>
        <v/>
      </c>
      <c r="T147" s="6"/>
      <c r="U147" s="9" t="str">
        <f>IF(CD147="","",CD147&amp;"-"&amp;TEXT(COUNTIF($CA$72:$CA$95,CD147)+COUNTIF($CB$72:$CB$95,CD147)+COUNTIF($CC$72:$CC$95,CD147)+COUNTIF($CD$72:$CD$95,CD147)+COUNTIF($CA$100:$CA$123,CD147)+COUNTIF($CB$100:$CB$123,CD147)+COUNTIF($CC$100:$CC$123,CD147)+COUNTIF($CD$100:$CD$123,CD147)+COUNTIF($CA$128:$CA$151,CD147)+COUNTIF($CB$128:$CB$151,CD147)+COUNTIF($CC$128:$CC$151,CD147)+COUNTIF($CD$128:CD147,CD147),"000"))</f>
        <v/>
      </c>
      <c r="V147" s="9" t="str">
        <f>IF(AND($BN$24&lt;&gt;"",($BM$24+20)&lt;=$BO$24),$BN$24,"")</f>
        <v/>
      </c>
      <c r="W147" s="9" t="str">
        <f>IF(AND($BN$24&lt;&gt;"",($BM$24+20)&lt;=$BO$24),TEXT(($BM$24+20),"00"),"")</f>
        <v/>
      </c>
      <c r="X147" s="9" t="str">
        <f>IF(AND($BN$24&lt;&gt;"",($BM$24+20)&lt;=$BO$24),$BN$24&amp;"-"&amp;TEXT(($BM$24+20),"00"),"")</f>
        <v/>
      </c>
      <c r="CA147" t="str" cm="1">
        <f t="array" ref="CA147">IF(NOT(AND($BN$21&lt;&gt;"",($BM$21+20)&lt;=$BO$21)),"",IF(B147&lt;&gt;"",IF(B147="-","",B147),IF(ISNUMBER(SEARCH(":",$BP$21)),IFERROR(_xlfn.LET(_xlpm.s,_xlfn.TEXTSPLIT($BP$21,","),_xlpm.k,FIND(":",_xlpm.s),INDEX(TRIM(LEFT(_xlpm.s,_xlpm.k-1)),_xlfn.XMATCH(($BM$21+20),_xlfn.SCAN(0,--MID(_xlpm.s,_xlpm.k+1,9),_xlfn.LAMBDA(_xlpm.a,_xlpm.v,_xlpm.a+_xlpm.v)),1))),""),IF(($BM$21+20)&lt;=$BQ$21,$BP$21,""))))</f>
        <v/>
      </c>
      <c r="CB147" t="str" cm="1">
        <f t="array" ref="CB147">IF(NOT(AND($BN$22&lt;&gt;"",($BM$22+20)&lt;=$BO$22)),"",IF(H147&lt;&gt;"",IF(H147="-","",H147),IF(ISNUMBER(SEARCH(":",$BP$22)),IFERROR(_xlfn.LET(_xlpm.s,_xlfn.TEXTSPLIT($BP$22,","),_xlpm.k,FIND(":",_xlpm.s),INDEX(TRIM(LEFT(_xlpm.s,_xlpm.k-1)),_xlfn.XMATCH(($BM$22+20),_xlfn.SCAN(0,--MID(_xlpm.s,_xlpm.k+1,9),_xlfn.LAMBDA(_xlpm.a,_xlpm.v,_xlpm.a+_xlpm.v)),1))),""),IF(($BM$22+20)&lt;=$BQ$22,$BP$22,""))))</f>
        <v/>
      </c>
      <c r="CC147" t="str" cm="1">
        <f t="array" ref="CC147">IF(NOT(AND($BN$23&lt;&gt;"",($BM$23+20)&lt;=$BO$23)),"",IF(N147&lt;&gt;"",IF(N147="-","",N147),IF(ISNUMBER(SEARCH(":",$BP$23)),IFERROR(_xlfn.LET(_xlpm.s,_xlfn.TEXTSPLIT($BP$23,","),_xlpm.k,FIND(":",_xlpm.s),INDEX(TRIM(LEFT(_xlpm.s,_xlpm.k-1)),_xlfn.XMATCH(($BM$23+20),_xlfn.SCAN(0,--MID(_xlpm.s,_xlpm.k+1,9),_xlfn.LAMBDA(_xlpm.a,_xlpm.v,_xlpm.a+_xlpm.v)),1))),""),IF(($BM$23+20)&lt;=$BQ$23,$BP$23,""))))</f>
        <v/>
      </c>
      <c r="CD147" t="str" cm="1">
        <f t="array" ref="CD147">IF(NOT(AND($BN$24&lt;&gt;"",($BM$24+20)&lt;=$BO$24)),"",IF(T147&lt;&gt;"",IF(T147="-","",T147),IF(ISNUMBER(SEARCH(":",$BP$24)),IFERROR(_xlfn.LET(_xlpm.s,_xlfn.TEXTSPLIT($BP$24,","),_xlpm.k,FIND(":",_xlpm.s),INDEX(TRIM(LEFT(_xlpm.s,_xlpm.k-1)),_xlfn.XMATCH(($BM$24+20),_xlfn.SCAN(0,--MID(_xlpm.s,_xlpm.k+1,9),_xlfn.LAMBDA(_xlpm.a,_xlpm.v,_xlpm.a+_xlpm.v)),1))),""),IF(($BM$24+20)&lt;=$BQ$24,$BP$24,""))))</f>
        <v/>
      </c>
    </row>
    <row r="148" spans="2:82" hidden="1" x14ac:dyDescent="0.45">
      <c r="B148" s="6"/>
      <c r="C148" s="9" t="str">
        <f>IF(CA148="","",CA148&amp;"-"&amp;TEXT(COUNTIF($CA$72:$CA$95,CA148)+COUNTIF($CB$72:$CB$95,CA148)+COUNTIF($CC$72:$CC$95,CA148)+COUNTIF($CD$72:$CD$95,CA148)+COUNTIF($CA$100:$CA$123,CA148)+COUNTIF($CB$100:$CB$123,CA148)+COUNTIF($CC$100:$CC$123,CA148)+COUNTIF($CD$100:$CD$123,CA148)+COUNTIF($CA$128:CA148,CA148),"000"))</f>
        <v/>
      </c>
      <c r="D148" s="9" t="str">
        <f>IF(AND($BN$21&lt;&gt;"",($BM$21+21)&lt;=$BO$21),$BN$21,"")</f>
        <v/>
      </c>
      <c r="E148" s="9" t="str">
        <f>IF(AND($BN$21&lt;&gt;"",($BM$21+21)&lt;=$BO$21),TEXT(($BM$21+21),"00"),"")</f>
        <v/>
      </c>
      <c r="F148" s="9" t="str">
        <f>IF(AND($BN$21&lt;&gt;"",($BM$21+21)&lt;=$BO$21),$BN$21&amp;"-"&amp;TEXT(($BM$21+21),"00"),"")</f>
        <v/>
      </c>
      <c r="H148" s="6"/>
      <c r="I148" s="9" t="str">
        <f>IF(CB148="","",CB148&amp;"-"&amp;TEXT(COUNTIF($CA$72:$CA$95,CB148)+COUNTIF($CB$72:$CB$95,CB148)+COUNTIF($CC$72:$CC$95,CB148)+COUNTIF($CD$72:$CD$95,CB148)+COUNTIF($CA$100:$CA$123,CB148)+COUNTIF($CB$100:$CB$123,CB148)+COUNTIF($CC$100:$CC$123,CB148)+COUNTIF($CD$100:$CD$123,CB148)+COUNTIF($CA$128:$CA$151,CB148)+COUNTIF($CB$128:CB148,CB148),"000"))</f>
        <v/>
      </c>
      <c r="J148" s="9" t="str">
        <f>IF(AND($BN$22&lt;&gt;"",($BM$22+21)&lt;=$BO$22),$BN$22,"")</f>
        <v/>
      </c>
      <c r="K148" s="9" t="str">
        <f>IF(AND($BN$22&lt;&gt;"",($BM$22+21)&lt;=$BO$22),TEXT(($BM$22+21),"00"),"")</f>
        <v/>
      </c>
      <c r="L148" s="9" t="str">
        <f>IF(AND($BN$22&lt;&gt;"",($BM$22+21)&lt;=$BO$22),$BN$22&amp;"-"&amp;TEXT(($BM$22+21),"00"),"")</f>
        <v/>
      </c>
      <c r="N148" s="6"/>
      <c r="O148" s="9" t="str">
        <f>IF(CC148="","",CC148&amp;"-"&amp;TEXT(COUNTIF($CA$72:$CA$95,CC148)+COUNTIF($CB$72:$CB$95,CC148)+COUNTIF($CC$72:$CC$95,CC148)+COUNTIF($CD$72:$CD$95,CC148)+COUNTIF($CA$100:$CA$123,CC148)+COUNTIF($CB$100:$CB$123,CC148)+COUNTIF($CC$100:$CC$123,CC148)+COUNTIF($CD$100:$CD$123,CC148)+COUNTIF($CA$128:$CA$151,CC148)+COUNTIF($CB$128:$CB$151,CC148)+COUNTIF($CC$128:CC148,CC148),"000"))</f>
        <v/>
      </c>
      <c r="P148" s="9" t="str">
        <f>IF(AND($BN$23&lt;&gt;"",($BM$23+21)&lt;=$BO$23),$BN$23,"")</f>
        <v/>
      </c>
      <c r="Q148" s="9" t="str">
        <f>IF(AND($BN$23&lt;&gt;"",($BM$23+21)&lt;=$BO$23),TEXT(($BM$23+21),"00"),"")</f>
        <v/>
      </c>
      <c r="R148" s="9" t="str">
        <f>IF(AND($BN$23&lt;&gt;"",($BM$23+21)&lt;=$BO$23),$BN$23&amp;"-"&amp;TEXT(($BM$23+21),"00"),"")</f>
        <v/>
      </c>
      <c r="T148" s="6"/>
      <c r="U148" s="9" t="str">
        <f>IF(CD148="","",CD148&amp;"-"&amp;TEXT(COUNTIF($CA$72:$CA$95,CD148)+COUNTIF($CB$72:$CB$95,CD148)+COUNTIF($CC$72:$CC$95,CD148)+COUNTIF($CD$72:$CD$95,CD148)+COUNTIF($CA$100:$CA$123,CD148)+COUNTIF($CB$100:$CB$123,CD148)+COUNTIF($CC$100:$CC$123,CD148)+COUNTIF($CD$100:$CD$123,CD148)+COUNTIF($CA$128:$CA$151,CD148)+COUNTIF($CB$128:$CB$151,CD148)+COUNTIF($CC$128:$CC$151,CD148)+COUNTIF($CD$128:CD148,CD148),"000"))</f>
        <v/>
      </c>
      <c r="V148" s="9" t="str">
        <f>IF(AND($BN$24&lt;&gt;"",($BM$24+21)&lt;=$BO$24),$BN$24,"")</f>
        <v/>
      </c>
      <c r="W148" s="9" t="str">
        <f>IF(AND($BN$24&lt;&gt;"",($BM$24+21)&lt;=$BO$24),TEXT(($BM$24+21),"00"),"")</f>
        <v/>
      </c>
      <c r="X148" s="9" t="str">
        <f>IF(AND($BN$24&lt;&gt;"",($BM$24+21)&lt;=$BO$24),$BN$24&amp;"-"&amp;TEXT(($BM$24+21),"00"),"")</f>
        <v/>
      </c>
      <c r="CA148" t="str" cm="1">
        <f t="array" ref="CA148">IF(NOT(AND($BN$21&lt;&gt;"",($BM$21+21)&lt;=$BO$21)),"",IF(B148&lt;&gt;"",IF(B148="-","",B148),IF(ISNUMBER(SEARCH(":",$BP$21)),IFERROR(_xlfn.LET(_xlpm.s,_xlfn.TEXTSPLIT($BP$21,","),_xlpm.k,FIND(":",_xlpm.s),INDEX(TRIM(LEFT(_xlpm.s,_xlpm.k-1)),_xlfn.XMATCH(($BM$21+21),_xlfn.SCAN(0,--MID(_xlpm.s,_xlpm.k+1,9),_xlfn.LAMBDA(_xlpm.a,_xlpm.v,_xlpm.a+_xlpm.v)),1))),""),IF(($BM$21+21)&lt;=$BQ$21,$BP$21,""))))</f>
        <v/>
      </c>
      <c r="CB148" t="str" cm="1">
        <f t="array" ref="CB148">IF(NOT(AND($BN$22&lt;&gt;"",($BM$22+21)&lt;=$BO$22)),"",IF(H148&lt;&gt;"",IF(H148="-","",H148),IF(ISNUMBER(SEARCH(":",$BP$22)),IFERROR(_xlfn.LET(_xlpm.s,_xlfn.TEXTSPLIT($BP$22,","),_xlpm.k,FIND(":",_xlpm.s),INDEX(TRIM(LEFT(_xlpm.s,_xlpm.k-1)),_xlfn.XMATCH(($BM$22+21),_xlfn.SCAN(0,--MID(_xlpm.s,_xlpm.k+1,9),_xlfn.LAMBDA(_xlpm.a,_xlpm.v,_xlpm.a+_xlpm.v)),1))),""),IF(($BM$22+21)&lt;=$BQ$22,$BP$22,""))))</f>
        <v/>
      </c>
      <c r="CC148" t="str" cm="1">
        <f t="array" ref="CC148">IF(NOT(AND($BN$23&lt;&gt;"",($BM$23+21)&lt;=$BO$23)),"",IF(N148&lt;&gt;"",IF(N148="-","",N148),IF(ISNUMBER(SEARCH(":",$BP$23)),IFERROR(_xlfn.LET(_xlpm.s,_xlfn.TEXTSPLIT($BP$23,","),_xlpm.k,FIND(":",_xlpm.s),INDEX(TRIM(LEFT(_xlpm.s,_xlpm.k-1)),_xlfn.XMATCH(($BM$23+21),_xlfn.SCAN(0,--MID(_xlpm.s,_xlpm.k+1,9),_xlfn.LAMBDA(_xlpm.a,_xlpm.v,_xlpm.a+_xlpm.v)),1))),""),IF(($BM$23+21)&lt;=$BQ$23,$BP$23,""))))</f>
        <v/>
      </c>
      <c r="CD148" t="str" cm="1">
        <f t="array" ref="CD148">IF(NOT(AND($BN$24&lt;&gt;"",($BM$24+21)&lt;=$BO$24)),"",IF(T148&lt;&gt;"",IF(T148="-","",T148),IF(ISNUMBER(SEARCH(":",$BP$24)),IFERROR(_xlfn.LET(_xlpm.s,_xlfn.TEXTSPLIT($BP$24,","),_xlpm.k,FIND(":",_xlpm.s),INDEX(TRIM(LEFT(_xlpm.s,_xlpm.k-1)),_xlfn.XMATCH(($BM$24+21),_xlfn.SCAN(0,--MID(_xlpm.s,_xlpm.k+1,9),_xlfn.LAMBDA(_xlpm.a,_xlpm.v,_xlpm.a+_xlpm.v)),1))),""),IF(($BM$24+21)&lt;=$BQ$24,$BP$24,""))))</f>
        <v/>
      </c>
    </row>
    <row r="149" spans="2:82" hidden="1" x14ac:dyDescent="0.45">
      <c r="B149" s="6"/>
      <c r="C149" s="9" t="str">
        <f>IF(CA149="","",CA149&amp;"-"&amp;TEXT(COUNTIF($CA$72:$CA$95,CA149)+COUNTIF($CB$72:$CB$95,CA149)+COUNTIF($CC$72:$CC$95,CA149)+COUNTIF($CD$72:$CD$95,CA149)+COUNTIF($CA$100:$CA$123,CA149)+COUNTIF($CB$100:$CB$123,CA149)+COUNTIF($CC$100:$CC$123,CA149)+COUNTIF($CD$100:$CD$123,CA149)+COUNTIF($CA$128:CA149,CA149),"000"))</f>
        <v/>
      </c>
      <c r="D149" s="9" t="str">
        <f>IF(AND($BN$21&lt;&gt;"",($BM$21+22)&lt;=$BO$21),$BN$21,"")</f>
        <v/>
      </c>
      <c r="E149" s="9" t="str">
        <f>IF(AND($BN$21&lt;&gt;"",($BM$21+22)&lt;=$BO$21),TEXT(($BM$21+22),"00"),"")</f>
        <v/>
      </c>
      <c r="F149" s="9" t="str">
        <f>IF(AND($BN$21&lt;&gt;"",($BM$21+22)&lt;=$BO$21),$BN$21&amp;"-"&amp;TEXT(($BM$21+22),"00"),"")</f>
        <v/>
      </c>
      <c r="H149" s="6"/>
      <c r="I149" s="9" t="str">
        <f>IF(CB149="","",CB149&amp;"-"&amp;TEXT(COUNTIF($CA$72:$CA$95,CB149)+COUNTIF($CB$72:$CB$95,CB149)+COUNTIF($CC$72:$CC$95,CB149)+COUNTIF($CD$72:$CD$95,CB149)+COUNTIF($CA$100:$CA$123,CB149)+COUNTIF($CB$100:$CB$123,CB149)+COUNTIF($CC$100:$CC$123,CB149)+COUNTIF($CD$100:$CD$123,CB149)+COUNTIF($CA$128:$CA$151,CB149)+COUNTIF($CB$128:CB149,CB149),"000"))</f>
        <v/>
      </c>
      <c r="J149" s="9" t="str">
        <f>IF(AND($BN$22&lt;&gt;"",($BM$22+22)&lt;=$BO$22),$BN$22,"")</f>
        <v/>
      </c>
      <c r="K149" s="9" t="str">
        <f>IF(AND($BN$22&lt;&gt;"",($BM$22+22)&lt;=$BO$22),TEXT(($BM$22+22),"00"),"")</f>
        <v/>
      </c>
      <c r="L149" s="9" t="str">
        <f>IF(AND($BN$22&lt;&gt;"",($BM$22+22)&lt;=$BO$22),$BN$22&amp;"-"&amp;TEXT(($BM$22+22),"00"),"")</f>
        <v/>
      </c>
      <c r="N149" s="6"/>
      <c r="O149" s="9" t="str">
        <f>IF(CC149="","",CC149&amp;"-"&amp;TEXT(COUNTIF($CA$72:$CA$95,CC149)+COUNTIF($CB$72:$CB$95,CC149)+COUNTIF($CC$72:$CC$95,CC149)+COUNTIF($CD$72:$CD$95,CC149)+COUNTIF($CA$100:$CA$123,CC149)+COUNTIF($CB$100:$CB$123,CC149)+COUNTIF($CC$100:$CC$123,CC149)+COUNTIF($CD$100:$CD$123,CC149)+COUNTIF($CA$128:$CA$151,CC149)+COUNTIF($CB$128:$CB$151,CC149)+COUNTIF($CC$128:CC149,CC149),"000"))</f>
        <v/>
      </c>
      <c r="P149" s="9" t="str">
        <f>IF(AND($BN$23&lt;&gt;"",($BM$23+22)&lt;=$BO$23),$BN$23,"")</f>
        <v/>
      </c>
      <c r="Q149" s="9" t="str">
        <f>IF(AND($BN$23&lt;&gt;"",($BM$23+22)&lt;=$BO$23),TEXT(($BM$23+22),"00"),"")</f>
        <v/>
      </c>
      <c r="R149" s="9" t="str">
        <f>IF(AND($BN$23&lt;&gt;"",($BM$23+22)&lt;=$BO$23),$BN$23&amp;"-"&amp;TEXT(($BM$23+22),"00"),"")</f>
        <v/>
      </c>
      <c r="T149" s="6"/>
      <c r="U149" s="9" t="str">
        <f>IF(CD149="","",CD149&amp;"-"&amp;TEXT(COUNTIF($CA$72:$CA$95,CD149)+COUNTIF($CB$72:$CB$95,CD149)+COUNTIF($CC$72:$CC$95,CD149)+COUNTIF($CD$72:$CD$95,CD149)+COUNTIF($CA$100:$CA$123,CD149)+COUNTIF($CB$100:$CB$123,CD149)+COUNTIF($CC$100:$CC$123,CD149)+COUNTIF($CD$100:$CD$123,CD149)+COUNTIF($CA$128:$CA$151,CD149)+COUNTIF($CB$128:$CB$151,CD149)+COUNTIF($CC$128:$CC$151,CD149)+COUNTIF($CD$128:CD149,CD149),"000"))</f>
        <v/>
      </c>
      <c r="V149" s="9" t="str">
        <f>IF(AND($BN$24&lt;&gt;"",($BM$24+22)&lt;=$BO$24),$BN$24,"")</f>
        <v/>
      </c>
      <c r="W149" s="9" t="str">
        <f>IF(AND($BN$24&lt;&gt;"",($BM$24+22)&lt;=$BO$24),TEXT(($BM$24+22),"00"),"")</f>
        <v/>
      </c>
      <c r="X149" s="9" t="str">
        <f>IF(AND($BN$24&lt;&gt;"",($BM$24+22)&lt;=$BO$24),$BN$24&amp;"-"&amp;TEXT(($BM$24+22),"00"),"")</f>
        <v/>
      </c>
      <c r="CA149" t="str" cm="1">
        <f t="array" ref="CA149">IF(NOT(AND($BN$21&lt;&gt;"",($BM$21+22)&lt;=$BO$21)),"",IF(B149&lt;&gt;"",IF(B149="-","",B149),IF(ISNUMBER(SEARCH(":",$BP$21)),IFERROR(_xlfn.LET(_xlpm.s,_xlfn.TEXTSPLIT($BP$21,","),_xlpm.k,FIND(":",_xlpm.s),INDEX(TRIM(LEFT(_xlpm.s,_xlpm.k-1)),_xlfn.XMATCH(($BM$21+22),_xlfn.SCAN(0,--MID(_xlpm.s,_xlpm.k+1,9),_xlfn.LAMBDA(_xlpm.a,_xlpm.v,_xlpm.a+_xlpm.v)),1))),""),IF(($BM$21+22)&lt;=$BQ$21,$BP$21,""))))</f>
        <v/>
      </c>
      <c r="CB149" t="str" cm="1">
        <f t="array" ref="CB149">IF(NOT(AND($BN$22&lt;&gt;"",($BM$22+22)&lt;=$BO$22)),"",IF(H149&lt;&gt;"",IF(H149="-","",H149),IF(ISNUMBER(SEARCH(":",$BP$22)),IFERROR(_xlfn.LET(_xlpm.s,_xlfn.TEXTSPLIT($BP$22,","),_xlpm.k,FIND(":",_xlpm.s),INDEX(TRIM(LEFT(_xlpm.s,_xlpm.k-1)),_xlfn.XMATCH(($BM$22+22),_xlfn.SCAN(0,--MID(_xlpm.s,_xlpm.k+1,9),_xlfn.LAMBDA(_xlpm.a,_xlpm.v,_xlpm.a+_xlpm.v)),1))),""),IF(($BM$22+22)&lt;=$BQ$22,$BP$22,""))))</f>
        <v/>
      </c>
      <c r="CC149" t="str" cm="1">
        <f t="array" ref="CC149">IF(NOT(AND($BN$23&lt;&gt;"",($BM$23+22)&lt;=$BO$23)),"",IF(N149&lt;&gt;"",IF(N149="-","",N149),IF(ISNUMBER(SEARCH(":",$BP$23)),IFERROR(_xlfn.LET(_xlpm.s,_xlfn.TEXTSPLIT($BP$23,","),_xlpm.k,FIND(":",_xlpm.s),INDEX(TRIM(LEFT(_xlpm.s,_xlpm.k-1)),_xlfn.XMATCH(($BM$23+22),_xlfn.SCAN(0,--MID(_xlpm.s,_xlpm.k+1,9),_xlfn.LAMBDA(_xlpm.a,_xlpm.v,_xlpm.a+_xlpm.v)),1))),""),IF(($BM$23+22)&lt;=$BQ$23,$BP$23,""))))</f>
        <v/>
      </c>
      <c r="CD149" t="str" cm="1">
        <f t="array" ref="CD149">IF(NOT(AND($BN$24&lt;&gt;"",($BM$24+22)&lt;=$BO$24)),"",IF(T149&lt;&gt;"",IF(T149="-","",T149),IF(ISNUMBER(SEARCH(":",$BP$24)),IFERROR(_xlfn.LET(_xlpm.s,_xlfn.TEXTSPLIT($BP$24,","),_xlpm.k,FIND(":",_xlpm.s),INDEX(TRIM(LEFT(_xlpm.s,_xlpm.k-1)),_xlfn.XMATCH(($BM$24+22),_xlfn.SCAN(0,--MID(_xlpm.s,_xlpm.k+1,9),_xlfn.LAMBDA(_xlpm.a,_xlpm.v,_xlpm.a+_xlpm.v)),1))),""),IF(($BM$24+22)&lt;=$BQ$24,$BP$24,""))))</f>
        <v/>
      </c>
    </row>
    <row r="150" spans="2:82" hidden="1" x14ac:dyDescent="0.45">
      <c r="B150" s="6"/>
      <c r="C150" s="9" t="str">
        <f>IF(CA150="","",CA150&amp;"-"&amp;TEXT(COUNTIF($CA$72:$CA$95,CA150)+COUNTIF($CB$72:$CB$95,CA150)+COUNTIF($CC$72:$CC$95,CA150)+COUNTIF($CD$72:$CD$95,CA150)+COUNTIF($CA$100:$CA$123,CA150)+COUNTIF($CB$100:$CB$123,CA150)+COUNTIF($CC$100:$CC$123,CA150)+COUNTIF($CD$100:$CD$123,CA150)+COUNTIF($CA$128:CA150,CA150),"000"))</f>
        <v/>
      </c>
      <c r="D150" s="9" t="str">
        <f>IF(AND($BN$21&lt;&gt;"",($BM$21+23)&lt;=$BO$21),$BN$21,"")</f>
        <v/>
      </c>
      <c r="E150" s="9" t="str">
        <f>IF(AND($BN$21&lt;&gt;"",($BM$21+23)&lt;=$BO$21),TEXT(($BM$21+23),"00"),"")</f>
        <v/>
      </c>
      <c r="F150" s="9" t="str">
        <f>IF(AND($BN$21&lt;&gt;"",($BM$21+23)&lt;=$BO$21),$BN$21&amp;"-"&amp;TEXT(($BM$21+23),"00"),"")</f>
        <v/>
      </c>
      <c r="H150" s="6"/>
      <c r="I150" s="9" t="str">
        <f>IF(CB150="","",CB150&amp;"-"&amp;TEXT(COUNTIF($CA$72:$CA$95,CB150)+COUNTIF($CB$72:$CB$95,CB150)+COUNTIF($CC$72:$CC$95,CB150)+COUNTIF($CD$72:$CD$95,CB150)+COUNTIF($CA$100:$CA$123,CB150)+COUNTIF($CB$100:$CB$123,CB150)+COUNTIF($CC$100:$CC$123,CB150)+COUNTIF($CD$100:$CD$123,CB150)+COUNTIF($CA$128:$CA$151,CB150)+COUNTIF($CB$128:CB150,CB150),"000"))</f>
        <v/>
      </c>
      <c r="J150" s="9" t="str">
        <f>IF(AND($BN$22&lt;&gt;"",($BM$22+23)&lt;=$BO$22),$BN$22,"")</f>
        <v/>
      </c>
      <c r="K150" s="9" t="str">
        <f>IF(AND($BN$22&lt;&gt;"",($BM$22+23)&lt;=$BO$22),TEXT(($BM$22+23),"00"),"")</f>
        <v/>
      </c>
      <c r="L150" s="9" t="str">
        <f>IF(AND($BN$22&lt;&gt;"",($BM$22+23)&lt;=$BO$22),$BN$22&amp;"-"&amp;TEXT(($BM$22+23),"00"),"")</f>
        <v/>
      </c>
      <c r="N150" s="6"/>
      <c r="O150" s="9" t="str">
        <f>IF(CC150="","",CC150&amp;"-"&amp;TEXT(COUNTIF($CA$72:$CA$95,CC150)+COUNTIF($CB$72:$CB$95,CC150)+COUNTIF($CC$72:$CC$95,CC150)+COUNTIF($CD$72:$CD$95,CC150)+COUNTIF($CA$100:$CA$123,CC150)+COUNTIF($CB$100:$CB$123,CC150)+COUNTIF($CC$100:$CC$123,CC150)+COUNTIF($CD$100:$CD$123,CC150)+COUNTIF($CA$128:$CA$151,CC150)+COUNTIF($CB$128:$CB$151,CC150)+COUNTIF($CC$128:CC150,CC150),"000"))</f>
        <v/>
      </c>
      <c r="P150" s="9" t="str">
        <f>IF(AND($BN$23&lt;&gt;"",($BM$23+23)&lt;=$BO$23),$BN$23,"")</f>
        <v/>
      </c>
      <c r="Q150" s="9" t="str">
        <f>IF(AND($BN$23&lt;&gt;"",($BM$23+23)&lt;=$BO$23),TEXT(($BM$23+23),"00"),"")</f>
        <v/>
      </c>
      <c r="R150" s="9" t="str">
        <f>IF(AND($BN$23&lt;&gt;"",($BM$23+23)&lt;=$BO$23),$BN$23&amp;"-"&amp;TEXT(($BM$23+23),"00"),"")</f>
        <v/>
      </c>
      <c r="T150" s="6"/>
      <c r="U150" s="9" t="str">
        <f>IF(CD150="","",CD150&amp;"-"&amp;TEXT(COUNTIF($CA$72:$CA$95,CD150)+COUNTIF($CB$72:$CB$95,CD150)+COUNTIF($CC$72:$CC$95,CD150)+COUNTIF($CD$72:$CD$95,CD150)+COUNTIF($CA$100:$CA$123,CD150)+COUNTIF($CB$100:$CB$123,CD150)+COUNTIF($CC$100:$CC$123,CD150)+COUNTIF($CD$100:$CD$123,CD150)+COUNTIF($CA$128:$CA$151,CD150)+COUNTIF($CB$128:$CB$151,CD150)+COUNTIF($CC$128:$CC$151,CD150)+COUNTIF($CD$128:CD150,CD150),"000"))</f>
        <v/>
      </c>
      <c r="V150" s="9" t="str">
        <f>IF(AND($BN$24&lt;&gt;"",($BM$24+23)&lt;=$BO$24),$BN$24,"")</f>
        <v/>
      </c>
      <c r="W150" s="9" t="str">
        <f>IF(AND($BN$24&lt;&gt;"",($BM$24+23)&lt;=$BO$24),TEXT(($BM$24+23),"00"),"")</f>
        <v/>
      </c>
      <c r="X150" s="9" t="str">
        <f>IF(AND($BN$24&lt;&gt;"",($BM$24+23)&lt;=$BO$24),$BN$24&amp;"-"&amp;TEXT(($BM$24+23),"00"),"")</f>
        <v/>
      </c>
      <c r="CA150" t="str" cm="1">
        <f t="array" ref="CA150">IF(NOT(AND($BN$21&lt;&gt;"",($BM$21+23)&lt;=$BO$21)),"",IF(B150&lt;&gt;"",IF(B150="-","",B150),IF(ISNUMBER(SEARCH(":",$BP$21)),IFERROR(_xlfn.LET(_xlpm.s,_xlfn.TEXTSPLIT($BP$21,","),_xlpm.k,FIND(":",_xlpm.s),INDEX(TRIM(LEFT(_xlpm.s,_xlpm.k-1)),_xlfn.XMATCH(($BM$21+23),_xlfn.SCAN(0,--MID(_xlpm.s,_xlpm.k+1,9),_xlfn.LAMBDA(_xlpm.a,_xlpm.v,_xlpm.a+_xlpm.v)),1))),""),IF(($BM$21+23)&lt;=$BQ$21,$BP$21,""))))</f>
        <v/>
      </c>
      <c r="CB150" t="str" cm="1">
        <f t="array" ref="CB150">IF(NOT(AND($BN$22&lt;&gt;"",($BM$22+23)&lt;=$BO$22)),"",IF(H150&lt;&gt;"",IF(H150="-","",H150),IF(ISNUMBER(SEARCH(":",$BP$22)),IFERROR(_xlfn.LET(_xlpm.s,_xlfn.TEXTSPLIT($BP$22,","),_xlpm.k,FIND(":",_xlpm.s),INDEX(TRIM(LEFT(_xlpm.s,_xlpm.k-1)),_xlfn.XMATCH(($BM$22+23),_xlfn.SCAN(0,--MID(_xlpm.s,_xlpm.k+1,9),_xlfn.LAMBDA(_xlpm.a,_xlpm.v,_xlpm.a+_xlpm.v)),1))),""),IF(($BM$22+23)&lt;=$BQ$22,$BP$22,""))))</f>
        <v/>
      </c>
      <c r="CC150" t="str" cm="1">
        <f t="array" ref="CC150">IF(NOT(AND($BN$23&lt;&gt;"",($BM$23+23)&lt;=$BO$23)),"",IF(N150&lt;&gt;"",IF(N150="-","",N150),IF(ISNUMBER(SEARCH(":",$BP$23)),IFERROR(_xlfn.LET(_xlpm.s,_xlfn.TEXTSPLIT($BP$23,","),_xlpm.k,FIND(":",_xlpm.s),INDEX(TRIM(LEFT(_xlpm.s,_xlpm.k-1)),_xlfn.XMATCH(($BM$23+23),_xlfn.SCAN(0,--MID(_xlpm.s,_xlpm.k+1,9),_xlfn.LAMBDA(_xlpm.a,_xlpm.v,_xlpm.a+_xlpm.v)),1))),""),IF(($BM$23+23)&lt;=$BQ$23,$BP$23,""))))</f>
        <v/>
      </c>
      <c r="CD150" t="str" cm="1">
        <f t="array" ref="CD150">IF(NOT(AND($BN$24&lt;&gt;"",($BM$24+23)&lt;=$BO$24)),"",IF(T150&lt;&gt;"",IF(T150="-","",T150),IF(ISNUMBER(SEARCH(":",$BP$24)),IFERROR(_xlfn.LET(_xlpm.s,_xlfn.TEXTSPLIT($BP$24,","),_xlpm.k,FIND(":",_xlpm.s),INDEX(TRIM(LEFT(_xlpm.s,_xlpm.k-1)),_xlfn.XMATCH(($BM$24+23),_xlfn.SCAN(0,--MID(_xlpm.s,_xlpm.k+1,9),_xlfn.LAMBDA(_xlpm.a,_xlpm.v,_xlpm.a+_xlpm.v)),1))),""),IF(($BM$24+23)&lt;=$BQ$24,$BP$24,""))))</f>
        <v/>
      </c>
    </row>
    <row r="151" spans="2:82" hidden="1" x14ac:dyDescent="0.45">
      <c r="B151" s="6"/>
      <c r="C151" s="9" t="str">
        <f>IF(CA151="","",CA151&amp;"-"&amp;TEXT(COUNTIF($CA$72:$CA$95,CA151)+COUNTIF($CB$72:$CB$95,CA151)+COUNTIF($CC$72:$CC$95,CA151)+COUNTIF($CD$72:$CD$95,CA151)+COUNTIF($CA$100:$CA$123,CA151)+COUNTIF($CB$100:$CB$123,CA151)+COUNTIF($CC$100:$CC$123,CA151)+COUNTIF($CD$100:$CD$123,CA151)+COUNTIF($CA$128:CA151,CA151),"000"))</f>
        <v/>
      </c>
      <c r="D151" s="9" t="str">
        <f>IF(AND($BN$21&lt;&gt;"",($BM$21+24)&lt;=$BO$21),$BN$21,"")</f>
        <v/>
      </c>
      <c r="E151" s="9" t="str">
        <f>IF(AND($BN$21&lt;&gt;"",($BM$21+24)&lt;=$BO$21),TEXT(($BM$21+24),"00"),"")</f>
        <v/>
      </c>
      <c r="F151" s="9" t="str">
        <f>IF(AND($BN$21&lt;&gt;"",($BM$21+24)&lt;=$BO$21),$BN$21&amp;"-"&amp;TEXT(($BM$21+24),"00"),"")</f>
        <v/>
      </c>
      <c r="H151" s="6"/>
      <c r="I151" s="9" t="str">
        <f>IF(CB151="","",CB151&amp;"-"&amp;TEXT(COUNTIF($CA$72:$CA$95,CB151)+COUNTIF($CB$72:$CB$95,CB151)+COUNTIF($CC$72:$CC$95,CB151)+COUNTIF($CD$72:$CD$95,CB151)+COUNTIF($CA$100:$CA$123,CB151)+COUNTIF($CB$100:$CB$123,CB151)+COUNTIF($CC$100:$CC$123,CB151)+COUNTIF($CD$100:$CD$123,CB151)+COUNTIF($CA$128:$CA$151,CB151)+COUNTIF($CB$128:CB151,CB151),"000"))</f>
        <v/>
      </c>
      <c r="J151" s="9" t="str">
        <f>IF(AND($BN$22&lt;&gt;"",($BM$22+24)&lt;=$BO$22),$BN$22,"")</f>
        <v/>
      </c>
      <c r="K151" s="9" t="str">
        <f>IF(AND($BN$22&lt;&gt;"",($BM$22+24)&lt;=$BO$22),TEXT(($BM$22+24),"00"),"")</f>
        <v/>
      </c>
      <c r="L151" s="9" t="str">
        <f>IF(AND($BN$22&lt;&gt;"",($BM$22+24)&lt;=$BO$22),$BN$22&amp;"-"&amp;TEXT(($BM$22+24),"00"),"")</f>
        <v/>
      </c>
      <c r="N151" s="6"/>
      <c r="O151" s="9" t="str">
        <f>IF(CC151="","",CC151&amp;"-"&amp;TEXT(COUNTIF($CA$72:$CA$95,CC151)+COUNTIF($CB$72:$CB$95,CC151)+COUNTIF($CC$72:$CC$95,CC151)+COUNTIF($CD$72:$CD$95,CC151)+COUNTIF($CA$100:$CA$123,CC151)+COUNTIF($CB$100:$CB$123,CC151)+COUNTIF($CC$100:$CC$123,CC151)+COUNTIF($CD$100:$CD$123,CC151)+COUNTIF($CA$128:$CA$151,CC151)+COUNTIF($CB$128:$CB$151,CC151)+COUNTIF($CC$128:CC151,CC151),"000"))</f>
        <v/>
      </c>
      <c r="P151" s="9" t="str">
        <f>IF(AND($BN$23&lt;&gt;"",($BM$23+24)&lt;=$BO$23),$BN$23,"")</f>
        <v/>
      </c>
      <c r="Q151" s="9" t="str">
        <f>IF(AND($BN$23&lt;&gt;"",($BM$23+24)&lt;=$BO$23),TEXT(($BM$23+24),"00"),"")</f>
        <v/>
      </c>
      <c r="R151" s="9" t="str">
        <f>IF(AND($BN$23&lt;&gt;"",($BM$23+24)&lt;=$BO$23),$BN$23&amp;"-"&amp;TEXT(($BM$23+24),"00"),"")</f>
        <v/>
      </c>
      <c r="T151" s="6"/>
      <c r="U151" s="9" t="str">
        <f>IF(CD151="","",CD151&amp;"-"&amp;TEXT(COUNTIF($CA$72:$CA$95,CD151)+COUNTIF($CB$72:$CB$95,CD151)+COUNTIF($CC$72:$CC$95,CD151)+COUNTIF($CD$72:$CD$95,CD151)+COUNTIF($CA$100:$CA$123,CD151)+COUNTIF($CB$100:$CB$123,CD151)+COUNTIF($CC$100:$CC$123,CD151)+COUNTIF($CD$100:$CD$123,CD151)+COUNTIF($CA$128:$CA$151,CD151)+COUNTIF($CB$128:$CB$151,CD151)+COUNTIF($CC$128:$CC$151,CD151)+COUNTIF($CD$128:CD151,CD151),"000"))</f>
        <v/>
      </c>
      <c r="V151" s="9" t="str">
        <f>IF(AND($BN$24&lt;&gt;"",($BM$24+24)&lt;=$BO$24),$BN$24,"")</f>
        <v/>
      </c>
      <c r="W151" s="9" t="str">
        <f>IF(AND($BN$24&lt;&gt;"",($BM$24+24)&lt;=$BO$24),TEXT(($BM$24+24),"00"),"")</f>
        <v/>
      </c>
      <c r="X151" s="9" t="str">
        <f>IF(AND($BN$24&lt;&gt;"",($BM$24+24)&lt;=$BO$24),$BN$24&amp;"-"&amp;TEXT(($BM$24+24),"00"),"")</f>
        <v/>
      </c>
      <c r="CA151" t="str" cm="1">
        <f t="array" ref="CA151">IF(NOT(AND($BN$21&lt;&gt;"",($BM$21+24)&lt;=$BO$21)),"",IF(B151&lt;&gt;"",IF(B151="-","",B151),IF(ISNUMBER(SEARCH(":",$BP$21)),IFERROR(_xlfn.LET(_xlpm.s,_xlfn.TEXTSPLIT($BP$21,","),_xlpm.k,FIND(":",_xlpm.s),INDEX(TRIM(LEFT(_xlpm.s,_xlpm.k-1)),_xlfn.XMATCH(($BM$21+24),_xlfn.SCAN(0,--MID(_xlpm.s,_xlpm.k+1,9),_xlfn.LAMBDA(_xlpm.a,_xlpm.v,_xlpm.a+_xlpm.v)),1))),""),IF(($BM$21+24)&lt;=$BQ$21,$BP$21,""))))</f>
        <v/>
      </c>
      <c r="CB151" t="str" cm="1">
        <f t="array" ref="CB151">IF(NOT(AND($BN$22&lt;&gt;"",($BM$22+24)&lt;=$BO$22)),"",IF(H151&lt;&gt;"",IF(H151="-","",H151),IF(ISNUMBER(SEARCH(":",$BP$22)),IFERROR(_xlfn.LET(_xlpm.s,_xlfn.TEXTSPLIT($BP$22,","),_xlpm.k,FIND(":",_xlpm.s),INDEX(TRIM(LEFT(_xlpm.s,_xlpm.k-1)),_xlfn.XMATCH(($BM$22+24),_xlfn.SCAN(0,--MID(_xlpm.s,_xlpm.k+1,9),_xlfn.LAMBDA(_xlpm.a,_xlpm.v,_xlpm.a+_xlpm.v)),1))),""),IF(($BM$22+24)&lt;=$BQ$22,$BP$22,""))))</f>
        <v/>
      </c>
      <c r="CC151" t="str" cm="1">
        <f t="array" ref="CC151">IF(NOT(AND($BN$23&lt;&gt;"",($BM$23+24)&lt;=$BO$23)),"",IF(N151&lt;&gt;"",IF(N151="-","",N151),IF(ISNUMBER(SEARCH(":",$BP$23)),IFERROR(_xlfn.LET(_xlpm.s,_xlfn.TEXTSPLIT($BP$23,","),_xlpm.k,FIND(":",_xlpm.s),INDEX(TRIM(LEFT(_xlpm.s,_xlpm.k-1)),_xlfn.XMATCH(($BM$23+24),_xlfn.SCAN(0,--MID(_xlpm.s,_xlpm.k+1,9),_xlfn.LAMBDA(_xlpm.a,_xlpm.v,_xlpm.a+_xlpm.v)),1))),""),IF(($BM$23+24)&lt;=$BQ$23,$BP$23,""))))</f>
        <v/>
      </c>
      <c r="CD151" t="str" cm="1">
        <f t="array" ref="CD151">IF(NOT(AND($BN$24&lt;&gt;"",($BM$24+24)&lt;=$BO$24)),"",IF(T151&lt;&gt;"",IF(T151="-","",T151),IF(ISNUMBER(SEARCH(":",$BP$24)),IFERROR(_xlfn.LET(_xlpm.s,_xlfn.TEXTSPLIT($BP$24,","),_xlpm.k,FIND(":",_xlpm.s),INDEX(TRIM(LEFT(_xlpm.s,_xlpm.k-1)),_xlfn.XMATCH(($BM$24+24),_xlfn.SCAN(0,--MID(_xlpm.s,_xlpm.k+1,9),_xlfn.LAMBDA(_xlpm.a,_xlpm.v,_xlpm.a+_xlpm.v)),1))),""),IF(($BM$24+24)&lt;=$BQ$24,$BP$24,""))))</f>
        <v/>
      </c>
    </row>
    <row r="152" spans="2:82" hidden="1" x14ac:dyDescent="0.45"/>
    <row r="153" spans="2:82" hidden="1" x14ac:dyDescent="0.45"/>
    <row r="154" spans="2:82" hidden="1" x14ac:dyDescent="0.45">
      <c r="B154" s="51" t="str">
        <f>IF($BN$25="","Bloque 13 — sin panel","Panel "&amp;$BN$25&amp;"  (puertos "&amp;($BM$25+1)&amp;"-"&amp;MIN($BM$25+24,$BO$25)&amp;")"&amp;IF($BP$25&lt;&gt;"","  · "&amp;$BP$25,"")&amp;"  · "&amp;TEXT(IFERROR(INDEX($BS$13:$BS$28,$BL$25)/$BO$25,0),"0%"))</f>
        <v>Bloque 13 — sin panel</v>
      </c>
      <c r="C154" s="40"/>
      <c r="D154" s="40"/>
      <c r="E154" s="40"/>
      <c r="F154" s="40"/>
      <c r="H154" s="51" t="str">
        <f>IF($BN$26="","Bloque 14 — sin panel","Panel "&amp;$BN$26&amp;"  (puertos "&amp;($BM$26+1)&amp;"-"&amp;MIN($BM$26+24,$BO$26)&amp;")"&amp;IF($BP$26&lt;&gt;"","  · "&amp;$BP$26,"")&amp;"  · "&amp;TEXT(IFERROR(INDEX($BS$13:$BS$28,$BL$26)/$BO$26,0),"0%"))</f>
        <v>Bloque 14 — sin panel</v>
      </c>
      <c r="I154" s="40"/>
      <c r="J154" s="40"/>
      <c r="K154" s="40"/>
      <c r="L154" s="40"/>
      <c r="N154" s="51" t="str">
        <f>IF($BN$27="","Bloque 15 — sin panel","Panel "&amp;$BN$27&amp;"  (puertos "&amp;($BM$27+1)&amp;"-"&amp;MIN($BM$27+24,$BO$27)&amp;")"&amp;IF($BP$27&lt;&gt;"","  · "&amp;$BP$27,"")&amp;"  · "&amp;TEXT(IFERROR(INDEX($BS$13:$BS$28,$BL$27)/$BO$27,0),"0%"))</f>
        <v>Bloque 15 — sin panel</v>
      </c>
      <c r="O154" s="40"/>
      <c r="P154" s="40"/>
      <c r="Q154" s="40"/>
      <c r="R154" s="40"/>
      <c r="T154" s="51" t="str">
        <f>IF($BN$28="","Bloque 16 — sin panel","Panel "&amp;$BN$28&amp;"  (puertos "&amp;($BM$28+1)&amp;"-"&amp;MIN($BM$28+24,$BO$28)&amp;")"&amp;IF($BP$28&lt;&gt;"","  · "&amp;$BP$28,"")&amp;"  · "&amp;TEXT(IFERROR(INDEX($BS$13:$BS$28,$BL$28)/$BO$28,0),"0%"))</f>
        <v>Bloque 16 — sin panel</v>
      </c>
      <c r="U154" s="40"/>
      <c r="V154" s="40"/>
      <c r="W154" s="40"/>
      <c r="X154" s="40"/>
    </row>
    <row r="155" spans="2:82" hidden="1" x14ac:dyDescent="0.45">
      <c r="B155" s="5" t="s">
        <v>410</v>
      </c>
      <c r="C155" s="5" t="s">
        <v>411</v>
      </c>
      <c r="D155" s="5" t="s">
        <v>389</v>
      </c>
      <c r="E155" s="5" t="s">
        <v>412</v>
      </c>
      <c r="F155" s="5" t="s">
        <v>413</v>
      </c>
      <c r="H155" s="5" t="s">
        <v>410</v>
      </c>
      <c r="I155" s="5" t="s">
        <v>411</v>
      </c>
      <c r="J155" s="5" t="s">
        <v>389</v>
      </c>
      <c r="K155" s="5" t="s">
        <v>412</v>
      </c>
      <c r="L155" s="5" t="s">
        <v>413</v>
      </c>
      <c r="N155" s="5" t="s">
        <v>410</v>
      </c>
      <c r="O155" s="5" t="s">
        <v>411</v>
      </c>
      <c r="P155" s="5" t="s">
        <v>389</v>
      </c>
      <c r="Q155" s="5" t="s">
        <v>412</v>
      </c>
      <c r="R155" s="5" t="s">
        <v>413</v>
      </c>
      <c r="T155" s="5" t="s">
        <v>410</v>
      </c>
      <c r="U155" s="5" t="s">
        <v>411</v>
      </c>
      <c r="V155" s="5" t="s">
        <v>389</v>
      </c>
      <c r="W155" s="5" t="s">
        <v>412</v>
      </c>
      <c r="X155" s="5" t="s">
        <v>413</v>
      </c>
    </row>
    <row r="156" spans="2:82" hidden="1" x14ac:dyDescent="0.45">
      <c r="B156" s="6"/>
      <c r="C156" s="9" t="str">
        <f>IF(CA156="","",CA156&amp;"-"&amp;TEXT(COUNTIF($CA$72:$CA$95,CA156)+COUNTIF($CB$72:$CB$95,CA156)+COUNTIF($CC$72:$CC$95,CA156)+COUNTIF($CD$72:$CD$95,CA156)+COUNTIF($CA$100:$CA$123,CA156)+COUNTIF($CB$100:$CB$123,CA156)+COUNTIF($CC$100:$CC$123,CA156)+COUNTIF($CD$100:$CD$123,CA156)+COUNTIF($CA$128:$CA$151,CA156)+COUNTIF($CB$128:$CB$151,CA156)+COUNTIF($CC$128:$CC$151,CA156)+COUNTIF($CD$128:$CD$151,CA156)+COUNTIF($CA$156:CA156,CA156),"000"))</f>
        <v/>
      </c>
      <c r="D156" s="9" t="str">
        <f>IF(AND($BN$25&lt;&gt;"",($BM$25+1)&lt;=$BO$25),$BN$25,"")</f>
        <v/>
      </c>
      <c r="E156" s="9" t="str">
        <f>IF(AND($BN$25&lt;&gt;"",($BM$25+1)&lt;=$BO$25),TEXT(($BM$25+1),"00"),"")</f>
        <v/>
      </c>
      <c r="F156" s="9" t="str">
        <f>IF(AND($BN$25&lt;&gt;"",($BM$25+1)&lt;=$BO$25),$BN$25&amp;"-"&amp;TEXT(($BM$25+1),"00"),"")</f>
        <v/>
      </c>
      <c r="H156" s="6"/>
      <c r="I156" s="9" t="str">
        <f>IF(CB156="","",CB156&amp;"-"&amp;TEXT(COUNTIF($CA$72:$CA$95,CB156)+COUNTIF($CB$72:$CB$95,CB156)+COUNTIF($CC$72:$CC$95,CB156)+COUNTIF($CD$72:$CD$95,CB156)+COUNTIF($CA$100:$CA$123,CB156)+COUNTIF($CB$100:$CB$123,CB156)+COUNTIF($CC$100:$CC$123,CB156)+COUNTIF($CD$100:$CD$123,CB156)+COUNTIF($CA$128:$CA$151,CB156)+COUNTIF($CB$128:$CB$151,CB156)+COUNTIF($CC$128:$CC$151,CB156)+COUNTIF($CD$128:$CD$151,CB156)+COUNTIF($CA$156:$CA$179,CB156)+COUNTIF($CB$156:CB156,CB156),"000"))</f>
        <v/>
      </c>
      <c r="J156" s="9" t="str">
        <f>IF(AND($BN$26&lt;&gt;"",($BM$26+1)&lt;=$BO$26),$BN$26,"")</f>
        <v/>
      </c>
      <c r="K156" s="9" t="str">
        <f>IF(AND($BN$26&lt;&gt;"",($BM$26+1)&lt;=$BO$26),TEXT(($BM$26+1),"00"),"")</f>
        <v/>
      </c>
      <c r="L156" s="9" t="str">
        <f>IF(AND($BN$26&lt;&gt;"",($BM$26+1)&lt;=$BO$26),$BN$26&amp;"-"&amp;TEXT(($BM$26+1),"00"),"")</f>
        <v/>
      </c>
      <c r="N156" s="6"/>
      <c r="O156" s="9" t="str">
        <f>IF(CC156="","",CC156&amp;"-"&amp;TEXT(COUNTIF($CA$72:$CA$95,CC156)+COUNTIF($CB$72:$CB$95,CC156)+COUNTIF($CC$72:$CC$95,CC156)+COUNTIF($CD$72:$CD$95,CC156)+COUNTIF($CA$100:$CA$123,CC156)+COUNTIF($CB$100:$CB$123,CC156)+COUNTIF($CC$100:$CC$123,CC156)+COUNTIF($CD$100:$CD$123,CC156)+COUNTIF($CA$128:$CA$151,CC156)+COUNTIF($CB$128:$CB$151,CC156)+COUNTIF($CC$128:$CC$151,CC156)+COUNTIF($CD$128:$CD$151,CC156)+COUNTIF($CA$156:$CA$179,CC156)+COUNTIF($CB$156:$CB$179,CC156)+COUNTIF($CC$156:CC156,CC156),"000"))</f>
        <v/>
      </c>
      <c r="P156" s="9" t="str">
        <f>IF(AND($BN$27&lt;&gt;"",($BM$27+1)&lt;=$BO$27),$BN$27,"")</f>
        <v/>
      </c>
      <c r="Q156" s="9" t="str">
        <f>IF(AND($BN$27&lt;&gt;"",($BM$27+1)&lt;=$BO$27),TEXT(($BM$27+1),"00"),"")</f>
        <v/>
      </c>
      <c r="R156" s="9" t="str">
        <f>IF(AND($BN$27&lt;&gt;"",($BM$27+1)&lt;=$BO$27),$BN$27&amp;"-"&amp;TEXT(($BM$27+1),"00"),"")</f>
        <v/>
      </c>
      <c r="T156" s="6"/>
      <c r="U156" s="9" t="str">
        <f>IF(CD156="","",CD156&amp;"-"&amp;TEXT(COUNTIF($CA$72:$CA$95,CD156)+COUNTIF($CB$72:$CB$95,CD156)+COUNTIF($CC$72:$CC$95,CD156)+COUNTIF($CD$72:$CD$95,CD156)+COUNTIF($CA$100:$CA$123,CD156)+COUNTIF($CB$100:$CB$123,CD156)+COUNTIF($CC$100:$CC$123,CD156)+COUNTIF($CD$100:$CD$123,CD156)+COUNTIF($CA$128:$CA$151,CD156)+COUNTIF($CB$128:$CB$151,CD156)+COUNTIF($CC$128:$CC$151,CD156)+COUNTIF($CD$128:$CD$151,CD156)+COUNTIF($CA$156:$CA$179,CD156)+COUNTIF($CB$156:$CB$179,CD156)+COUNTIF($CC$156:$CC$179,CD156)+COUNTIF($CD$156:CD156,CD156),"000"))</f>
        <v/>
      </c>
      <c r="V156" s="9" t="str">
        <f>IF(AND($BN$28&lt;&gt;"",($BM$28+1)&lt;=$BO$28),$BN$28,"")</f>
        <v/>
      </c>
      <c r="W156" s="9" t="str">
        <f>IF(AND($BN$28&lt;&gt;"",($BM$28+1)&lt;=$BO$28),TEXT(($BM$28+1),"00"),"")</f>
        <v/>
      </c>
      <c r="X156" s="9" t="str">
        <f>IF(AND($BN$28&lt;&gt;"",($BM$28+1)&lt;=$BO$28),$BN$28&amp;"-"&amp;TEXT(($BM$28+1),"00"),"")</f>
        <v/>
      </c>
      <c r="CA156" t="str" cm="1">
        <f t="array" ref="CA156">IF(NOT(AND($BN$25&lt;&gt;"",($BM$25+1)&lt;=$BO$25)),"",IF(B156&lt;&gt;"",IF(B156="-","",B156),IF(ISNUMBER(SEARCH(":",$BP$25)),IFERROR(_xlfn.LET(_xlpm.s,_xlfn.TEXTSPLIT($BP$25,","),_xlpm.k,FIND(":",_xlpm.s),INDEX(TRIM(LEFT(_xlpm.s,_xlpm.k-1)),_xlfn.XMATCH(($BM$25+1),_xlfn.SCAN(0,--MID(_xlpm.s,_xlpm.k+1,9),_xlfn.LAMBDA(_xlpm.a,_xlpm.v,_xlpm.a+_xlpm.v)),1))),""),IF(($BM$25+1)&lt;=$BQ$25,$BP$25,""))))</f>
        <v/>
      </c>
      <c r="CB156" t="str" cm="1">
        <f t="array" ref="CB156">IF(NOT(AND($BN$26&lt;&gt;"",($BM$26+1)&lt;=$BO$26)),"",IF(H156&lt;&gt;"",IF(H156="-","",H156),IF(ISNUMBER(SEARCH(":",$BP$26)),IFERROR(_xlfn.LET(_xlpm.s,_xlfn.TEXTSPLIT($BP$26,","),_xlpm.k,FIND(":",_xlpm.s),INDEX(TRIM(LEFT(_xlpm.s,_xlpm.k-1)),_xlfn.XMATCH(($BM$26+1),_xlfn.SCAN(0,--MID(_xlpm.s,_xlpm.k+1,9),_xlfn.LAMBDA(_xlpm.a,_xlpm.v,_xlpm.a+_xlpm.v)),1))),""),IF(($BM$26+1)&lt;=$BQ$26,$BP$26,""))))</f>
        <v/>
      </c>
      <c r="CC156" t="str" cm="1">
        <f t="array" ref="CC156">IF(NOT(AND($BN$27&lt;&gt;"",($BM$27+1)&lt;=$BO$27)),"",IF(N156&lt;&gt;"",IF(N156="-","",N156),IF(ISNUMBER(SEARCH(":",$BP$27)),IFERROR(_xlfn.LET(_xlpm.s,_xlfn.TEXTSPLIT($BP$27,","),_xlpm.k,FIND(":",_xlpm.s),INDEX(TRIM(LEFT(_xlpm.s,_xlpm.k-1)),_xlfn.XMATCH(($BM$27+1),_xlfn.SCAN(0,--MID(_xlpm.s,_xlpm.k+1,9),_xlfn.LAMBDA(_xlpm.a,_xlpm.v,_xlpm.a+_xlpm.v)),1))),""),IF(($BM$27+1)&lt;=$BQ$27,$BP$27,""))))</f>
        <v/>
      </c>
      <c r="CD156" t="str" cm="1">
        <f t="array" ref="CD156">IF(NOT(AND($BN$28&lt;&gt;"",($BM$28+1)&lt;=$BO$28)),"",IF(T156&lt;&gt;"",IF(T156="-","",T156),IF(ISNUMBER(SEARCH(":",$BP$28)),IFERROR(_xlfn.LET(_xlpm.s,_xlfn.TEXTSPLIT($BP$28,","),_xlpm.k,FIND(":",_xlpm.s),INDEX(TRIM(LEFT(_xlpm.s,_xlpm.k-1)),_xlfn.XMATCH(($BM$28+1),_xlfn.SCAN(0,--MID(_xlpm.s,_xlpm.k+1,9),_xlfn.LAMBDA(_xlpm.a,_xlpm.v,_xlpm.a+_xlpm.v)),1))),""),IF(($BM$28+1)&lt;=$BQ$28,$BP$28,""))))</f>
        <v/>
      </c>
    </row>
    <row r="157" spans="2:82" hidden="1" x14ac:dyDescent="0.45">
      <c r="B157" s="6"/>
      <c r="C157" s="9" t="str">
        <f>IF(CA157="","",CA157&amp;"-"&amp;TEXT(COUNTIF($CA$72:$CA$95,CA157)+COUNTIF($CB$72:$CB$95,CA157)+COUNTIF($CC$72:$CC$95,CA157)+COUNTIF($CD$72:$CD$95,CA157)+COUNTIF($CA$100:$CA$123,CA157)+COUNTIF($CB$100:$CB$123,CA157)+COUNTIF($CC$100:$CC$123,CA157)+COUNTIF($CD$100:$CD$123,CA157)+COUNTIF($CA$128:$CA$151,CA157)+COUNTIF($CB$128:$CB$151,CA157)+COUNTIF($CC$128:$CC$151,CA157)+COUNTIF($CD$128:$CD$151,CA157)+COUNTIF($CA$156:CA157,CA157),"000"))</f>
        <v/>
      </c>
      <c r="D157" s="9" t="str">
        <f>IF(AND($BN$25&lt;&gt;"",($BM$25+2)&lt;=$BO$25),$BN$25,"")</f>
        <v/>
      </c>
      <c r="E157" s="9" t="str">
        <f>IF(AND($BN$25&lt;&gt;"",($BM$25+2)&lt;=$BO$25),TEXT(($BM$25+2),"00"),"")</f>
        <v/>
      </c>
      <c r="F157" s="9" t="str">
        <f>IF(AND($BN$25&lt;&gt;"",($BM$25+2)&lt;=$BO$25),$BN$25&amp;"-"&amp;TEXT(($BM$25+2),"00"),"")</f>
        <v/>
      </c>
      <c r="H157" s="6"/>
      <c r="I157" s="9" t="str">
        <f>IF(CB157="","",CB157&amp;"-"&amp;TEXT(COUNTIF($CA$72:$CA$95,CB157)+COUNTIF($CB$72:$CB$95,CB157)+COUNTIF($CC$72:$CC$95,CB157)+COUNTIF($CD$72:$CD$95,CB157)+COUNTIF($CA$100:$CA$123,CB157)+COUNTIF($CB$100:$CB$123,CB157)+COUNTIF($CC$100:$CC$123,CB157)+COUNTIF($CD$100:$CD$123,CB157)+COUNTIF($CA$128:$CA$151,CB157)+COUNTIF($CB$128:$CB$151,CB157)+COUNTIF($CC$128:$CC$151,CB157)+COUNTIF($CD$128:$CD$151,CB157)+COUNTIF($CA$156:$CA$179,CB157)+COUNTIF($CB$156:CB157,CB157),"000"))</f>
        <v/>
      </c>
      <c r="J157" s="9" t="str">
        <f>IF(AND($BN$26&lt;&gt;"",($BM$26+2)&lt;=$BO$26),$BN$26,"")</f>
        <v/>
      </c>
      <c r="K157" s="9" t="str">
        <f>IF(AND($BN$26&lt;&gt;"",($BM$26+2)&lt;=$BO$26),TEXT(($BM$26+2),"00"),"")</f>
        <v/>
      </c>
      <c r="L157" s="9" t="str">
        <f>IF(AND($BN$26&lt;&gt;"",($BM$26+2)&lt;=$BO$26),$BN$26&amp;"-"&amp;TEXT(($BM$26+2),"00"),"")</f>
        <v/>
      </c>
      <c r="N157" s="6"/>
      <c r="O157" s="9" t="str">
        <f>IF(CC157="","",CC157&amp;"-"&amp;TEXT(COUNTIF($CA$72:$CA$95,CC157)+COUNTIF($CB$72:$CB$95,CC157)+COUNTIF($CC$72:$CC$95,CC157)+COUNTIF($CD$72:$CD$95,CC157)+COUNTIF($CA$100:$CA$123,CC157)+COUNTIF($CB$100:$CB$123,CC157)+COUNTIF($CC$100:$CC$123,CC157)+COUNTIF($CD$100:$CD$123,CC157)+COUNTIF($CA$128:$CA$151,CC157)+COUNTIF($CB$128:$CB$151,CC157)+COUNTIF($CC$128:$CC$151,CC157)+COUNTIF($CD$128:$CD$151,CC157)+COUNTIF($CA$156:$CA$179,CC157)+COUNTIF($CB$156:$CB$179,CC157)+COUNTIF($CC$156:CC157,CC157),"000"))</f>
        <v/>
      </c>
      <c r="P157" s="9" t="str">
        <f>IF(AND($BN$27&lt;&gt;"",($BM$27+2)&lt;=$BO$27),$BN$27,"")</f>
        <v/>
      </c>
      <c r="Q157" s="9" t="str">
        <f>IF(AND($BN$27&lt;&gt;"",($BM$27+2)&lt;=$BO$27),TEXT(($BM$27+2),"00"),"")</f>
        <v/>
      </c>
      <c r="R157" s="9" t="str">
        <f>IF(AND($BN$27&lt;&gt;"",($BM$27+2)&lt;=$BO$27),$BN$27&amp;"-"&amp;TEXT(($BM$27+2),"00"),"")</f>
        <v/>
      </c>
      <c r="T157" s="6"/>
      <c r="U157" s="9" t="str">
        <f>IF(CD157="","",CD157&amp;"-"&amp;TEXT(COUNTIF($CA$72:$CA$95,CD157)+COUNTIF($CB$72:$CB$95,CD157)+COUNTIF($CC$72:$CC$95,CD157)+COUNTIF($CD$72:$CD$95,CD157)+COUNTIF($CA$100:$CA$123,CD157)+COUNTIF($CB$100:$CB$123,CD157)+COUNTIF($CC$100:$CC$123,CD157)+COUNTIF($CD$100:$CD$123,CD157)+COUNTIF($CA$128:$CA$151,CD157)+COUNTIF($CB$128:$CB$151,CD157)+COUNTIF($CC$128:$CC$151,CD157)+COUNTIF($CD$128:$CD$151,CD157)+COUNTIF($CA$156:$CA$179,CD157)+COUNTIF($CB$156:$CB$179,CD157)+COUNTIF($CC$156:$CC$179,CD157)+COUNTIF($CD$156:CD157,CD157),"000"))</f>
        <v/>
      </c>
      <c r="V157" s="9" t="str">
        <f>IF(AND($BN$28&lt;&gt;"",($BM$28+2)&lt;=$BO$28),$BN$28,"")</f>
        <v/>
      </c>
      <c r="W157" s="9" t="str">
        <f>IF(AND($BN$28&lt;&gt;"",($BM$28+2)&lt;=$BO$28),TEXT(($BM$28+2),"00"),"")</f>
        <v/>
      </c>
      <c r="X157" s="9" t="str">
        <f>IF(AND($BN$28&lt;&gt;"",($BM$28+2)&lt;=$BO$28),$BN$28&amp;"-"&amp;TEXT(($BM$28+2),"00"),"")</f>
        <v/>
      </c>
      <c r="CA157" t="str" cm="1">
        <f t="array" ref="CA157">IF(NOT(AND($BN$25&lt;&gt;"",($BM$25+2)&lt;=$BO$25)),"",IF(B157&lt;&gt;"",IF(B157="-","",B157),IF(ISNUMBER(SEARCH(":",$BP$25)),IFERROR(_xlfn.LET(_xlpm.s,_xlfn.TEXTSPLIT($BP$25,","),_xlpm.k,FIND(":",_xlpm.s),INDEX(TRIM(LEFT(_xlpm.s,_xlpm.k-1)),_xlfn.XMATCH(($BM$25+2),_xlfn.SCAN(0,--MID(_xlpm.s,_xlpm.k+1,9),_xlfn.LAMBDA(_xlpm.a,_xlpm.v,_xlpm.a+_xlpm.v)),1))),""),IF(($BM$25+2)&lt;=$BQ$25,$BP$25,""))))</f>
        <v/>
      </c>
      <c r="CB157" t="str" cm="1">
        <f t="array" ref="CB157">IF(NOT(AND($BN$26&lt;&gt;"",($BM$26+2)&lt;=$BO$26)),"",IF(H157&lt;&gt;"",IF(H157="-","",H157),IF(ISNUMBER(SEARCH(":",$BP$26)),IFERROR(_xlfn.LET(_xlpm.s,_xlfn.TEXTSPLIT($BP$26,","),_xlpm.k,FIND(":",_xlpm.s),INDEX(TRIM(LEFT(_xlpm.s,_xlpm.k-1)),_xlfn.XMATCH(($BM$26+2),_xlfn.SCAN(0,--MID(_xlpm.s,_xlpm.k+1,9),_xlfn.LAMBDA(_xlpm.a,_xlpm.v,_xlpm.a+_xlpm.v)),1))),""),IF(($BM$26+2)&lt;=$BQ$26,$BP$26,""))))</f>
        <v/>
      </c>
      <c r="CC157" t="str" cm="1">
        <f t="array" ref="CC157">IF(NOT(AND($BN$27&lt;&gt;"",($BM$27+2)&lt;=$BO$27)),"",IF(N157&lt;&gt;"",IF(N157="-","",N157),IF(ISNUMBER(SEARCH(":",$BP$27)),IFERROR(_xlfn.LET(_xlpm.s,_xlfn.TEXTSPLIT($BP$27,","),_xlpm.k,FIND(":",_xlpm.s),INDEX(TRIM(LEFT(_xlpm.s,_xlpm.k-1)),_xlfn.XMATCH(($BM$27+2),_xlfn.SCAN(0,--MID(_xlpm.s,_xlpm.k+1,9),_xlfn.LAMBDA(_xlpm.a,_xlpm.v,_xlpm.a+_xlpm.v)),1))),""),IF(($BM$27+2)&lt;=$BQ$27,$BP$27,""))))</f>
        <v/>
      </c>
      <c r="CD157" t="str" cm="1">
        <f t="array" ref="CD157">IF(NOT(AND($BN$28&lt;&gt;"",($BM$28+2)&lt;=$BO$28)),"",IF(T157&lt;&gt;"",IF(T157="-","",T157),IF(ISNUMBER(SEARCH(":",$BP$28)),IFERROR(_xlfn.LET(_xlpm.s,_xlfn.TEXTSPLIT($BP$28,","),_xlpm.k,FIND(":",_xlpm.s),INDEX(TRIM(LEFT(_xlpm.s,_xlpm.k-1)),_xlfn.XMATCH(($BM$28+2),_xlfn.SCAN(0,--MID(_xlpm.s,_xlpm.k+1,9),_xlfn.LAMBDA(_xlpm.a,_xlpm.v,_xlpm.a+_xlpm.v)),1))),""),IF(($BM$28+2)&lt;=$BQ$28,$BP$28,""))))</f>
        <v/>
      </c>
    </row>
    <row r="158" spans="2:82" hidden="1" x14ac:dyDescent="0.45">
      <c r="B158" s="6"/>
      <c r="C158" s="9" t="str">
        <f>IF(CA158="","",CA158&amp;"-"&amp;TEXT(COUNTIF($CA$72:$CA$95,CA158)+COUNTIF($CB$72:$CB$95,CA158)+COUNTIF($CC$72:$CC$95,CA158)+COUNTIF($CD$72:$CD$95,CA158)+COUNTIF($CA$100:$CA$123,CA158)+COUNTIF($CB$100:$CB$123,CA158)+COUNTIF($CC$100:$CC$123,CA158)+COUNTIF($CD$100:$CD$123,CA158)+COUNTIF($CA$128:$CA$151,CA158)+COUNTIF($CB$128:$CB$151,CA158)+COUNTIF($CC$128:$CC$151,CA158)+COUNTIF($CD$128:$CD$151,CA158)+COUNTIF($CA$156:CA158,CA158),"000"))</f>
        <v/>
      </c>
      <c r="D158" s="9" t="str">
        <f>IF(AND($BN$25&lt;&gt;"",($BM$25+3)&lt;=$BO$25),$BN$25,"")</f>
        <v/>
      </c>
      <c r="E158" s="9" t="str">
        <f>IF(AND($BN$25&lt;&gt;"",($BM$25+3)&lt;=$BO$25),TEXT(($BM$25+3),"00"),"")</f>
        <v/>
      </c>
      <c r="F158" s="9" t="str">
        <f>IF(AND($BN$25&lt;&gt;"",($BM$25+3)&lt;=$BO$25),$BN$25&amp;"-"&amp;TEXT(($BM$25+3),"00"),"")</f>
        <v/>
      </c>
      <c r="H158" s="6"/>
      <c r="I158" s="9" t="str">
        <f>IF(CB158="","",CB158&amp;"-"&amp;TEXT(COUNTIF($CA$72:$CA$95,CB158)+COUNTIF($CB$72:$CB$95,CB158)+COUNTIF($CC$72:$CC$95,CB158)+COUNTIF($CD$72:$CD$95,CB158)+COUNTIF($CA$100:$CA$123,CB158)+COUNTIF($CB$100:$CB$123,CB158)+COUNTIF($CC$100:$CC$123,CB158)+COUNTIF($CD$100:$CD$123,CB158)+COUNTIF($CA$128:$CA$151,CB158)+COUNTIF($CB$128:$CB$151,CB158)+COUNTIF($CC$128:$CC$151,CB158)+COUNTIF($CD$128:$CD$151,CB158)+COUNTIF($CA$156:$CA$179,CB158)+COUNTIF($CB$156:CB158,CB158),"000"))</f>
        <v/>
      </c>
      <c r="J158" s="9" t="str">
        <f>IF(AND($BN$26&lt;&gt;"",($BM$26+3)&lt;=$BO$26),$BN$26,"")</f>
        <v/>
      </c>
      <c r="K158" s="9" t="str">
        <f>IF(AND($BN$26&lt;&gt;"",($BM$26+3)&lt;=$BO$26),TEXT(($BM$26+3),"00"),"")</f>
        <v/>
      </c>
      <c r="L158" s="9" t="str">
        <f>IF(AND($BN$26&lt;&gt;"",($BM$26+3)&lt;=$BO$26),$BN$26&amp;"-"&amp;TEXT(($BM$26+3),"00"),"")</f>
        <v/>
      </c>
      <c r="N158" s="6"/>
      <c r="O158" s="9" t="str">
        <f>IF(CC158="","",CC158&amp;"-"&amp;TEXT(COUNTIF($CA$72:$CA$95,CC158)+COUNTIF($CB$72:$CB$95,CC158)+COUNTIF($CC$72:$CC$95,CC158)+COUNTIF($CD$72:$CD$95,CC158)+COUNTIF($CA$100:$CA$123,CC158)+COUNTIF($CB$100:$CB$123,CC158)+COUNTIF($CC$100:$CC$123,CC158)+COUNTIF($CD$100:$CD$123,CC158)+COUNTIF($CA$128:$CA$151,CC158)+COUNTIF($CB$128:$CB$151,CC158)+COUNTIF($CC$128:$CC$151,CC158)+COUNTIF($CD$128:$CD$151,CC158)+COUNTIF($CA$156:$CA$179,CC158)+COUNTIF($CB$156:$CB$179,CC158)+COUNTIF($CC$156:CC158,CC158),"000"))</f>
        <v/>
      </c>
      <c r="P158" s="9" t="str">
        <f>IF(AND($BN$27&lt;&gt;"",($BM$27+3)&lt;=$BO$27),$BN$27,"")</f>
        <v/>
      </c>
      <c r="Q158" s="9" t="str">
        <f>IF(AND($BN$27&lt;&gt;"",($BM$27+3)&lt;=$BO$27),TEXT(($BM$27+3),"00"),"")</f>
        <v/>
      </c>
      <c r="R158" s="9" t="str">
        <f>IF(AND($BN$27&lt;&gt;"",($BM$27+3)&lt;=$BO$27),$BN$27&amp;"-"&amp;TEXT(($BM$27+3),"00"),"")</f>
        <v/>
      </c>
      <c r="T158" s="6"/>
      <c r="U158" s="9" t="str">
        <f>IF(CD158="","",CD158&amp;"-"&amp;TEXT(COUNTIF($CA$72:$CA$95,CD158)+COUNTIF($CB$72:$CB$95,CD158)+COUNTIF($CC$72:$CC$95,CD158)+COUNTIF($CD$72:$CD$95,CD158)+COUNTIF($CA$100:$CA$123,CD158)+COUNTIF($CB$100:$CB$123,CD158)+COUNTIF($CC$100:$CC$123,CD158)+COUNTIF($CD$100:$CD$123,CD158)+COUNTIF($CA$128:$CA$151,CD158)+COUNTIF($CB$128:$CB$151,CD158)+COUNTIF($CC$128:$CC$151,CD158)+COUNTIF($CD$128:$CD$151,CD158)+COUNTIF($CA$156:$CA$179,CD158)+COUNTIF($CB$156:$CB$179,CD158)+COUNTIF($CC$156:$CC$179,CD158)+COUNTIF($CD$156:CD158,CD158),"000"))</f>
        <v/>
      </c>
      <c r="V158" s="9" t="str">
        <f>IF(AND($BN$28&lt;&gt;"",($BM$28+3)&lt;=$BO$28),$BN$28,"")</f>
        <v/>
      </c>
      <c r="W158" s="9" t="str">
        <f>IF(AND($BN$28&lt;&gt;"",($BM$28+3)&lt;=$BO$28),TEXT(($BM$28+3),"00"),"")</f>
        <v/>
      </c>
      <c r="X158" s="9" t="str">
        <f>IF(AND($BN$28&lt;&gt;"",($BM$28+3)&lt;=$BO$28),$BN$28&amp;"-"&amp;TEXT(($BM$28+3),"00"),"")</f>
        <v/>
      </c>
      <c r="CA158" t="str" cm="1">
        <f t="array" ref="CA158">IF(NOT(AND($BN$25&lt;&gt;"",($BM$25+3)&lt;=$BO$25)),"",IF(B158&lt;&gt;"",IF(B158="-","",B158),IF(ISNUMBER(SEARCH(":",$BP$25)),IFERROR(_xlfn.LET(_xlpm.s,_xlfn.TEXTSPLIT($BP$25,","),_xlpm.k,FIND(":",_xlpm.s),INDEX(TRIM(LEFT(_xlpm.s,_xlpm.k-1)),_xlfn.XMATCH(($BM$25+3),_xlfn.SCAN(0,--MID(_xlpm.s,_xlpm.k+1,9),_xlfn.LAMBDA(_xlpm.a,_xlpm.v,_xlpm.a+_xlpm.v)),1))),""),IF(($BM$25+3)&lt;=$BQ$25,$BP$25,""))))</f>
        <v/>
      </c>
      <c r="CB158" t="str" cm="1">
        <f t="array" ref="CB158">IF(NOT(AND($BN$26&lt;&gt;"",($BM$26+3)&lt;=$BO$26)),"",IF(H158&lt;&gt;"",IF(H158="-","",H158),IF(ISNUMBER(SEARCH(":",$BP$26)),IFERROR(_xlfn.LET(_xlpm.s,_xlfn.TEXTSPLIT($BP$26,","),_xlpm.k,FIND(":",_xlpm.s),INDEX(TRIM(LEFT(_xlpm.s,_xlpm.k-1)),_xlfn.XMATCH(($BM$26+3),_xlfn.SCAN(0,--MID(_xlpm.s,_xlpm.k+1,9),_xlfn.LAMBDA(_xlpm.a,_xlpm.v,_xlpm.a+_xlpm.v)),1))),""),IF(($BM$26+3)&lt;=$BQ$26,$BP$26,""))))</f>
        <v/>
      </c>
      <c r="CC158" t="str" cm="1">
        <f t="array" ref="CC158">IF(NOT(AND($BN$27&lt;&gt;"",($BM$27+3)&lt;=$BO$27)),"",IF(N158&lt;&gt;"",IF(N158="-","",N158),IF(ISNUMBER(SEARCH(":",$BP$27)),IFERROR(_xlfn.LET(_xlpm.s,_xlfn.TEXTSPLIT($BP$27,","),_xlpm.k,FIND(":",_xlpm.s),INDEX(TRIM(LEFT(_xlpm.s,_xlpm.k-1)),_xlfn.XMATCH(($BM$27+3),_xlfn.SCAN(0,--MID(_xlpm.s,_xlpm.k+1,9),_xlfn.LAMBDA(_xlpm.a,_xlpm.v,_xlpm.a+_xlpm.v)),1))),""),IF(($BM$27+3)&lt;=$BQ$27,$BP$27,""))))</f>
        <v/>
      </c>
      <c r="CD158" t="str" cm="1">
        <f t="array" ref="CD158">IF(NOT(AND($BN$28&lt;&gt;"",($BM$28+3)&lt;=$BO$28)),"",IF(T158&lt;&gt;"",IF(T158="-","",T158),IF(ISNUMBER(SEARCH(":",$BP$28)),IFERROR(_xlfn.LET(_xlpm.s,_xlfn.TEXTSPLIT($BP$28,","),_xlpm.k,FIND(":",_xlpm.s),INDEX(TRIM(LEFT(_xlpm.s,_xlpm.k-1)),_xlfn.XMATCH(($BM$28+3),_xlfn.SCAN(0,--MID(_xlpm.s,_xlpm.k+1,9),_xlfn.LAMBDA(_xlpm.a,_xlpm.v,_xlpm.a+_xlpm.v)),1))),""),IF(($BM$28+3)&lt;=$BQ$28,$BP$28,""))))</f>
        <v/>
      </c>
    </row>
    <row r="159" spans="2:82" hidden="1" x14ac:dyDescent="0.45">
      <c r="B159" s="6"/>
      <c r="C159" s="9" t="str">
        <f>IF(CA159="","",CA159&amp;"-"&amp;TEXT(COUNTIF($CA$72:$CA$95,CA159)+COUNTIF($CB$72:$CB$95,CA159)+COUNTIF($CC$72:$CC$95,CA159)+COUNTIF($CD$72:$CD$95,CA159)+COUNTIF($CA$100:$CA$123,CA159)+COUNTIF($CB$100:$CB$123,CA159)+COUNTIF($CC$100:$CC$123,CA159)+COUNTIF($CD$100:$CD$123,CA159)+COUNTIF($CA$128:$CA$151,CA159)+COUNTIF($CB$128:$CB$151,CA159)+COUNTIF($CC$128:$CC$151,CA159)+COUNTIF($CD$128:$CD$151,CA159)+COUNTIF($CA$156:CA159,CA159),"000"))</f>
        <v/>
      </c>
      <c r="D159" s="9" t="str">
        <f>IF(AND($BN$25&lt;&gt;"",($BM$25+4)&lt;=$BO$25),$BN$25,"")</f>
        <v/>
      </c>
      <c r="E159" s="9" t="str">
        <f>IF(AND($BN$25&lt;&gt;"",($BM$25+4)&lt;=$BO$25),TEXT(($BM$25+4),"00"),"")</f>
        <v/>
      </c>
      <c r="F159" s="9" t="str">
        <f>IF(AND($BN$25&lt;&gt;"",($BM$25+4)&lt;=$BO$25),$BN$25&amp;"-"&amp;TEXT(($BM$25+4),"00"),"")</f>
        <v/>
      </c>
      <c r="H159" s="6"/>
      <c r="I159" s="9" t="str">
        <f>IF(CB159="","",CB159&amp;"-"&amp;TEXT(COUNTIF($CA$72:$CA$95,CB159)+COUNTIF($CB$72:$CB$95,CB159)+COUNTIF($CC$72:$CC$95,CB159)+COUNTIF($CD$72:$CD$95,CB159)+COUNTIF($CA$100:$CA$123,CB159)+COUNTIF($CB$100:$CB$123,CB159)+COUNTIF($CC$100:$CC$123,CB159)+COUNTIF($CD$100:$CD$123,CB159)+COUNTIF($CA$128:$CA$151,CB159)+COUNTIF($CB$128:$CB$151,CB159)+COUNTIF($CC$128:$CC$151,CB159)+COUNTIF($CD$128:$CD$151,CB159)+COUNTIF($CA$156:$CA$179,CB159)+COUNTIF($CB$156:CB159,CB159),"000"))</f>
        <v/>
      </c>
      <c r="J159" s="9" t="str">
        <f>IF(AND($BN$26&lt;&gt;"",($BM$26+4)&lt;=$BO$26),$BN$26,"")</f>
        <v/>
      </c>
      <c r="K159" s="9" t="str">
        <f>IF(AND($BN$26&lt;&gt;"",($BM$26+4)&lt;=$BO$26),TEXT(($BM$26+4),"00"),"")</f>
        <v/>
      </c>
      <c r="L159" s="9" t="str">
        <f>IF(AND($BN$26&lt;&gt;"",($BM$26+4)&lt;=$BO$26),$BN$26&amp;"-"&amp;TEXT(($BM$26+4),"00"),"")</f>
        <v/>
      </c>
      <c r="N159" s="6"/>
      <c r="O159" s="9" t="str">
        <f>IF(CC159="","",CC159&amp;"-"&amp;TEXT(COUNTIF($CA$72:$CA$95,CC159)+COUNTIF($CB$72:$CB$95,CC159)+COUNTIF($CC$72:$CC$95,CC159)+COUNTIF($CD$72:$CD$95,CC159)+COUNTIF($CA$100:$CA$123,CC159)+COUNTIF($CB$100:$CB$123,CC159)+COUNTIF($CC$100:$CC$123,CC159)+COUNTIF($CD$100:$CD$123,CC159)+COUNTIF($CA$128:$CA$151,CC159)+COUNTIF($CB$128:$CB$151,CC159)+COUNTIF($CC$128:$CC$151,CC159)+COUNTIF($CD$128:$CD$151,CC159)+COUNTIF($CA$156:$CA$179,CC159)+COUNTIF($CB$156:$CB$179,CC159)+COUNTIF($CC$156:CC159,CC159),"000"))</f>
        <v/>
      </c>
      <c r="P159" s="9" t="str">
        <f>IF(AND($BN$27&lt;&gt;"",($BM$27+4)&lt;=$BO$27),$BN$27,"")</f>
        <v/>
      </c>
      <c r="Q159" s="9" t="str">
        <f>IF(AND($BN$27&lt;&gt;"",($BM$27+4)&lt;=$BO$27),TEXT(($BM$27+4),"00"),"")</f>
        <v/>
      </c>
      <c r="R159" s="9" t="str">
        <f>IF(AND($BN$27&lt;&gt;"",($BM$27+4)&lt;=$BO$27),$BN$27&amp;"-"&amp;TEXT(($BM$27+4),"00"),"")</f>
        <v/>
      </c>
      <c r="T159" s="6"/>
      <c r="U159" s="9" t="str">
        <f>IF(CD159="","",CD159&amp;"-"&amp;TEXT(COUNTIF($CA$72:$CA$95,CD159)+COUNTIF($CB$72:$CB$95,CD159)+COUNTIF($CC$72:$CC$95,CD159)+COUNTIF($CD$72:$CD$95,CD159)+COUNTIF($CA$100:$CA$123,CD159)+COUNTIF($CB$100:$CB$123,CD159)+COUNTIF($CC$100:$CC$123,CD159)+COUNTIF($CD$100:$CD$123,CD159)+COUNTIF($CA$128:$CA$151,CD159)+COUNTIF($CB$128:$CB$151,CD159)+COUNTIF($CC$128:$CC$151,CD159)+COUNTIF($CD$128:$CD$151,CD159)+COUNTIF($CA$156:$CA$179,CD159)+COUNTIF($CB$156:$CB$179,CD159)+COUNTIF($CC$156:$CC$179,CD159)+COUNTIF($CD$156:CD159,CD159),"000"))</f>
        <v/>
      </c>
      <c r="V159" s="9" t="str">
        <f>IF(AND($BN$28&lt;&gt;"",($BM$28+4)&lt;=$BO$28),$BN$28,"")</f>
        <v/>
      </c>
      <c r="W159" s="9" t="str">
        <f>IF(AND($BN$28&lt;&gt;"",($BM$28+4)&lt;=$BO$28),TEXT(($BM$28+4),"00"),"")</f>
        <v/>
      </c>
      <c r="X159" s="9" t="str">
        <f>IF(AND($BN$28&lt;&gt;"",($BM$28+4)&lt;=$BO$28),$BN$28&amp;"-"&amp;TEXT(($BM$28+4),"00"),"")</f>
        <v/>
      </c>
      <c r="CA159" t="str" cm="1">
        <f t="array" ref="CA159">IF(NOT(AND($BN$25&lt;&gt;"",($BM$25+4)&lt;=$BO$25)),"",IF(B159&lt;&gt;"",IF(B159="-","",B159),IF(ISNUMBER(SEARCH(":",$BP$25)),IFERROR(_xlfn.LET(_xlpm.s,_xlfn.TEXTSPLIT($BP$25,","),_xlpm.k,FIND(":",_xlpm.s),INDEX(TRIM(LEFT(_xlpm.s,_xlpm.k-1)),_xlfn.XMATCH(($BM$25+4),_xlfn.SCAN(0,--MID(_xlpm.s,_xlpm.k+1,9),_xlfn.LAMBDA(_xlpm.a,_xlpm.v,_xlpm.a+_xlpm.v)),1))),""),IF(($BM$25+4)&lt;=$BQ$25,$BP$25,""))))</f>
        <v/>
      </c>
      <c r="CB159" t="str" cm="1">
        <f t="array" ref="CB159">IF(NOT(AND($BN$26&lt;&gt;"",($BM$26+4)&lt;=$BO$26)),"",IF(H159&lt;&gt;"",IF(H159="-","",H159),IF(ISNUMBER(SEARCH(":",$BP$26)),IFERROR(_xlfn.LET(_xlpm.s,_xlfn.TEXTSPLIT($BP$26,","),_xlpm.k,FIND(":",_xlpm.s),INDEX(TRIM(LEFT(_xlpm.s,_xlpm.k-1)),_xlfn.XMATCH(($BM$26+4),_xlfn.SCAN(0,--MID(_xlpm.s,_xlpm.k+1,9),_xlfn.LAMBDA(_xlpm.a,_xlpm.v,_xlpm.a+_xlpm.v)),1))),""),IF(($BM$26+4)&lt;=$BQ$26,$BP$26,""))))</f>
        <v/>
      </c>
      <c r="CC159" t="str" cm="1">
        <f t="array" ref="CC159">IF(NOT(AND($BN$27&lt;&gt;"",($BM$27+4)&lt;=$BO$27)),"",IF(N159&lt;&gt;"",IF(N159="-","",N159),IF(ISNUMBER(SEARCH(":",$BP$27)),IFERROR(_xlfn.LET(_xlpm.s,_xlfn.TEXTSPLIT($BP$27,","),_xlpm.k,FIND(":",_xlpm.s),INDEX(TRIM(LEFT(_xlpm.s,_xlpm.k-1)),_xlfn.XMATCH(($BM$27+4),_xlfn.SCAN(0,--MID(_xlpm.s,_xlpm.k+1,9),_xlfn.LAMBDA(_xlpm.a,_xlpm.v,_xlpm.a+_xlpm.v)),1))),""),IF(($BM$27+4)&lt;=$BQ$27,$BP$27,""))))</f>
        <v/>
      </c>
      <c r="CD159" t="str" cm="1">
        <f t="array" ref="CD159">IF(NOT(AND($BN$28&lt;&gt;"",($BM$28+4)&lt;=$BO$28)),"",IF(T159&lt;&gt;"",IF(T159="-","",T159),IF(ISNUMBER(SEARCH(":",$BP$28)),IFERROR(_xlfn.LET(_xlpm.s,_xlfn.TEXTSPLIT($BP$28,","),_xlpm.k,FIND(":",_xlpm.s),INDEX(TRIM(LEFT(_xlpm.s,_xlpm.k-1)),_xlfn.XMATCH(($BM$28+4),_xlfn.SCAN(0,--MID(_xlpm.s,_xlpm.k+1,9),_xlfn.LAMBDA(_xlpm.a,_xlpm.v,_xlpm.a+_xlpm.v)),1))),""),IF(($BM$28+4)&lt;=$BQ$28,$BP$28,""))))</f>
        <v/>
      </c>
    </row>
    <row r="160" spans="2:82" hidden="1" x14ac:dyDescent="0.45">
      <c r="B160" s="6"/>
      <c r="C160" s="9" t="str">
        <f>IF(CA160="","",CA160&amp;"-"&amp;TEXT(COUNTIF($CA$72:$CA$95,CA160)+COUNTIF($CB$72:$CB$95,CA160)+COUNTIF($CC$72:$CC$95,CA160)+COUNTIF($CD$72:$CD$95,CA160)+COUNTIF($CA$100:$CA$123,CA160)+COUNTIF($CB$100:$CB$123,CA160)+COUNTIF($CC$100:$CC$123,CA160)+COUNTIF($CD$100:$CD$123,CA160)+COUNTIF($CA$128:$CA$151,CA160)+COUNTIF($CB$128:$CB$151,CA160)+COUNTIF($CC$128:$CC$151,CA160)+COUNTIF($CD$128:$CD$151,CA160)+COUNTIF($CA$156:CA160,CA160),"000"))</f>
        <v/>
      </c>
      <c r="D160" s="9" t="str">
        <f>IF(AND($BN$25&lt;&gt;"",($BM$25+5)&lt;=$BO$25),$BN$25,"")</f>
        <v/>
      </c>
      <c r="E160" s="9" t="str">
        <f>IF(AND($BN$25&lt;&gt;"",($BM$25+5)&lt;=$BO$25),TEXT(($BM$25+5),"00"),"")</f>
        <v/>
      </c>
      <c r="F160" s="9" t="str">
        <f>IF(AND($BN$25&lt;&gt;"",($BM$25+5)&lt;=$BO$25),$BN$25&amp;"-"&amp;TEXT(($BM$25+5),"00"),"")</f>
        <v/>
      </c>
      <c r="H160" s="6"/>
      <c r="I160" s="9" t="str">
        <f>IF(CB160="","",CB160&amp;"-"&amp;TEXT(COUNTIF($CA$72:$CA$95,CB160)+COUNTIF($CB$72:$CB$95,CB160)+COUNTIF($CC$72:$CC$95,CB160)+COUNTIF($CD$72:$CD$95,CB160)+COUNTIF($CA$100:$CA$123,CB160)+COUNTIF($CB$100:$CB$123,CB160)+COUNTIF($CC$100:$CC$123,CB160)+COUNTIF($CD$100:$CD$123,CB160)+COUNTIF($CA$128:$CA$151,CB160)+COUNTIF($CB$128:$CB$151,CB160)+COUNTIF($CC$128:$CC$151,CB160)+COUNTIF($CD$128:$CD$151,CB160)+COUNTIF($CA$156:$CA$179,CB160)+COUNTIF($CB$156:CB160,CB160),"000"))</f>
        <v/>
      </c>
      <c r="J160" s="9" t="str">
        <f>IF(AND($BN$26&lt;&gt;"",($BM$26+5)&lt;=$BO$26),$BN$26,"")</f>
        <v/>
      </c>
      <c r="K160" s="9" t="str">
        <f>IF(AND($BN$26&lt;&gt;"",($BM$26+5)&lt;=$BO$26),TEXT(($BM$26+5),"00"),"")</f>
        <v/>
      </c>
      <c r="L160" s="9" t="str">
        <f>IF(AND($BN$26&lt;&gt;"",($BM$26+5)&lt;=$BO$26),$BN$26&amp;"-"&amp;TEXT(($BM$26+5),"00"),"")</f>
        <v/>
      </c>
      <c r="N160" s="6"/>
      <c r="O160" s="9" t="str">
        <f>IF(CC160="","",CC160&amp;"-"&amp;TEXT(COUNTIF($CA$72:$CA$95,CC160)+COUNTIF($CB$72:$CB$95,CC160)+COUNTIF($CC$72:$CC$95,CC160)+COUNTIF($CD$72:$CD$95,CC160)+COUNTIF($CA$100:$CA$123,CC160)+COUNTIF($CB$100:$CB$123,CC160)+COUNTIF($CC$100:$CC$123,CC160)+COUNTIF($CD$100:$CD$123,CC160)+COUNTIF($CA$128:$CA$151,CC160)+COUNTIF($CB$128:$CB$151,CC160)+COUNTIF($CC$128:$CC$151,CC160)+COUNTIF($CD$128:$CD$151,CC160)+COUNTIF($CA$156:$CA$179,CC160)+COUNTIF($CB$156:$CB$179,CC160)+COUNTIF($CC$156:CC160,CC160),"000"))</f>
        <v/>
      </c>
      <c r="P160" s="9" t="str">
        <f>IF(AND($BN$27&lt;&gt;"",($BM$27+5)&lt;=$BO$27),$BN$27,"")</f>
        <v/>
      </c>
      <c r="Q160" s="9" t="str">
        <f>IF(AND($BN$27&lt;&gt;"",($BM$27+5)&lt;=$BO$27),TEXT(($BM$27+5),"00"),"")</f>
        <v/>
      </c>
      <c r="R160" s="9" t="str">
        <f>IF(AND($BN$27&lt;&gt;"",($BM$27+5)&lt;=$BO$27),$BN$27&amp;"-"&amp;TEXT(($BM$27+5),"00"),"")</f>
        <v/>
      </c>
      <c r="T160" s="6"/>
      <c r="U160" s="9" t="str">
        <f>IF(CD160="","",CD160&amp;"-"&amp;TEXT(COUNTIF($CA$72:$CA$95,CD160)+COUNTIF($CB$72:$CB$95,CD160)+COUNTIF($CC$72:$CC$95,CD160)+COUNTIF($CD$72:$CD$95,CD160)+COUNTIF($CA$100:$CA$123,CD160)+COUNTIF($CB$100:$CB$123,CD160)+COUNTIF($CC$100:$CC$123,CD160)+COUNTIF($CD$100:$CD$123,CD160)+COUNTIF($CA$128:$CA$151,CD160)+COUNTIF($CB$128:$CB$151,CD160)+COUNTIF($CC$128:$CC$151,CD160)+COUNTIF($CD$128:$CD$151,CD160)+COUNTIF($CA$156:$CA$179,CD160)+COUNTIF($CB$156:$CB$179,CD160)+COUNTIF($CC$156:$CC$179,CD160)+COUNTIF($CD$156:CD160,CD160),"000"))</f>
        <v/>
      </c>
      <c r="V160" s="9" t="str">
        <f>IF(AND($BN$28&lt;&gt;"",($BM$28+5)&lt;=$BO$28),$BN$28,"")</f>
        <v/>
      </c>
      <c r="W160" s="9" t="str">
        <f>IF(AND($BN$28&lt;&gt;"",($BM$28+5)&lt;=$BO$28),TEXT(($BM$28+5),"00"),"")</f>
        <v/>
      </c>
      <c r="X160" s="9" t="str">
        <f>IF(AND($BN$28&lt;&gt;"",($BM$28+5)&lt;=$BO$28),$BN$28&amp;"-"&amp;TEXT(($BM$28+5),"00"),"")</f>
        <v/>
      </c>
      <c r="CA160" t="str" cm="1">
        <f t="array" ref="CA160">IF(NOT(AND($BN$25&lt;&gt;"",($BM$25+5)&lt;=$BO$25)),"",IF(B160&lt;&gt;"",IF(B160="-","",B160),IF(ISNUMBER(SEARCH(":",$BP$25)),IFERROR(_xlfn.LET(_xlpm.s,_xlfn.TEXTSPLIT($BP$25,","),_xlpm.k,FIND(":",_xlpm.s),INDEX(TRIM(LEFT(_xlpm.s,_xlpm.k-1)),_xlfn.XMATCH(($BM$25+5),_xlfn.SCAN(0,--MID(_xlpm.s,_xlpm.k+1,9),_xlfn.LAMBDA(_xlpm.a,_xlpm.v,_xlpm.a+_xlpm.v)),1))),""),IF(($BM$25+5)&lt;=$BQ$25,$BP$25,""))))</f>
        <v/>
      </c>
      <c r="CB160" t="str" cm="1">
        <f t="array" ref="CB160">IF(NOT(AND($BN$26&lt;&gt;"",($BM$26+5)&lt;=$BO$26)),"",IF(H160&lt;&gt;"",IF(H160="-","",H160),IF(ISNUMBER(SEARCH(":",$BP$26)),IFERROR(_xlfn.LET(_xlpm.s,_xlfn.TEXTSPLIT($BP$26,","),_xlpm.k,FIND(":",_xlpm.s),INDEX(TRIM(LEFT(_xlpm.s,_xlpm.k-1)),_xlfn.XMATCH(($BM$26+5),_xlfn.SCAN(0,--MID(_xlpm.s,_xlpm.k+1,9),_xlfn.LAMBDA(_xlpm.a,_xlpm.v,_xlpm.a+_xlpm.v)),1))),""),IF(($BM$26+5)&lt;=$BQ$26,$BP$26,""))))</f>
        <v/>
      </c>
      <c r="CC160" t="str" cm="1">
        <f t="array" ref="CC160">IF(NOT(AND($BN$27&lt;&gt;"",($BM$27+5)&lt;=$BO$27)),"",IF(N160&lt;&gt;"",IF(N160="-","",N160),IF(ISNUMBER(SEARCH(":",$BP$27)),IFERROR(_xlfn.LET(_xlpm.s,_xlfn.TEXTSPLIT($BP$27,","),_xlpm.k,FIND(":",_xlpm.s),INDEX(TRIM(LEFT(_xlpm.s,_xlpm.k-1)),_xlfn.XMATCH(($BM$27+5),_xlfn.SCAN(0,--MID(_xlpm.s,_xlpm.k+1,9),_xlfn.LAMBDA(_xlpm.a,_xlpm.v,_xlpm.a+_xlpm.v)),1))),""),IF(($BM$27+5)&lt;=$BQ$27,$BP$27,""))))</f>
        <v/>
      </c>
      <c r="CD160" t="str" cm="1">
        <f t="array" ref="CD160">IF(NOT(AND($BN$28&lt;&gt;"",($BM$28+5)&lt;=$BO$28)),"",IF(T160&lt;&gt;"",IF(T160="-","",T160),IF(ISNUMBER(SEARCH(":",$BP$28)),IFERROR(_xlfn.LET(_xlpm.s,_xlfn.TEXTSPLIT($BP$28,","),_xlpm.k,FIND(":",_xlpm.s),INDEX(TRIM(LEFT(_xlpm.s,_xlpm.k-1)),_xlfn.XMATCH(($BM$28+5),_xlfn.SCAN(0,--MID(_xlpm.s,_xlpm.k+1,9),_xlfn.LAMBDA(_xlpm.a,_xlpm.v,_xlpm.a+_xlpm.v)),1))),""),IF(($BM$28+5)&lt;=$BQ$28,$BP$28,""))))</f>
        <v/>
      </c>
    </row>
    <row r="161" spans="2:82" hidden="1" x14ac:dyDescent="0.45">
      <c r="B161" s="6"/>
      <c r="C161" s="9" t="str">
        <f>IF(CA161="","",CA161&amp;"-"&amp;TEXT(COUNTIF($CA$72:$CA$95,CA161)+COUNTIF($CB$72:$CB$95,CA161)+COUNTIF($CC$72:$CC$95,CA161)+COUNTIF($CD$72:$CD$95,CA161)+COUNTIF($CA$100:$CA$123,CA161)+COUNTIF($CB$100:$CB$123,CA161)+COUNTIF($CC$100:$CC$123,CA161)+COUNTIF($CD$100:$CD$123,CA161)+COUNTIF($CA$128:$CA$151,CA161)+COUNTIF($CB$128:$CB$151,CA161)+COUNTIF($CC$128:$CC$151,CA161)+COUNTIF($CD$128:$CD$151,CA161)+COUNTIF($CA$156:CA161,CA161),"000"))</f>
        <v/>
      </c>
      <c r="D161" s="9" t="str">
        <f>IF(AND($BN$25&lt;&gt;"",($BM$25+6)&lt;=$BO$25),$BN$25,"")</f>
        <v/>
      </c>
      <c r="E161" s="9" t="str">
        <f>IF(AND($BN$25&lt;&gt;"",($BM$25+6)&lt;=$BO$25),TEXT(($BM$25+6),"00"),"")</f>
        <v/>
      </c>
      <c r="F161" s="9" t="str">
        <f>IF(AND($BN$25&lt;&gt;"",($BM$25+6)&lt;=$BO$25),$BN$25&amp;"-"&amp;TEXT(($BM$25+6),"00"),"")</f>
        <v/>
      </c>
      <c r="H161" s="6"/>
      <c r="I161" s="9" t="str">
        <f>IF(CB161="","",CB161&amp;"-"&amp;TEXT(COUNTIF($CA$72:$CA$95,CB161)+COUNTIF($CB$72:$CB$95,CB161)+COUNTIF($CC$72:$CC$95,CB161)+COUNTIF($CD$72:$CD$95,CB161)+COUNTIF($CA$100:$CA$123,CB161)+COUNTIF($CB$100:$CB$123,CB161)+COUNTIF($CC$100:$CC$123,CB161)+COUNTIF($CD$100:$CD$123,CB161)+COUNTIF($CA$128:$CA$151,CB161)+COUNTIF($CB$128:$CB$151,CB161)+COUNTIF($CC$128:$CC$151,CB161)+COUNTIF($CD$128:$CD$151,CB161)+COUNTIF($CA$156:$CA$179,CB161)+COUNTIF($CB$156:CB161,CB161),"000"))</f>
        <v/>
      </c>
      <c r="J161" s="9" t="str">
        <f>IF(AND($BN$26&lt;&gt;"",($BM$26+6)&lt;=$BO$26),$BN$26,"")</f>
        <v/>
      </c>
      <c r="K161" s="9" t="str">
        <f>IF(AND($BN$26&lt;&gt;"",($BM$26+6)&lt;=$BO$26),TEXT(($BM$26+6),"00"),"")</f>
        <v/>
      </c>
      <c r="L161" s="9" t="str">
        <f>IF(AND($BN$26&lt;&gt;"",($BM$26+6)&lt;=$BO$26),$BN$26&amp;"-"&amp;TEXT(($BM$26+6),"00"),"")</f>
        <v/>
      </c>
      <c r="N161" s="6"/>
      <c r="O161" s="9" t="str">
        <f>IF(CC161="","",CC161&amp;"-"&amp;TEXT(COUNTIF($CA$72:$CA$95,CC161)+COUNTIF($CB$72:$CB$95,CC161)+COUNTIF($CC$72:$CC$95,CC161)+COUNTIF($CD$72:$CD$95,CC161)+COUNTIF($CA$100:$CA$123,CC161)+COUNTIF($CB$100:$CB$123,CC161)+COUNTIF($CC$100:$CC$123,CC161)+COUNTIF($CD$100:$CD$123,CC161)+COUNTIF($CA$128:$CA$151,CC161)+COUNTIF($CB$128:$CB$151,CC161)+COUNTIF($CC$128:$CC$151,CC161)+COUNTIF($CD$128:$CD$151,CC161)+COUNTIF($CA$156:$CA$179,CC161)+COUNTIF($CB$156:$CB$179,CC161)+COUNTIF($CC$156:CC161,CC161),"000"))</f>
        <v/>
      </c>
      <c r="P161" s="9" t="str">
        <f>IF(AND($BN$27&lt;&gt;"",($BM$27+6)&lt;=$BO$27),$BN$27,"")</f>
        <v/>
      </c>
      <c r="Q161" s="9" t="str">
        <f>IF(AND($BN$27&lt;&gt;"",($BM$27+6)&lt;=$BO$27),TEXT(($BM$27+6),"00"),"")</f>
        <v/>
      </c>
      <c r="R161" s="9" t="str">
        <f>IF(AND($BN$27&lt;&gt;"",($BM$27+6)&lt;=$BO$27),$BN$27&amp;"-"&amp;TEXT(($BM$27+6),"00"),"")</f>
        <v/>
      </c>
      <c r="T161" s="6"/>
      <c r="U161" s="9" t="str">
        <f>IF(CD161="","",CD161&amp;"-"&amp;TEXT(COUNTIF($CA$72:$CA$95,CD161)+COUNTIF($CB$72:$CB$95,CD161)+COUNTIF($CC$72:$CC$95,CD161)+COUNTIF($CD$72:$CD$95,CD161)+COUNTIF($CA$100:$CA$123,CD161)+COUNTIF($CB$100:$CB$123,CD161)+COUNTIF($CC$100:$CC$123,CD161)+COUNTIF($CD$100:$CD$123,CD161)+COUNTIF($CA$128:$CA$151,CD161)+COUNTIF($CB$128:$CB$151,CD161)+COUNTIF($CC$128:$CC$151,CD161)+COUNTIF($CD$128:$CD$151,CD161)+COUNTIF($CA$156:$CA$179,CD161)+COUNTIF($CB$156:$CB$179,CD161)+COUNTIF($CC$156:$CC$179,CD161)+COUNTIF($CD$156:CD161,CD161),"000"))</f>
        <v/>
      </c>
      <c r="V161" s="9" t="str">
        <f>IF(AND($BN$28&lt;&gt;"",($BM$28+6)&lt;=$BO$28),$BN$28,"")</f>
        <v/>
      </c>
      <c r="W161" s="9" t="str">
        <f>IF(AND($BN$28&lt;&gt;"",($BM$28+6)&lt;=$BO$28),TEXT(($BM$28+6),"00"),"")</f>
        <v/>
      </c>
      <c r="X161" s="9" t="str">
        <f>IF(AND($BN$28&lt;&gt;"",($BM$28+6)&lt;=$BO$28),$BN$28&amp;"-"&amp;TEXT(($BM$28+6),"00"),"")</f>
        <v/>
      </c>
      <c r="CA161" t="str" cm="1">
        <f t="array" ref="CA161">IF(NOT(AND($BN$25&lt;&gt;"",($BM$25+6)&lt;=$BO$25)),"",IF(B161&lt;&gt;"",IF(B161="-","",B161),IF(ISNUMBER(SEARCH(":",$BP$25)),IFERROR(_xlfn.LET(_xlpm.s,_xlfn.TEXTSPLIT($BP$25,","),_xlpm.k,FIND(":",_xlpm.s),INDEX(TRIM(LEFT(_xlpm.s,_xlpm.k-1)),_xlfn.XMATCH(($BM$25+6),_xlfn.SCAN(0,--MID(_xlpm.s,_xlpm.k+1,9),_xlfn.LAMBDA(_xlpm.a,_xlpm.v,_xlpm.a+_xlpm.v)),1))),""),IF(($BM$25+6)&lt;=$BQ$25,$BP$25,""))))</f>
        <v/>
      </c>
      <c r="CB161" t="str" cm="1">
        <f t="array" ref="CB161">IF(NOT(AND($BN$26&lt;&gt;"",($BM$26+6)&lt;=$BO$26)),"",IF(H161&lt;&gt;"",IF(H161="-","",H161),IF(ISNUMBER(SEARCH(":",$BP$26)),IFERROR(_xlfn.LET(_xlpm.s,_xlfn.TEXTSPLIT($BP$26,","),_xlpm.k,FIND(":",_xlpm.s),INDEX(TRIM(LEFT(_xlpm.s,_xlpm.k-1)),_xlfn.XMATCH(($BM$26+6),_xlfn.SCAN(0,--MID(_xlpm.s,_xlpm.k+1,9),_xlfn.LAMBDA(_xlpm.a,_xlpm.v,_xlpm.a+_xlpm.v)),1))),""),IF(($BM$26+6)&lt;=$BQ$26,$BP$26,""))))</f>
        <v/>
      </c>
      <c r="CC161" t="str" cm="1">
        <f t="array" ref="CC161">IF(NOT(AND($BN$27&lt;&gt;"",($BM$27+6)&lt;=$BO$27)),"",IF(N161&lt;&gt;"",IF(N161="-","",N161),IF(ISNUMBER(SEARCH(":",$BP$27)),IFERROR(_xlfn.LET(_xlpm.s,_xlfn.TEXTSPLIT($BP$27,","),_xlpm.k,FIND(":",_xlpm.s),INDEX(TRIM(LEFT(_xlpm.s,_xlpm.k-1)),_xlfn.XMATCH(($BM$27+6),_xlfn.SCAN(0,--MID(_xlpm.s,_xlpm.k+1,9),_xlfn.LAMBDA(_xlpm.a,_xlpm.v,_xlpm.a+_xlpm.v)),1))),""),IF(($BM$27+6)&lt;=$BQ$27,$BP$27,""))))</f>
        <v/>
      </c>
      <c r="CD161" t="str" cm="1">
        <f t="array" ref="CD161">IF(NOT(AND($BN$28&lt;&gt;"",($BM$28+6)&lt;=$BO$28)),"",IF(T161&lt;&gt;"",IF(T161="-","",T161),IF(ISNUMBER(SEARCH(":",$BP$28)),IFERROR(_xlfn.LET(_xlpm.s,_xlfn.TEXTSPLIT($BP$28,","),_xlpm.k,FIND(":",_xlpm.s),INDEX(TRIM(LEFT(_xlpm.s,_xlpm.k-1)),_xlfn.XMATCH(($BM$28+6),_xlfn.SCAN(0,--MID(_xlpm.s,_xlpm.k+1,9),_xlfn.LAMBDA(_xlpm.a,_xlpm.v,_xlpm.a+_xlpm.v)),1))),""),IF(($BM$28+6)&lt;=$BQ$28,$BP$28,""))))</f>
        <v/>
      </c>
    </row>
    <row r="162" spans="2:82" hidden="1" x14ac:dyDescent="0.45">
      <c r="B162" s="6"/>
      <c r="C162" s="9" t="str">
        <f>IF(CA162="","",CA162&amp;"-"&amp;TEXT(COUNTIF($CA$72:$CA$95,CA162)+COUNTIF($CB$72:$CB$95,CA162)+COUNTIF($CC$72:$CC$95,CA162)+COUNTIF($CD$72:$CD$95,CA162)+COUNTIF($CA$100:$CA$123,CA162)+COUNTIF($CB$100:$CB$123,CA162)+COUNTIF($CC$100:$CC$123,CA162)+COUNTIF($CD$100:$CD$123,CA162)+COUNTIF($CA$128:$CA$151,CA162)+COUNTIF($CB$128:$CB$151,CA162)+COUNTIF($CC$128:$CC$151,CA162)+COUNTIF($CD$128:$CD$151,CA162)+COUNTIF($CA$156:CA162,CA162),"000"))</f>
        <v/>
      </c>
      <c r="D162" s="9" t="str">
        <f>IF(AND($BN$25&lt;&gt;"",($BM$25+7)&lt;=$BO$25),$BN$25,"")</f>
        <v/>
      </c>
      <c r="E162" s="9" t="str">
        <f>IF(AND($BN$25&lt;&gt;"",($BM$25+7)&lt;=$BO$25),TEXT(($BM$25+7),"00"),"")</f>
        <v/>
      </c>
      <c r="F162" s="9" t="str">
        <f>IF(AND($BN$25&lt;&gt;"",($BM$25+7)&lt;=$BO$25),$BN$25&amp;"-"&amp;TEXT(($BM$25+7),"00"),"")</f>
        <v/>
      </c>
      <c r="H162" s="6"/>
      <c r="I162" s="9" t="str">
        <f>IF(CB162="","",CB162&amp;"-"&amp;TEXT(COUNTIF($CA$72:$CA$95,CB162)+COUNTIF($CB$72:$CB$95,CB162)+COUNTIF($CC$72:$CC$95,CB162)+COUNTIF($CD$72:$CD$95,CB162)+COUNTIF($CA$100:$CA$123,CB162)+COUNTIF($CB$100:$CB$123,CB162)+COUNTIF($CC$100:$CC$123,CB162)+COUNTIF($CD$100:$CD$123,CB162)+COUNTIF($CA$128:$CA$151,CB162)+COUNTIF($CB$128:$CB$151,CB162)+COUNTIF($CC$128:$CC$151,CB162)+COUNTIF($CD$128:$CD$151,CB162)+COUNTIF($CA$156:$CA$179,CB162)+COUNTIF($CB$156:CB162,CB162),"000"))</f>
        <v/>
      </c>
      <c r="J162" s="9" t="str">
        <f>IF(AND($BN$26&lt;&gt;"",($BM$26+7)&lt;=$BO$26),$BN$26,"")</f>
        <v/>
      </c>
      <c r="K162" s="9" t="str">
        <f>IF(AND($BN$26&lt;&gt;"",($BM$26+7)&lt;=$BO$26),TEXT(($BM$26+7),"00"),"")</f>
        <v/>
      </c>
      <c r="L162" s="9" t="str">
        <f>IF(AND($BN$26&lt;&gt;"",($BM$26+7)&lt;=$BO$26),$BN$26&amp;"-"&amp;TEXT(($BM$26+7),"00"),"")</f>
        <v/>
      </c>
      <c r="N162" s="6"/>
      <c r="O162" s="9" t="str">
        <f>IF(CC162="","",CC162&amp;"-"&amp;TEXT(COUNTIF($CA$72:$CA$95,CC162)+COUNTIF($CB$72:$CB$95,CC162)+COUNTIF($CC$72:$CC$95,CC162)+COUNTIF($CD$72:$CD$95,CC162)+COUNTIF($CA$100:$CA$123,CC162)+COUNTIF($CB$100:$CB$123,CC162)+COUNTIF($CC$100:$CC$123,CC162)+COUNTIF($CD$100:$CD$123,CC162)+COUNTIF($CA$128:$CA$151,CC162)+COUNTIF($CB$128:$CB$151,CC162)+COUNTIF($CC$128:$CC$151,CC162)+COUNTIF($CD$128:$CD$151,CC162)+COUNTIF($CA$156:$CA$179,CC162)+COUNTIF($CB$156:$CB$179,CC162)+COUNTIF($CC$156:CC162,CC162),"000"))</f>
        <v/>
      </c>
      <c r="P162" s="9" t="str">
        <f>IF(AND($BN$27&lt;&gt;"",($BM$27+7)&lt;=$BO$27),$BN$27,"")</f>
        <v/>
      </c>
      <c r="Q162" s="9" t="str">
        <f>IF(AND($BN$27&lt;&gt;"",($BM$27+7)&lt;=$BO$27),TEXT(($BM$27+7),"00"),"")</f>
        <v/>
      </c>
      <c r="R162" s="9" t="str">
        <f>IF(AND($BN$27&lt;&gt;"",($BM$27+7)&lt;=$BO$27),$BN$27&amp;"-"&amp;TEXT(($BM$27+7),"00"),"")</f>
        <v/>
      </c>
      <c r="T162" s="6"/>
      <c r="U162" s="9" t="str">
        <f>IF(CD162="","",CD162&amp;"-"&amp;TEXT(COUNTIF($CA$72:$CA$95,CD162)+COUNTIF($CB$72:$CB$95,CD162)+COUNTIF($CC$72:$CC$95,CD162)+COUNTIF($CD$72:$CD$95,CD162)+COUNTIF($CA$100:$CA$123,CD162)+COUNTIF($CB$100:$CB$123,CD162)+COUNTIF($CC$100:$CC$123,CD162)+COUNTIF($CD$100:$CD$123,CD162)+COUNTIF($CA$128:$CA$151,CD162)+COUNTIF($CB$128:$CB$151,CD162)+COUNTIF($CC$128:$CC$151,CD162)+COUNTIF($CD$128:$CD$151,CD162)+COUNTIF($CA$156:$CA$179,CD162)+COUNTIF($CB$156:$CB$179,CD162)+COUNTIF($CC$156:$CC$179,CD162)+COUNTIF($CD$156:CD162,CD162),"000"))</f>
        <v/>
      </c>
      <c r="V162" s="9" t="str">
        <f>IF(AND($BN$28&lt;&gt;"",($BM$28+7)&lt;=$BO$28),$BN$28,"")</f>
        <v/>
      </c>
      <c r="W162" s="9" t="str">
        <f>IF(AND($BN$28&lt;&gt;"",($BM$28+7)&lt;=$BO$28),TEXT(($BM$28+7),"00"),"")</f>
        <v/>
      </c>
      <c r="X162" s="9" t="str">
        <f>IF(AND($BN$28&lt;&gt;"",($BM$28+7)&lt;=$BO$28),$BN$28&amp;"-"&amp;TEXT(($BM$28+7),"00"),"")</f>
        <v/>
      </c>
      <c r="CA162" t="str" cm="1">
        <f t="array" ref="CA162">IF(NOT(AND($BN$25&lt;&gt;"",($BM$25+7)&lt;=$BO$25)),"",IF(B162&lt;&gt;"",IF(B162="-","",B162),IF(ISNUMBER(SEARCH(":",$BP$25)),IFERROR(_xlfn.LET(_xlpm.s,_xlfn.TEXTSPLIT($BP$25,","),_xlpm.k,FIND(":",_xlpm.s),INDEX(TRIM(LEFT(_xlpm.s,_xlpm.k-1)),_xlfn.XMATCH(($BM$25+7),_xlfn.SCAN(0,--MID(_xlpm.s,_xlpm.k+1,9),_xlfn.LAMBDA(_xlpm.a,_xlpm.v,_xlpm.a+_xlpm.v)),1))),""),IF(($BM$25+7)&lt;=$BQ$25,$BP$25,""))))</f>
        <v/>
      </c>
      <c r="CB162" t="str" cm="1">
        <f t="array" ref="CB162">IF(NOT(AND($BN$26&lt;&gt;"",($BM$26+7)&lt;=$BO$26)),"",IF(H162&lt;&gt;"",IF(H162="-","",H162),IF(ISNUMBER(SEARCH(":",$BP$26)),IFERROR(_xlfn.LET(_xlpm.s,_xlfn.TEXTSPLIT($BP$26,","),_xlpm.k,FIND(":",_xlpm.s),INDEX(TRIM(LEFT(_xlpm.s,_xlpm.k-1)),_xlfn.XMATCH(($BM$26+7),_xlfn.SCAN(0,--MID(_xlpm.s,_xlpm.k+1,9),_xlfn.LAMBDA(_xlpm.a,_xlpm.v,_xlpm.a+_xlpm.v)),1))),""),IF(($BM$26+7)&lt;=$BQ$26,$BP$26,""))))</f>
        <v/>
      </c>
      <c r="CC162" t="str" cm="1">
        <f t="array" ref="CC162">IF(NOT(AND($BN$27&lt;&gt;"",($BM$27+7)&lt;=$BO$27)),"",IF(N162&lt;&gt;"",IF(N162="-","",N162),IF(ISNUMBER(SEARCH(":",$BP$27)),IFERROR(_xlfn.LET(_xlpm.s,_xlfn.TEXTSPLIT($BP$27,","),_xlpm.k,FIND(":",_xlpm.s),INDEX(TRIM(LEFT(_xlpm.s,_xlpm.k-1)),_xlfn.XMATCH(($BM$27+7),_xlfn.SCAN(0,--MID(_xlpm.s,_xlpm.k+1,9),_xlfn.LAMBDA(_xlpm.a,_xlpm.v,_xlpm.a+_xlpm.v)),1))),""),IF(($BM$27+7)&lt;=$BQ$27,$BP$27,""))))</f>
        <v/>
      </c>
      <c r="CD162" t="str" cm="1">
        <f t="array" ref="CD162">IF(NOT(AND($BN$28&lt;&gt;"",($BM$28+7)&lt;=$BO$28)),"",IF(T162&lt;&gt;"",IF(T162="-","",T162),IF(ISNUMBER(SEARCH(":",$BP$28)),IFERROR(_xlfn.LET(_xlpm.s,_xlfn.TEXTSPLIT($BP$28,","),_xlpm.k,FIND(":",_xlpm.s),INDEX(TRIM(LEFT(_xlpm.s,_xlpm.k-1)),_xlfn.XMATCH(($BM$28+7),_xlfn.SCAN(0,--MID(_xlpm.s,_xlpm.k+1,9),_xlfn.LAMBDA(_xlpm.a,_xlpm.v,_xlpm.a+_xlpm.v)),1))),""),IF(($BM$28+7)&lt;=$BQ$28,$BP$28,""))))</f>
        <v/>
      </c>
    </row>
    <row r="163" spans="2:82" hidden="1" x14ac:dyDescent="0.45">
      <c r="B163" s="6"/>
      <c r="C163" s="9" t="str">
        <f>IF(CA163="","",CA163&amp;"-"&amp;TEXT(COUNTIF($CA$72:$CA$95,CA163)+COUNTIF($CB$72:$CB$95,CA163)+COUNTIF($CC$72:$CC$95,CA163)+COUNTIF($CD$72:$CD$95,CA163)+COUNTIF($CA$100:$CA$123,CA163)+COUNTIF($CB$100:$CB$123,CA163)+COUNTIF($CC$100:$CC$123,CA163)+COUNTIF($CD$100:$CD$123,CA163)+COUNTIF($CA$128:$CA$151,CA163)+COUNTIF($CB$128:$CB$151,CA163)+COUNTIF($CC$128:$CC$151,CA163)+COUNTIF($CD$128:$CD$151,CA163)+COUNTIF($CA$156:CA163,CA163),"000"))</f>
        <v/>
      </c>
      <c r="D163" s="9" t="str">
        <f>IF(AND($BN$25&lt;&gt;"",($BM$25+8)&lt;=$BO$25),$BN$25,"")</f>
        <v/>
      </c>
      <c r="E163" s="9" t="str">
        <f>IF(AND($BN$25&lt;&gt;"",($BM$25+8)&lt;=$BO$25),TEXT(($BM$25+8),"00"),"")</f>
        <v/>
      </c>
      <c r="F163" s="9" t="str">
        <f>IF(AND($BN$25&lt;&gt;"",($BM$25+8)&lt;=$BO$25),$BN$25&amp;"-"&amp;TEXT(($BM$25+8),"00"),"")</f>
        <v/>
      </c>
      <c r="H163" s="6"/>
      <c r="I163" s="9" t="str">
        <f>IF(CB163="","",CB163&amp;"-"&amp;TEXT(COUNTIF($CA$72:$CA$95,CB163)+COUNTIF($CB$72:$CB$95,CB163)+COUNTIF($CC$72:$CC$95,CB163)+COUNTIF($CD$72:$CD$95,CB163)+COUNTIF($CA$100:$CA$123,CB163)+COUNTIF($CB$100:$CB$123,CB163)+COUNTIF($CC$100:$CC$123,CB163)+COUNTIF($CD$100:$CD$123,CB163)+COUNTIF($CA$128:$CA$151,CB163)+COUNTIF($CB$128:$CB$151,CB163)+COUNTIF($CC$128:$CC$151,CB163)+COUNTIF($CD$128:$CD$151,CB163)+COUNTIF($CA$156:$CA$179,CB163)+COUNTIF($CB$156:CB163,CB163),"000"))</f>
        <v/>
      </c>
      <c r="J163" s="9" t="str">
        <f>IF(AND($BN$26&lt;&gt;"",($BM$26+8)&lt;=$BO$26),$BN$26,"")</f>
        <v/>
      </c>
      <c r="K163" s="9" t="str">
        <f>IF(AND($BN$26&lt;&gt;"",($BM$26+8)&lt;=$BO$26),TEXT(($BM$26+8),"00"),"")</f>
        <v/>
      </c>
      <c r="L163" s="9" t="str">
        <f>IF(AND($BN$26&lt;&gt;"",($BM$26+8)&lt;=$BO$26),$BN$26&amp;"-"&amp;TEXT(($BM$26+8),"00"),"")</f>
        <v/>
      </c>
      <c r="N163" s="6"/>
      <c r="O163" s="9" t="str">
        <f>IF(CC163="","",CC163&amp;"-"&amp;TEXT(COUNTIF($CA$72:$CA$95,CC163)+COUNTIF($CB$72:$CB$95,CC163)+COUNTIF($CC$72:$CC$95,CC163)+COUNTIF($CD$72:$CD$95,CC163)+COUNTIF($CA$100:$CA$123,CC163)+COUNTIF($CB$100:$CB$123,CC163)+COUNTIF($CC$100:$CC$123,CC163)+COUNTIF($CD$100:$CD$123,CC163)+COUNTIF($CA$128:$CA$151,CC163)+COUNTIF($CB$128:$CB$151,CC163)+COUNTIF($CC$128:$CC$151,CC163)+COUNTIF($CD$128:$CD$151,CC163)+COUNTIF($CA$156:$CA$179,CC163)+COUNTIF($CB$156:$CB$179,CC163)+COUNTIF($CC$156:CC163,CC163),"000"))</f>
        <v/>
      </c>
      <c r="P163" s="9" t="str">
        <f>IF(AND($BN$27&lt;&gt;"",($BM$27+8)&lt;=$BO$27),$BN$27,"")</f>
        <v/>
      </c>
      <c r="Q163" s="9" t="str">
        <f>IF(AND($BN$27&lt;&gt;"",($BM$27+8)&lt;=$BO$27),TEXT(($BM$27+8),"00"),"")</f>
        <v/>
      </c>
      <c r="R163" s="9" t="str">
        <f>IF(AND($BN$27&lt;&gt;"",($BM$27+8)&lt;=$BO$27),$BN$27&amp;"-"&amp;TEXT(($BM$27+8),"00"),"")</f>
        <v/>
      </c>
      <c r="T163" s="6"/>
      <c r="U163" s="9" t="str">
        <f>IF(CD163="","",CD163&amp;"-"&amp;TEXT(COUNTIF($CA$72:$CA$95,CD163)+COUNTIF($CB$72:$CB$95,CD163)+COUNTIF($CC$72:$CC$95,CD163)+COUNTIF($CD$72:$CD$95,CD163)+COUNTIF($CA$100:$CA$123,CD163)+COUNTIF($CB$100:$CB$123,CD163)+COUNTIF($CC$100:$CC$123,CD163)+COUNTIF($CD$100:$CD$123,CD163)+COUNTIF($CA$128:$CA$151,CD163)+COUNTIF($CB$128:$CB$151,CD163)+COUNTIF($CC$128:$CC$151,CD163)+COUNTIF($CD$128:$CD$151,CD163)+COUNTIF($CA$156:$CA$179,CD163)+COUNTIF($CB$156:$CB$179,CD163)+COUNTIF($CC$156:$CC$179,CD163)+COUNTIF($CD$156:CD163,CD163),"000"))</f>
        <v/>
      </c>
      <c r="V163" s="9" t="str">
        <f>IF(AND($BN$28&lt;&gt;"",($BM$28+8)&lt;=$BO$28),$BN$28,"")</f>
        <v/>
      </c>
      <c r="W163" s="9" t="str">
        <f>IF(AND($BN$28&lt;&gt;"",($BM$28+8)&lt;=$BO$28),TEXT(($BM$28+8),"00"),"")</f>
        <v/>
      </c>
      <c r="X163" s="9" t="str">
        <f>IF(AND($BN$28&lt;&gt;"",($BM$28+8)&lt;=$BO$28),$BN$28&amp;"-"&amp;TEXT(($BM$28+8),"00"),"")</f>
        <v/>
      </c>
      <c r="CA163" t="str" cm="1">
        <f t="array" ref="CA163">IF(NOT(AND($BN$25&lt;&gt;"",($BM$25+8)&lt;=$BO$25)),"",IF(B163&lt;&gt;"",IF(B163="-","",B163),IF(ISNUMBER(SEARCH(":",$BP$25)),IFERROR(_xlfn.LET(_xlpm.s,_xlfn.TEXTSPLIT($BP$25,","),_xlpm.k,FIND(":",_xlpm.s),INDEX(TRIM(LEFT(_xlpm.s,_xlpm.k-1)),_xlfn.XMATCH(($BM$25+8),_xlfn.SCAN(0,--MID(_xlpm.s,_xlpm.k+1,9),_xlfn.LAMBDA(_xlpm.a,_xlpm.v,_xlpm.a+_xlpm.v)),1))),""),IF(($BM$25+8)&lt;=$BQ$25,$BP$25,""))))</f>
        <v/>
      </c>
      <c r="CB163" t="str" cm="1">
        <f t="array" ref="CB163">IF(NOT(AND($BN$26&lt;&gt;"",($BM$26+8)&lt;=$BO$26)),"",IF(H163&lt;&gt;"",IF(H163="-","",H163),IF(ISNUMBER(SEARCH(":",$BP$26)),IFERROR(_xlfn.LET(_xlpm.s,_xlfn.TEXTSPLIT($BP$26,","),_xlpm.k,FIND(":",_xlpm.s),INDEX(TRIM(LEFT(_xlpm.s,_xlpm.k-1)),_xlfn.XMATCH(($BM$26+8),_xlfn.SCAN(0,--MID(_xlpm.s,_xlpm.k+1,9),_xlfn.LAMBDA(_xlpm.a,_xlpm.v,_xlpm.a+_xlpm.v)),1))),""),IF(($BM$26+8)&lt;=$BQ$26,$BP$26,""))))</f>
        <v/>
      </c>
      <c r="CC163" t="str" cm="1">
        <f t="array" ref="CC163">IF(NOT(AND($BN$27&lt;&gt;"",($BM$27+8)&lt;=$BO$27)),"",IF(N163&lt;&gt;"",IF(N163="-","",N163),IF(ISNUMBER(SEARCH(":",$BP$27)),IFERROR(_xlfn.LET(_xlpm.s,_xlfn.TEXTSPLIT($BP$27,","),_xlpm.k,FIND(":",_xlpm.s),INDEX(TRIM(LEFT(_xlpm.s,_xlpm.k-1)),_xlfn.XMATCH(($BM$27+8),_xlfn.SCAN(0,--MID(_xlpm.s,_xlpm.k+1,9),_xlfn.LAMBDA(_xlpm.a,_xlpm.v,_xlpm.a+_xlpm.v)),1))),""),IF(($BM$27+8)&lt;=$BQ$27,$BP$27,""))))</f>
        <v/>
      </c>
      <c r="CD163" t="str" cm="1">
        <f t="array" ref="CD163">IF(NOT(AND($BN$28&lt;&gt;"",($BM$28+8)&lt;=$BO$28)),"",IF(T163&lt;&gt;"",IF(T163="-","",T163),IF(ISNUMBER(SEARCH(":",$BP$28)),IFERROR(_xlfn.LET(_xlpm.s,_xlfn.TEXTSPLIT($BP$28,","),_xlpm.k,FIND(":",_xlpm.s),INDEX(TRIM(LEFT(_xlpm.s,_xlpm.k-1)),_xlfn.XMATCH(($BM$28+8),_xlfn.SCAN(0,--MID(_xlpm.s,_xlpm.k+1,9),_xlfn.LAMBDA(_xlpm.a,_xlpm.v,_xlpm.a+_xlpm.v)),1))),""),IF(($BM$28+8)&lt;=$BQ$28,$BP$28,""))))</f>
        <v/>
      </c>
    </row>
    <row r="164" spans="2:82" hidden="1" x14ac:dyDescent="0.45">
      <c r="B164" s="6"/>
      <c r="C164" s="9" t="str">
        <f>IF(CA164="","",CA164&amp;"-"&amp;TEXT(COUNTIF($CA$72:$CA$95,CA164)+COUNTIF($CB$72:$CB$95,CA164)+COUNTIF($CC$72:$CC$95,CA164)+COUNTIF($CD$72:$CD$95,CA164)+COUNTIF($CA$100:$CA$123,CA164)+COUNTIF($CB$100:$CB$123,CA164)+COUNTIF($CC$100:$CC$123,CA164)+COUNTIF($CD$100:$CD$123,CA164)+COUNTIF($CA$128:$CA$151,CA164)+COUNTIF($CB$128:$CB$151,CA164)+COUNTIF($CC$128:$CC$151,CA164)+COUNTIF($CD$128:$CD$151,CA164)+COUNTIF($CA$156:CA164,CA164),"000"))</f>
        <v/>
      </c>
      <c r="D164" s="9" t="str">
        <f>IF(AND($BN$25&lt;&gt;"",($BM$25+9)&lt;=$BO$25),$BN$25,"")</f>
        <v/>
      </c>
      <c r="E164" s="9" t="str">
        <f>IF(AND($BN$25&lt;&gt;"",($BM$25+9)&lt;=$BO$25),TEXT(($BM$25+9),"00"),"")</f>
        <v/>
      </c>
      <c r="F164" s="9" t="str">
        <f>IF(AND($BN$25&lt;&gt;"",($BM$25+9)&lt;=$BO$25),$BN$25&amp;"-"&amp;TEXT(($BM$25+9),"00"),"")</f>
        <v/>
      </c>
      <c r="H164" s="6"/>
      <c r="I164" s="9" t="str">
        <f>IF(CB164="","",CB164&amp;"-"&amp;TEXT(COUNTIF($CA$72:$CA$95,CB164)+COUNTIF($CB$72:$CB$95,CB164)+COUNTIF($CC$72:$CC$95,CB164)+COUNTIF($CD$72:$CD$95,CB164)+COUNTIF($CA$100:$CA$123,CB164)+COUNTIF($CB$100:$CB$123,CB164)+COUNTIF($CC$100:$CC$123,CB164)+COUNTIF($CD$100:$CD$123,CB164)+COUNTIF($CA$128:$CA$151,CB164)+COUNTIF($CB$128:$CB$151,CB164)+COUNTIF($CC$128:$CC$151,CB164)+COUNTIF($CD$128:$CD$151,CB164)+COUNTIF($CA$156:$CA$179,CB164)+COUNTIF($CB$156:CB164,CB164),"000"))</f>
        <v/>
      </c>
      <c r="J164" s="9" t="str">
        <f>IF(AND($BN$26&lt;&gt;"",($BM$26+9)&lt;=$BO$26),$BN$26,"")</f>
        <v/>
      </c>
      <c r="K164" s="9" t="str">
        <f>IF(AND($BN$26&lt;&gt;"",($BM$26+9)&lt;=$BO$26),TEXT(($BM$26+9),"00"),"")</f>
        <v/>
      </c>
      <c r="L164" s="9" t="str">
        <f>IF(AND($BN$26&lt;&gt;"",($BM$26+9)&lt;=$BO$26),$BN$26&amp;"-"&amp;TEXT(($BM$26+9),"00"),"")</f>
        <v/>
      </c>
      <c r="N164" s="6"/>
      <c r="O164" s="9" t="str">
        <f>IF(CC164="","",CC164&amp;"-"&amp;TEXT(COUNTIF($CA$72:$CA$95,CC164)+COUNTIF($CB$72:$CB$95,CC164)+COUNTIF($CC$72:$CC$95,CC164)+COUNTIF($CD$72:$CD$95,CC164)+COUNTIF($CA$100:$CA$123,CC164)+COUNTIF($CB$100:$CB$123,CC164)+COUNTIF($CC$100:$CC$123,CC164)+COUNTIF($CD$100:$CD$123,CC164)+COUNTIF($CA$128:$CA$151,CC164)+COUNTIF($CB$128:$CB$151,CC164)+COUNTIF($CC$128:$CC$151,CC164)+COUNTIF($CD$128:$CD$151,CC164)+COUNTIF($CA$156:$CA$179,CC164)+COUNTIF($CB$156:$CB$179,CC164)+COUNTIF($CC$156:CC164,CC164),"000"))</f>
        <v/>
      </c>
      <c r="P164" s="9" t="str">
        <f>IF(AND($BN$27&lt;&gt;"",($BM$27+9)&lt;=$BO$27),$BN$27,"")</f>
        <v/>
      </c>
      <c r="Q164" s="9" t="str">
        <f>IF(AND($BN$27&lt;&gt;"",($BM$27+9)&lt;=$BO$27),TEXT(($BM$27+9),"00"),"")</f>
        <v/>
      </c>
      <c r="R164" s="9" t="str">
        <f>IF(AND($BN$27&lt;&gt;"",($BM$27+9)&lt;=$BO$27),$BN$27&amp;"-"&amp;TEXT(($BM$27+9),"00"),"")</f>
        <v/>
      </c>
      <c r="T164" s="6"/>
      <c r="U164" s="9" t="str">
        <f>IF(CD164="","",CD164&amp;"-"&amp;TEXT(COUNTIF($CA$72:$CA$95,CD164)+COUNTIF($CB$72:$CB$95,CD164)+COUNTIF($CC$72:$CC$95,CD164)+COUNTIF($CD$72:$CD$95,CD164)+COUNTIF($CA$100:$CA$123,CD164)+COUNTIF($CB$100:$CB$123,CD164)+COUNTIF($CC$100:$CC$123,CD164)+COUNTIF($CD$100:$CD$123,CD164)+COUNTIF($CA$128:$CA$151,CD164)+COUNTIF($CB$128:$CB$151,CD164)+COUNTIF($CC$128:$CC$151,CD164)+COUNTIF($CD$128:$CD$151,CD164)+COUNTIF($CA$156:$CA$179,CD164)+COUNTIF($CB$156:$CB$179,CD164)+COUNTIF($CC$156:$CC$179,CD164)+COUNTIF($CD$156:CD164,CD164),"000"))</f>
        <v/>
      </c>
      <c r="V164" s="9" t="str">
        <f>IF(AND($BN$28&lt;&gt;"",($BM$28+9)&lt;=$BO$28),$BN$28,"")</f>
        <v/>
      </c>
      <c r="W164" s="9" t="str">
        <f>IF(AND($BN$28&lt;&gt;"",($BM$28+9)&lt;=$BO$28),TEXT(($BM$28+9),"00"),"")</f>
        <v/>
      </c>
      <c r="X164" s="9" t="str">
        <f>IF(AND($BN$28&lt;&gt;"",($BM$28+9)&lt;=$BO$28),$BN$28&amp;"-"&amp;TEXT(($BM$28+9),"00"),"")</f>
        <v/>
      </c>
      <c r="CA164" t="str" cm="1">
        <f t="array" ref="CA164">IF(NOT(AND($BN$25&lt;&gt;"",($BM$25+9)&lt;=$BO$25)),"",IF(B164&lt;&gt;"",IF(B164="-","",B164),IF(ISNUMBER(SEARCH(":",$BP$25)),IFERROR(_xlfn.LET(_xlpm.s,_xlfn.TEXTSPLIT($BP$25,","),_xlpm.k,FIND(":",_xlpm.s),INDEX(TRIM(LEFT(_xlpm.s,_xlpm.k-1)),_xlfn.XMATCH(($BM$25+9),_xlfn.SCAN(0,--MID(_xlpm.s,_xlpm.k+1,9),_xlfn.LAMBDA(_xlpm.a,_xlpm.v,_xlpm.a+_xlpm.v)),1))),""),IF(($BM$25+9)&lt;=$BQ$25,$BP$25,""))))</f>
        <v/>
      </c>
      <c r="CB164" t="str" cm="1">
        <f t="array" ref="CB164">IF(NOT(AND($BN$26&lt;&gt;"",($BM$26+9)&lt;=$BO$26)),"",IF(H164&lt;&gt;"",IF(H164="-","",H164),IF(ISNUMBER(SEARCH(":",$BP$26)),IFERROR(_xlfn.LET(_xlpm.s,_xlfn.TEXTSPLIT($BP$26,","),_xlpm.k,FIND(":",_xlpm.s),INDEX(TRIM(LEFT(_xlpm.s,_xlpm.k-1)),_xlfn.XMATCH(($BM$26+9),_xlfn.SCAN(0,--MID(_xlpm.s,_xlpm.k+1,9),_xlfn.LAMBDA(_xlpm.a,_xlpm.v,_xlpm.a+_xlpm.v)),1))),""),IF(($BM$26+9)&lt;=$BQ$26,$BP$26,""))))</f>
        <v/>
      </c>
      <c r="CC164" t="str" cm="1">
        <f t="array" ref="CC164">IF(NOT(AND($BN$27&lt;&gt;"",($BM$27+9)&lt;=$BO$27)),"",IF(N164&lt;&gt;"",IF(N164="-","",N164),IF(ISNUMBER(SEARCH(":",$BP$27)),IFERROR(_xlfn.LET(_xlpm.s,_xlfn.TEXTSPLIT($BP$27,","),_xlpm.k,FIND(":",_xlpm.s),INDEX(TRIM(LEFT(_xlpm.s,_xlpm.k-1)),_xlfn.XMATCH(($BM$27+9),_xlfn.SCAN(0,--MID(_xlpm.s,_xlpm.k+1,9),_xlfn.LAMBDA(_xlpm.a,_xlpm.v,_xlpm.a+_xlpm.v)),1))),""),IF(($BM$27+9)&lt;=$BQ$27,$BP$27,""))))</f>
        <v/>
      </c>
      <c r="CD164" t="str" cm="1">
        <f t="array" ref="CD164">IF(NOT(AND($BN$28&lt;&gt;"",($BM$28+9)&lt;=$BO$28)),"",IF(T164&lt;&gt;"",IF(T164="-","",T164),IF(ISNUMBER(SEARCH(":",$BP$28)),IFERROR(_xlfn.LET(_xlpm.s,_xlfn.TEXTSPLIT($BP$28,","),_xlpm.k,FIND(":",_xlpm.s),INDEX(TRIM(LEFT(_xlpm.s,_xlpm.k-1)),_xlfn.XMATCH(($BM$28+9),_xlfn.SCAN(0,--MID(_xlpm.s,_xlpm.k+1,9),_xlfn.LAMBDA(_xlpm.a,_xlpm.v,_xlpm.a+_xlpm.v)),1))),""),IF(($BM$28+9)&lt;=$BQ$28,$BP$28,""))))</f>
        <v/>
      </c>
    </row>
    <row r="165" spans="2:82" hidden="1" x14ac:dyDescent="0.45">
      <c r="B165" s="6"/>
      <c r="C165" s="9" t="str">
        <f>IF(CA165="","",CA165&amp;"-"&amp;TEXT(COUNTIF($CA$72:$CA$95,CA165)+COUNTIF($CB$72:$CB$95,CA165)+COUNTIF($CC$72:$CC$95,CA165)+COUNTIF($CD$72:$CD$95,CA165)+COUNTIF($CA$100:$CA$123,CA165)+COUNTIF($CB$100:$CB$123,CA165)+COUNTIF($CC$100:$CC$123,CA165)+COUNTIF($CD$100:$CD$123,CA165)+COUNTIF($CA$128:$CA$151,CA165)+COUNTIF($CB$128:$CB$151,CA165)+COUNTIF($CC$128:$CC$151,CA165)+COUNTIF($CD$128:$CD$151,CA165)+COUNTIF($CA$156:CA165,CA165),"000"))</f>
        <v/>
      </c>
      <c r="D165" s="9" t="str">
        <f>IF(AND($BN$25&lt;&gt;"",($BM$25+10)&lt;=$BO$25),$BN$25,"")</f>
        <v/>
      </c>
      <c r="E165" s="9" t="str">
        <f>IF(AND($BN$25&lt;&gt;"",($BM$25+10)&lt;=$BO$25),TEXT(($BM$25+10),"00"),"")</f>
        <v/>
      </c>
      <c r="F165" s="9" t="str">
        <f>IF(AND($BN$25&lt;&gt;"",($BM$25+10)&lt;=$BO$25),$BN$25&amp;"-"&amp;TEXT(($BM$25+10),"00"),"")</f>
        <v/>
      </c>
      <c r="H165" s="6"/>
      <c r="I165" s="9" t="str">
        <f>IF(CB165="","",CB165&amp;"-"&amp;TEXT(COUNTIF($CA$72:$CA$95,CB165)+COUNTIF($CB$72:$CB$95,CB165)+COUNTIF($CC$72:$CC$95,CB165)+COUNTIF($CD$72:$CD$95,CB165)+COUNTIF($CA$100:$CA$123,CB165)+COUNTIF($CB$100:$CB$123,CB165)+COUNTIF($CC$100:$CC$123,CB165)+COUNTIF($CD$100:$CD$123,CB165)+COUNTIF($CA$128:$CA$151,CB165)+COUNTIF($CB$128:$CB$151,CB165)+COUNTIF($CC$128:$CC$151,CB165)+COUNTIF($CD$128:$CD$151,CB165)+COUNTIF($CA$156:$CA$179,CB165)+COUNTIF($CB$156:CB165,CB165),"000"))</f>
        <v/>
      </c>
      <c r="J165" s="9" t="str">
        <f>IF(AND($BN$26&lt;&gt;"",($BM$26+10)&lt;=$BO$26),$BN$26,"")</f>
        <v/>
      </c>
      <c r="K165" s="9" t="str">
        <f>IF(AND($BN$26&lt;&gt;"",($BM$26+10)&lt;=$BO$26),TEXT(($BM$26+10),"00"),"")</f>
        <v/>
      </c>
      <c r="L165" s="9" t="str">
        <f>IF(AND($BN$26&lt;&gt;"",($BM$26+10)&lt;=$BO$26),$BN$26&amp;"-"&amp;TEXT(($BM$26+10),"00"),"")</f>
        <v/>
      </c>
      <c r="N165" s="6"/>
      <c r="O165" s="9" t="str">
        <f>IF(CC165="","",CC165&amp;"-"&amp;TEXT(COUNTIF($CA$72:$CA$95,CC165)+COUNTIF($CB$72:$CB$95,CC165)+COUNTIF($CC$72:$CC$95,CC165)+COUNTIF($CD$72:$CD$95,CC165)+COUNTIF($CA$100:$CA$123,CC165)+COUNTIF($CB$100:$CB$123,CC165)+COUNTIF($CC$100:$CC$123,CC165)+COUNTIF($CD$100:$CD$123,CC165)+COUNTIF($CA$128:$CA$151,CC165)+COUNTIF($CB$128:$CB$151,CC165)+COUNTIF($CC$128:$CC$151,CC165)+COUNTIF($CD$128:$CD$151,CC165)+COUNTIF($CA$156:$CA$179,CC165)+COUNTIF($CB$156:$CB$179,CC165)+COUNTIF($CC$156:CC165,CC165),"000"))</f>
        <v/>
      </c>
      <c r="P165" s="9" t="str">
        <f>IF(AND($BN$27&lt;&gt;"",($BM$27+10)&lt;=$BO$27),$BN$27,"")</f>
        <v/>
      </c>
      <c r="Q165" s="9" t="str">
        <f>IF(AND($BN$27&lt;&gt;"",($BM$27+10)&lt;=$BO$27),TEXT(($BM$27+10),"00"),"")</f>
        <v/>
      </c>
      <c r="R165" s="9" t="str">
        <f>IF(AND($BN$27&lt;&gt;"",($BM$27+10)&lt;=$BO$27),$BN$27&amp;"-"&amp;TEXT(($BM$27+10),"00"),"")</f>
        <v/>
      </c>
      <c r="T165" s="6"/>
      <c r="U165" s="9" t="str">
        <f>IF(CD165="","",CD165&amp;"-"&amp;TEXT(COUNTIF($CA$72:$CA$95,CD165)+COUNTIF($CB$72:$CB$95,CD165)+COUNTIF($CC$72:$CC$95,CD165)+COUNTIF($CD$72:$CD$95,CD165)+COUNTIF($CA$100:$CA$123,CD165)+COUNTIF($CB$100:$CB$123,CD165)+COUNTIF($CC$100:$CC$123,CD165)+COUNTIF($CD$100:$CD$123,CD165)+COUNTIF($CA$128:$CA$151,CD165)+COUNTIF($CB$128:$CB$151,CD165)+COUNTIF($CC$128:$CC$151,CD165)+COUNTIF($CD$128:$CD$151,CD165)+COUNTIF($CA$156:$CA$179,CD165)+COUNTIF($CB$156:$CB$179,CD165)+COUNTIF($CC$156:$CC$179,CD165)+COUNTIF($CD$156:CD165,CD165),"000"))</f>
        <v/>
      </c>
      <c r="V165" s="9" t="str">
        <f>IF(AND($BN$28&lt;&gt;"",($BM$28+10)&lt;=$BO$28),$BN$28,"")</f>
        <v/>
      </c>
      <c r="W165" s="9" t="str">
        <f>IF(AND($BN$28&lt;&gt;"",($BM$28+10)&lt;=$BO$28),TEXT(($BM$28+10),"00"),"")</f>
        <v/>
      </c>
      <c r="X165" s="9" t="str">
        <f>IF(AND($BN$28&lt;&gt;"",($BM$28+10)&lt;=$BO$28),$BN$28&amp;"-"&amp;TEXT(($BM$28+10),"00"),"")</f>
        <v/>
      </c>
      <c r="CA165" t="str" cm="1">
        <f t="array" ref="CA165">IF(NOT(AND($BN$25&lt;&gt;"",($BM$25+10)&lt;=$BO$25)),"",IF(B165&lt;&gt;"",IF(B165="-","",B165),IF(ISNUMBER(SEARCH(":",$BP$25)),IFERROR(_xlfn.LET(_xlpm.s,_xlfn.TEXTSPLIT($BP$25,","),_xlpm.k,FIND(":",_xlpm.s),INDEX(TRIM(LEFT(_xlpm.s,_xlpm.k-1)),_xlfn.XMATCH(($BM$25+10),_xlfn.SCAN(0,--MID(_xlpm.s,_xlpm.k+1,9),_xlfn.LAMBDA(_xlpm.a,_xlpm.v,_xlpm.a+_xlpm.v)),1))),""),IF(($BM$25+10)&lt;=$BQ$25,$BP$25,""))))</f>
        <v/>
      </c>
      <c r="CB165" t="str" cm="1">
        <f t="array" ref="CB165">IF(NOT(AND($BN$26&lt;&gt;"",($BM$26+10)&lt;=$BO$26)),"",IF(H165&lt;&gt;"",IF(H165="-","",H165),IF(ISNUMBER(SEARCH(":",$BP$26)),IFERROR(_xlfn.LET(_xlpm.s,_xlfn.TEXTSPLIT($BP$26,","),_xlpm.k,FIND(":",_xlpm.s),INDEX(TRIM(LEFT(_xlpm.s,_xlpm.k-1)),_xlfn.XMATCH(($BM$26+10),_xlfn.SCAN(0,--MID(_xlpm.s,_xlpm.k+1,9),_xlfn.LAMBDA(_xlpm.a,_xlpm.v,_xlpm.a+_xlpm.v)),1))),""),IF(($BM$26+10)&lt;=$BQ$26,$BP$26,""))))</f>
        <v/>
      </c>
      <c r="CC165" t="str" cm="1">
        <f t="array" ref="CC165">IF(NOT(AND($BN$27&lt;&gt;"",($BM$27+10)&lt;=$BO$27)),"",IF(N165&lt;&gt;"",IF(N165="-","",N165),IF(ISNUMBER(SEARCH(":",$BP$27)),IFERROR(_xlfn.LET(_xlpm.s,_xlfn.TEXTSPLIT($BP$27,","),_xlpm.k,FIND(":",_xlpm.s),INDEX(TRIM(LEFT(_xlpm.s,_xlpm.k-1)),_xlfn.XMATCH(($BM$27+10),_xlfn.SCAN(0,--MID(_xlpm.s,_xlpm.k+1,9),_xlfn.LAMBDA(_xlpm.a,_xlpm.v,_xlpm.a+_xlpm.v)),1))),""),IF(($BM$27+10)&lt;=$BQ$27,$BP$27,""))))</f>
        <v/>
      </c>
      <c r="CD165" t="str" cm="1">
        <f t="array" ref="CD165">IF(NOT(AND($BN$28&lt;&gt;"",($BM$28+10)&lt;=$BO$28)),"",IF(T165&lt;&gt;"",IF(T165="-","",T165),IF(ISNUMBER(SEARCH(":",$BP$28)),IFERROR(_xlfn.LET(_xlpm.s,_xlfn.TEXTSPLIT($BP$28,","),_xlpm.k,FIND(":",_xlpm.s),INDEX(TRIM(LEFT(_xlpm.s,_xlpm.k-1)),_xlfn.XMATCH(($BM$28+10),_xlfn.SCAN(0,--MID(_xlpm.s,_xlpm.k+1,9),_xlfn.LAMBDA(_xlpm.a,_xlpm.v,_xlpm.a+_xlpm.v)),1))),""),IF(($BM$28+10)&lt;=$BQ$28,$BP$28,""))))</f>
        <v/>
      </c>
    </row>
    <row r="166" spans="2:82" hidden="1" x14ac:dyDescent="0.45">
      <c r="B166" s="6"/>
      <c r="C166" s="9" t="str">
        <f>IF(CA166="","",CA166&amp;"-"&amp;TEXT(COUNTIF($CA$72:$CA$95,CA166)+COUNTIF($CB$72:$CB$95,CA166)+COUNTIF($CC$72:$CC$95,CA166)+COUNTIF($CD$72:$CD$95,CA166)+COUNTIF($CA$100:$CA$123,CA166)+COUNTIF($CB$100:$CB$123,CA166)+COUNTIF($CC$100:$CC$123,CA166)+COUNTIF($CD$100:$CD$123,CA166)+COUNTIF($CA$128:$CA$151,CA166)+COUNTIF($CB$128:$CB$151,CA166)+COUNTIF($CC$128:$CC$151,CA166)+COUNTIF($CD$128:$CD$151,CA166)+COUNTIF($CA$156:CA166,CA166),"000"))</f>
        <v/>
      </c>
      <c r="D166" s="9" t="str">
        <f>IF(AND($BN$25&lt;&gt;"",($BM$25+11)&lt;=$BO$25),$BN$25,"")</f>
        <v/>
      </c>
      <c r="E166" s="9" t="str">
        <f>IF(AND($BN$25&lt;&gt;"",($BM$25+11)&lt;=$BO$25),TEXT(($BM$25+11),"00"),"")</f>
        <v/>
      </c>
      <c r="F166" s="9" t="str">
        <f>IF(AND($BN$25&lt;&gt;"",($BM$25+11)&lt;=$BO$25),$BN$25&amp;"-"&amp;TEXT(($BM$25+11),"00"),"")</f>
        <v/>
      </c>
      <c r="H166" s="6"/>
      <c r="I166" s="9" t="str">
        <f>IF(CB166="","",CB166&amp;"-"&amp;TEXT(COUNTIF($CA$72:$CA$95,CB166)+COUNTIF($CB$72:$CB$95,CB166)+COUNTIF($CC$72:$CC$95,CB166)+COUNTIF($CD$72:$CD$95,CB166)+COUNTIF($CA$100:$CA$123,CB166)+COUNTIF($CB$100:$CB$123,CB166)+COUNTIF($CC$100:$CC$123,CB166)+COUNTIF($CD$100:$CD$123,CB166)+COUNTIF($CA$128:$CA$151,CB166)+COUNTIF($CB$128:$CB$151,CB166)+COUNTIF($CC$128:$CC$151,CB166)+COUNTIF($CD$128:$CD$151,CB166)+COUNTIF($CA$156:$CA$179,CB166)+COUNTIF($CB$156:CB166,CB166),"000"))</f>
        <v/>
      </c>
      <c r="J166" s="9" t="str">
        <f>IF(AND($BN$26&lt;&gt;"",($BM$26+11)&lt;=$BO$26),$BN$26,"")</f>
        <v/>
      </c>
      <c r="K166" s="9" t="str">
        <f>IF(AND($BN$26&lt;&gt;"",($BM$26+11)&lt;=$BO$26),TEXT(($BM$26+11),"00"),"")</f>
        <v/>
      </c>
      <c r="L166" s="9" t="str">
        <f>IF(AND($BN$26&lt;&gt;"",($BM$26+11)&lt;=$BO$26),$BN$26&amp;"-"&amp;TEXT(($BM$26+11),"00"),"")</f>
        <v/>
      </c>
      <c r="N166" s="6"/>
      <c r="O166" s="9" t="str">
        <f>IF(CC166="","",CC166&amp;"-"&amp;TEXT(COUNTIF($CA$72:$CA$95,CC166)+COUNTIF($CB$72:$CB$95,CC166)+COUNTIF($CC$72:$CC$95,CC166)+COUNTIF($CD$72:$CD$95,CC166)+COUNTIF($CA$100:$CA$123,CC166)+COUNTIF($CB$100:$CB$123,CC166)+COUNTIF($CC$100:$CC$123,CC166)+COUNTIF($CD$100:$CD$123,CC166)+COUNTIF($CA$128:$CA$151,CC166)+COUNTIF($CB$128:$CB$151,CC166)+COUNTIF($CC$128:$CC$151,CC166)+COUNTIF($CD$128:$CD$151,CC166)+COUNTIF($CA$156:$CA$179,CC166)+COUNTIF($CB$156:$CB$179,CC166)+COUNTIF($CC$156:CC166,CC166),"000"))</f>
        <v/>
      </c>
      <c r="P166" s="9" t="str">
        <f>IF(AND($BN$27&lt;&gt;"",($BM$27+11)&lt;=$BO$27),$BN$27,"")</f>
        <v/>
      </c>
      <c r="Q166" s="9" t="str">
        <f>IF(AND($BN$27&lt;&gt;"",($BM$27+11)&lt;=$BO$27),TEXT(($BM$27+11),"00"),"")</f>
        <v/>
      </c>
      <c r="R166" s="9" t="str">
        <f>IF(AND($BN$27&lt;&gt;"",($BM$27+11)&lt;=$BO$27),$BN$27&amp;"-"&amp;TEXT(($BM$27+11),"00"),"")</f>
        <v/>
      </c>
      <c r="T166" s="6"/>
      <c r="U166" s="9" t="str">
        <f>IF(CD166="","",CD166&amp;"-"&amp;TEXT(COUNTIF($CA$72:$CA$95,CD166)+COUNTIF($CB$72:$CB$95,CD166)+COUNTIF($CC$72:$CC$95,CD166)+COUNTIF($CD$72:$CD$95,CD166)+COUNTIF($CA$100:$CA$123,CD166)+COUNTIF($CB$100:$CB$123,CD166)+COUNTIF($CC$100:$CC$123,CD166)+COUNTIF($CD$100:$CD$123,CD166)+COUNTIF($CA$128:$CA$151,CD166)+COUNTIF($CB$128:$CB$151,CD166)+COUNTIF($CC$128:$CC$151,CD166)+COUNTIF($CD$128:$CD$151,CD166)+COUNTIF($CA$156:$CA$179,CD166)+COUNTIF($CB$156:$CB$179,CD166)+COUNTIF($CC$156:$CC$179,CD166)+COUNTIF($CD$156:CD166,CD166),"000"))</f>
        <v/>
      </c>
      <c r="V166" s="9" t="str">
        <f>IF(AND($BN$28&lt;&gt;"",($BM$28+11)&lt;=$BO$28),$BN$28,"")</f>
        <v/>
      </c>
      <c r="W166" s="9" t="str">
        <f>IF(AND($BN$28&lt;&gt;"",($BM$28+11)&lt;=$BO$28),TEXT(($BM$28+11),"00"),"")</f>
        <v/>
      </c>
      <c r="X166" s="9" t="str">
        <f>IF(AND($BN$28&lt;&gt;"",($BM$28+11)&lt;=$BO$28),$BN$28&amp;"-"&amp;TEXT(($BM$28+11),"00"),"")</f>
        <v/>
      </c>
      <c r="CA166" t="str" cm="1">
        <f t="array" ref="CA166">IF(NOT(AND($BN$25&lt;&gt;"",($BM$25+11)&lt;=$BO$25)),"",IF(B166&lt;&gt;"",IF(B166="-","",B166),IF(ISNUMBER(SEARCH(":",$BP$25)),IFERROR(_xlfn.LET(_xlpm.s,_xlfn.TEXTSPLIT($BP$25,","),_xlpm.k,FIND(":",_xlpm.s),INDEX(TRIM(LEFT(_xlpm.s,_xlpm.k-1)),_xlfn.XMATCH(($BM$25+11),_xlfn.SCAN(0,--MID(_xlpm.s,_xlpm.k+1,9),_xlfn.LAMBDA(_xlpm.a,_xlpm.v,_xlpm.a+_xlpm.v)),1))),""),IF(($BM$25+11)&lt;=$BQ$25,$BP$25,""))))</f>
        <v/>
      </c>
      <c r="CB166" t="str" cm="1">
        <f t="array" ref="CB166">IF(NOT(AND($BN$26&lt;&gt;"",($BM$26+11)&lt;=$BO$26)),"",IF(H166&lt;&gt;"",IF(H166="-","",H166),IF(ISNUMBER(SEARCH(":",$BP$26)),IFERROR(_xlfn.LET(_xlpm.s,_xlfn.TEXTSPLIT($BP$26,","),_xlpm.k,FIND(":",_xlpm.s),INDEX(TRIM(LEFT(_xlpm.s,_xlpm.k-1)),_xlfn.XMATCH(($BM$26+11),_xlfn.SCAN(0,--MID(_xlpm.s,_xlpm.k+1,9),_xlfn.LAMBDA(_xlpm.a,_xlpm.v,_xlpm.a+_xlpm.v)),1))),""),IF(($BM$26+11)&lt;=$BQ$26,$BP$26,""))))</f>
        <v/>
      </c>
      <c r="CC166" t="str" cm="1">
        <f t="array" ref="CC166">IF(NOT(AND($BN$27&lt;&gt;"",($BM$27+11)&lt;=$BO$27)),"",IF(N166&lt;&gt;"",IF(N166="-","",N166),IF(ISNUMBER(SEARCH(":",$BP$27)),IFERROR(_xlfn.LET(_xlpm.s,_xlfn.TEXTSPLIT($BP$27,","),_xlpm.k,FIND(":",_xlpm.s),INDEX(TRIM(LEFT(_xlpm.s,_xlpm.k-1)),_xlfn.XMATCH(($BM$27+11),_xlfn.SCAN(0,--MID(_xlpm.s,_xlpm.k+1,9),_xlfn.LAMBDA(_xlpm.a,_xlpm.v,_xlpm.a+_xlpm.v)),1))),""),IF(($BM$27+11)&lt;=$BQ$27,$BP$27,""))))</f>
        <v/>
      </c>
      <c r="CD166" t="str" cm="1">
        <f t="array" ref="CD166">IF(NOT(AND($BN$28&lt;&gt;"",($BM$28+11)&lt;=$BO$28)),"",IF(T166&lt;&gt;"",IF(T166="-","",T166),IF(ISNUMBER(SEARCH(":",$BP$28)),IFERROR(_xlfn.LET(_xlpm.s,_xlfn.TEXTSPLIT($BP$28,","),_xlpm.k,FIND(":",_xlpm.s),INDEX(TRIM(LEFT(_xlpm.s,_xlpm.k-1)),_xlfn.XMATCH(($BM$28+11),_xlfn.SCAN(0,--MID(_xlpm.s,_xlpm.k+1,9),_xlfn.LAMBDA(_xlpm.a,_xlpm.v,_xlpm.a+_xlpm.v)),1))),""),IF(($BM$28+11)&lt;=$BQ$28,$BP$28,""))))</f>
        <v/>
      </c>
    </row>
    <row r="167" spans="2:82" hidden="1" x14ac:dyDescent="0.45">
      <c r="B167" s="6"/>
      <c r="C167" s="9" t="str">
        <f>IF(CA167="","",CA167&amp;"-"&amp;TEXT(COUNTIF($CA$72:$CA$95,CA167)+COUNTIF($CB$72:$CB$95,CA167)+COUNTIF($CC$72:$CC$95,CA167)+COUNTIF($CD$72:$CD$95,CA167)+COUNTIF($CA$100:$CA$123,CA167)+COUNTIF($CB$100:$CB$123,CA167)+COUNTIF($CC$100:$CC$123,CA167)+COUNTIF($CD$100:$CD$123,CA167)+COUNTIF($CA$128:$CA$151,CA167)+COUNTIF($CB$128:$CB$151,CA167)+COUNTIF($CC$128:$CC$151,CA167)+COUNTIF($CD$128:$CD$151,CA167)+COUNTIF($CA$156:CA167,CA167),"000"))</f>
        <v/>
      </c>
      <c r="D167" s="9" t="str">
        <f>IF(AND($BN$25&lt;&gt;"",($BM$25+12)&lt;=$BO$25),$BN$25,"")</f>
        <v/>
      </c>
      <c r="E167" s="9" t="str">
        <f>IF(AND($BN$25&lt;&gt;"",($BM$25+12)&lt;=$BO$25),TEXT(($BM$25+12),"00"),"")</f>
        <v/>
      </c>
      <c r="F167" s="9" t="str">
        <f>IF(AND($BN$25&lt;&gt;"",($BM$25+12)&lt;=$BO$25),$BN$25&amp;"-"&amp;TEXT(($BM$25+12),"00"),"")</f>
        <v/>
      </c>
      <c r="H167" s="6"/>
      <c r="I167" s="9" t="str">
        <f>IF(CB167="","",CB167&amp;"-"&amp;TEXT(COUNTIF($CA$72:$CA$95,CB167)+COUNTIF($CB$72:$CB$95,CB167)+COUNTIF($CC$72:$CC$95,CB167)+COUNTIF($CD$72:$CD$95,CB167)+COUNTIF($CA$100:$CA$123,CB167)+COUNTIF($CB$100:$CB$123,CB167)+COUNTIF($CC$100:$CC$123,CB167)+COUNTIF($CD$100:$CD$123,CB167)+COUNTIF($CA$128:$CA$151,CB167)+COUNTIF($CB$128:$CB$151,CB167)+COUNTIF($CC$128:$CC$151,CB167)+COUNTIF($CD$128:$CD$151,CB167)+COUNTIF($CA$156:$CA$179,CB167)+COUNTIF($CB$156:CB167,CB167),"000"))</f>
        <v/>
      </c>
      <c r="J167" s="9" t="str">
        <f>IF(AND($BN$26&lt;&gt;"",($BM$26+12)&lt;=$BO$26),$BN$26,"")</f>
        <v/>
      </c>
      <c r="K167" s="9" t="str">
        <f>IF(AND($BN$26&lt;&gt;"",($BM$26+12)&lt;=$BO$26),TEXT(($BM$26+12),"00"),"")</f>
        <v/>
      </c>
      <c r="L167" s="9" t="str">
        <f>IF(AND($BN$26&lt;&gt;"",($BM$26+12)&lt;=$BO$26),$BN$26&amp;"-"&amp;TEXT(($BM$26+12),"00"),"")</f>
        <v/>
      </c>
      <c r="N167" s="6"/>
      <c r="O167" s="9" t="str">
        <f>IF(CC167="","",CC167&amp;"-"&amp;TEXT(COUNTIF($CA$72:$CA$95,CC167)+COUNTIF($CB$72:$CB$95,CC167)+COUNTIF($CC$72:$CC$95,CC167)+COUNTIF($CD$72:$CD$95,CC167)+COUNTIF($CA$100:$CA$123,CC167)+COUNTIF($CB$100:$CB$123,CC167)+COUNTIF($CC$100:$CC$123,CC167)+COUNTIF($CD$100:$CD$123,CC167)+COUNTIF($CA$128:$CA$151,CC167)+COUNTIF($CB$128:$CB$151,CC167)+COUNTIF($CC$128:$CC$151,CC167)+COUNTIF($CD$128:$CD$151,CC167)+COUNTIF($CA$156:$CA$179,CC167)+COUNTIF($CB$156:$CB$179,CC167)+COUNTIF($CC$156:CC167,CC167),"000"))</f>
        <v/>
      </c>
      <c r="P167" s="9" t="str">
        <f>IF(AND($BN$27&lt;&gt;"",($BM$27+12)&lt;=$BO$27),$BN$27,"")</f>
        <v/>
      </c>
      <c r="Q167" s="9" t="str">
        <f>IF(AND($BN$27&lt;&gt;"",($BM$27+12)&lt;=$BO$27),TEXT(($BM$27+12),"00"),"")</f>
        <v/>
      </c>
      <c r="R167" s="9" t="str">
        <f>IF(AND($BN$27&lt;&gt;"",($BM$27+12)&lt;=$BO$27),$BN$27&amp;"-"&amp;TEXT(($BM$27+12),"00"),"")</f>
        <v/>
      </c>
      <c r="T167" s="6"/>
      <c r="U167" s="9" t="str">
        <f>IF(CD167="","",CD167&amp;"-"&amp;TEXT(COUNTIF($CA$72:$CA$95,CD167)+COUNTIF($CB$72:$CB$95,CD167)+COUNTIF($CC$72:$CC$95,CD167)+COUNTIF($CD$72:$CD$95,CD167)+COUNTIF($CA$100:$CA$123,CD167)+COUNTIF($CB$100:$CB$123,CD167)+COUNTIF($CC$100:$CC$123,CD167)+COUNTIF($CD$100:$CD$123,CD167)+COUNTIF($CA$128:$CA$151,CD167)+COUNTIF($CB$128:$CB$151,CD167)+COUNTIF($CC$128:$CC$151,CD167)+COUNTIF($CD$128:$CD$151,CD167)+COUNTIF($CA$156:$CA$179,CD167)+COUNTIF($CB$156:$CB$179,CD167)+COUNTIF($CC$156:$CC$179,CD167)+COUNTIF($CD$156:CD167,CD167),"000"))</f>
        <v/>
      </c>
      <c r="V167" s="9" t="str">
        <f>IF(AND($BN$28&lt;&gt;"",($BM$28+12)&lt;=$BO$28),$BN$28,"")</f>
        <v/>
      </c>
      <c r="W167" s="9" t="str">
        <f>IF(AND($BN$28&lt;&gt;"",($BM$28+12)&lt;=$BO$28),TEXT(($BM$28+12),"00"),"")</f>
        <v/>
      </c>
      <c r="X167" s="9" t="str">
        <f>IF(AND($BN$28&lt;&gt;"",($BM$28+12)&lt;=$BO$28),$BN$28&amp;"-"&amp;TEXT(($BM$28+12),"00"),"")</f>
        <v/>
      </c>
      <c r="CA167" t="str" cm="1">
        <f t="array" ref="CA167">IF(NOT(AND($BN$25&lt;&gt;"",($BM$25+12)&lt;=$BO$25)),"",IF(B167&lt;&gt;"",IF(B167="-","",B167),IF(ISNUMBER(SEARCH(":",$BP$25)),IFERROR(_xlfn.LET(_xlpm.s,_xlfn.TEXTSPLIT($BP$25,","),_xlpm.k,FIND(":",_xlpm.s),INDEX(TRIM(LEFT(_xlpm.s,_xlpm.k-1)),_xlfn.XMATCH(($BM$25+12),_xlfn.SCAN(0,--MID(_xlpm.s,_xlpm.k+1,9),_xlfn.LAMBDA(_xlpm.a,_xlpm.v,_xlpm.a+_xlpm.v)),1))),""),IF(($BM$25+12)&lt;=$BQ$25,$BP$25,""))))</f>
        <v/>
      </c>
      <c r="CB167" t="str" cm="1">
        <f t="array" ref="CB167">IF(NOT(AND($BN$26&lt;&gt;"",($BM$26+12)&lt;=$BO$26)),"",IF(H167&lt;&gt;"",IF(H167="-","",H167),IF(ISNUMBER(SEARCH(":",$BP$26)),IFERROR(_xlfn.LET(_xlpm.s,_xlfn.TEXTSPLIT($BP$26,","),_xlpm.k,FIND(":",_xlpm.s),INDEX(TRIM(LEFT(_xlpm.s,_xlpm.k-1)),_xlfn.XMATCH(($BM$26+12),_xlfn.SCAN(0,--MID(_xlpm.s,_xlpm.k+1,9),_xlfn.LAMBDA(_xlpm.a,_xlpm.v,_xlpm.a+_xlpm.v)),1))),""),IF(($BM$26+12)&lt;=$BQ$26,$BP$26,""))))</f>
        <v/>
      </c>
      <c r="CC167" t="str" cm="1">
        <f t="array" ref="CC167">IF(NOT(AND($BN$27&lt;&gt;"",($BM$27+12)&lt;=$BO$27)),"",IF(N167&lt;&gt;"",IF(N167="-","",N167),IF(ISNUMBER(SEARCH(":",$BP$27)),IFERROR(_xlfn.LET(_xlpm.s,_xlfn.TEXTSPLIT($BP$27,","),_xlpm.k,FIND(":",_xlpm.s),INDEX(TRIM(LEFT(_xlpm.s,_xlpm.k-1)),_xlfn.XMATCH(($BM$27+12),_xlfn.SCAN(0,--MID(_xlpm.s,_xlpm.k+1,9),_xlfn.LAMBDA(_xlpm.a,_xlpm.v,_xlpm.a+_xlpm.v)),1))),""),IF(($BM$27+12)&lt;=$BQ$27,$BP$27,""))))</f>
        <v/>
      </c>
      <c r="CD167" t="str" cm="1">
        <f t="array" ref="CD167">IF(NOT(AND($BN$28&lt;&gt;"",($BM$28+12)&lt;=$BO$28)),"",IF(T167&lt;&gt;"",IF(T167="-","",T167),IF(ISNUMBER(SEARCH(":",$BP$28)),IFERROR(_xlfn.LET(_xlpm.s,_xlfn.TEXTSPLIT($BP$28,","),_xlpm.k,FIND(":",_xlpm.s),INDEX(TRIM(LEFT(_xlpm.s,_xlpm.k-1)),_xlfn.XMATCH(($BM$28+12),_xlfn.SCAN(0,--MID(_xlpm.s,_xlpm.k+1,9),_xlfn.LAMBDA(_xlpm.a,_xlpm.v,_xlpm.a+_xlpm.v)),1))),""),IF(($BM$28+12)&lt;=$BQ$28,$BP$28,""))))</f>
        <v/>
      </c>
    </row>
    <row r="168" spans="2:82" hidden="1" x14ac:dyDescent="0.45">
      <c r="B168" s="6"/>
      <c r="C168" s="9" t="str">
        <f>IF(CA168="","",CA168&amp;"-"&amp;TEXT(COUNTIF($CA$72:$CA$95,CA168)+COUNTIF($CB$72:$CB$95,CA168)+COUNTIF($CC$72:$CC$95,CA168)+COUNTIF($CD$72:$CD$95,CA168)+COUNTIF($CA$100:$CA$123,CA168)+COUNTIF($CB$100:$CB$123,CA168)+COUNTIF($CC$100:$CC$123,CA168)+COUNTIF($CD$100:$CD$123,CA168)+COUNTIF($CA$128:$CA$151,CA168)+COUNTIF($CB$128:$CB$151,CA168)+COUNTIF($CC$128:$CC$151,CA168)+COUNTIF($CD$128:$CD$151,CA168)+COUNTIF($CA$156:CA168,CA168),"000"))</f>
        <v/>
      </c>
      <c r="D168" s="9" t="str">
        <f>IF(AND($BN$25&lt;&gt;"",($BM$25+13)&lt;=$BO$25),$BN$25,"")</f>
        <v/>
      </c>
      <c r="E168" s="9" t="str">
        <f>IF(AND($BN$25&lt;&gt;"",($BM$25+13)&lt;=$BO$25),TEXT(($BM$25+13),"00"),"")</f>
        <v/>
      </c>
      <c r="F168" s="9" t="str">
        <f>IF(AND($BN$25&lt;&gt;"",($BM$25+13)&lt;=$BO$25),$BN$25&amp;"-"&amp;TEXT(($BM$25+13),"00"),"")</f>
        <v/>
      </c>
      <c r="H168" s="6"/>
      <c r="I168" s="9" t="str">
        <f>IF(CB168="","",CB168&amp;"-"&amp;TEXT(COUNTIF($CA$72:$CA$95,CB168)+COUNTIF($CB$72:$CB$95,CB168)+COUNTIF($CC$72:$CC$95,CB168)+COUNTIF($CD$72:$CD$95,CB168)+COUNTIF($CA$100:$CA$123,CB168)+COUNTIF($CB$100:$CB$123,CB168)+COUNTIF($CC$100:$CC$123,CB168)+COUNTIF($CD$100:$CD$123,CB168)+COUNTIF($CA$128:$CA$151,CB168)+COUNTIF($CB$128:$CB$151,CB168)+COUNTIF($CC$128:$CC$151,CB168)+COUNTIF($CD$128:$CD$151,CB168)+COUNTIF($CA$156:$CA$179,CB168)+COUNTIF($CB$156:CB168,CB168),"000"))</f>
        <v/>
      </c>
      <c r="J168" s="9" t="str">
        <f>IF(AND($BN$26&lt;&gt;"",($BM$26+13)&lt;=$BO$26),$BN$26,"")</f>
        <v/>
      </c>
      <c r="K168" s="9" t="str">
        <f>IF(AND($BN$26&lt;&gt;"",($BM$26+13)&lt;=$BO$26),TEXT(($BM$26+13),"00"),"")</f>
        <v/>
      </c>
      <c r="L168" s="9" t="str">
        <f>IF(AND($BN$26&lt;&gt;"",($BM$26+13)&lt;=$BO$26),$BN$26&amp;"-"&amp;TEXT(($BM$26+13),"00"),"")</f>
        <v/>
      </c>
      <c r="N168" s="6"/>
      <c r="O168" s="9" t="str">
        <f>IF(CC168="","",CC168&amp;"-"&amp;TEXT(COUNTIF($CA$72:$CA$95,CC168)+COUNTIF($CB$72:$CB$95,CC168)+COUNTIF($CC$72:$CC$95,CC168)+COUNTIF($CD$72:$CD$95,CC168)+COUNTIF($CA$100:$CA$123,CC168)+COUNTIF($CB$100:$CB$123,CC168)+COUNTIF($CC$100:$CC$123,CC168)+COUNTIF($CD$100:$CD$123,CC168)+COUNTIF($CA$128:$CA$151,CC168)+COUNTIF($CB$128:$CB$151,CC168)+COUNTIF($CC$128:$CC$151,CC168)+COUNTIF($CD$128:$CD$151,CC168)+COUNTIF($CA$156:$CA$179,CC168)+COUNTIF($CB$156:$CB$179,CC168)+COUNTIF($CC$156:CC168,CC168),"000"))</f>
        <v/>
      </c>
      <c r="P168" s="9" t="str">
        <f>IF(AND($BN$27&lt;&gt;"",($BM$27+13)&lt;=$BO$27),$BN$27,"")</f>
        <v/>
      </c>
      <c r="Q168" s="9" t="str">
        <f>IF(AND($BN$27&lt;&gt;"",($BM$27+13)&lt;=$BO$27),TEXT(($BM$27+13),"00"),"")</f>
        <v/>
      </c>
      <c r="R168" s="9" t="str">
        <f>IF(AND($BN$27&lt;&gt;"",($BM$27+13)&lt;=$BO$27),$BN$27&amp;"-"&amp;TEXT(($BM$27+13),"00"),"")</f>
        <v/>
      </c>
      <c r="T168" s="6"/>
      <c r="U168" s="9" t="str">
        <f>IF(CD168="","",CD168&amp;"-"&amp;TEXT(COUNTIF($CA$72:$CA$95,CD168)+COUNTIF($CB$72:$CB$95,CD168)+COUNTIF($CC$72:$CC$95,CD168)+COUNTIF($CD$72:$CD$95,CD168)+COUNTIF($CA$100:$CA$123,CD168)+COUNTIF($CB$100:$CB$123,CD168)+COUNTIF($CC$100:$CC$123,CD168)+COUNTIF($CD$100:$CD$123,CD168)+COUNTIF($CA$128:$CA$151,CD168)+COUNTIF($CB$128:$CB$151,CD168)+COUNTIF($CC$128:$CC$151,CD168)+COUNTIF($CD$128:$CD$151,CD168)+COUNTIF($CA$156:$CA$179,CD168)+COUNTIF($CB$156:$CB$179,CD168)+COUNTIF($CC$156:$CC$179,CD168)+COUNTIF($CD$156:CD168,CD168),"000"))</f>
        <v/>
      </c>
      <c r="V168" s="9" t="str">
        <f>IF(AND($BN$28&lt;&gt;"",($BM$28+13)&lt;=$BO$28),$BN$28,"")</f>
        <v/>
      </c>
      <c r="W168" s="9" t="str">
        <f>IF(AND($BN$28&lt;&gt;"",($BM$28+13)&lt;=$BO$28),TEXT(($BM$28+13),"00"),"")</f>
        <v/>
      </c>
      <c r="X168" s="9" t="str">
        <f>IF(AND($BN$28&lt;&gt;"",($BM$28+13)&lt;=$BO$28),$BN$28&amp;"-"&amp;TEXT(($BM$28+13),"00"),"")</f>
        <v/>
      </c>
      <c r="CA168" t="str" cm="1">
        <f t="array" ref="CA168">IF(NOT(AND($BN$25&lt;&gt;"",($BM$25+13)&lt;=$BO$25)),"",IF(B168&lt;&gt;"",IF(B168="-","",B168),IF(ISNUMBER(SEARCH(":",$BP$25)),IFERROR(_xlfn.LET(_xlpm.s,_xlfn.TEXTSPLIT($BP$25,","),_xlpm.k,FIND(":",_xlpm.s),INDEX(TRIM(LEFT(_xlpm.s,_xlpm.k-1)),_xlfn.XMATCH(($BM$25+13),_xlfn.SCAN(0,--MID(_xlpm.s,_xlpm.k+1,9),_xlfn.LAMBDA(_xlpm.a,_xlpm.v,_xlpm.a+_xlpm.v)),1))),""),IF(($BM$25+13)&lt;=$BQ$25,$BP$25,""))))</f>
        <v/>
      </c>
      <c r="CB168" t="str" cm="1">
        <f t="array" ref="CB168">IF(NOT(AND($BN$26&lt;&gt;"",($BM$26+13)&lt;=$BO$26)),"",IF(H168&lt;&gt;"",IF(H168="-","",H168),IF(ISNUMBER(SEARCH(":",$BP$26)),IFERROR(_xlfn.LET(_xlpm.s,_xlfn.TEXTSPLIT($BP$26,","),_xlpm.k,FIND(":",_xlpm.s),INDEX(TRIM(LEFT(_xlpm.s,_xlpm.k-1)),_xlfn.XMATCH(($BM$26+13),_xlfn.SCAN(0,--MID(_xlpm.s,_xlpm.k+1,9),_xlfn.LAMBDA(_xlpm.a,_xlpm.v,_xlpm.a+_xlpm.v)),1))),""),IF(($BM$26+13)&lt;=$BQ$26,$BP$26,""))))</f>
        <v/>
      </c>
      <c r="CC168" t="str" cm="1">
        <f t="array" ref="CC168">IF(NOT(AND($BN$27&lt;&gt;"",($BM$27+13)&lt;=$BO$27)),"",IF(N168&lt;&gt;"",IF(N168="-","",N168),IF(ISNUMBER(SEARCH(":",$BP$27)),IFERROR(_xlfn.LET(_xlpm.s,_xlfn.TEXTSPLIT($BP$27,","),_xlpm.k,FIND(":",_xlpm.s),INDEX(TRIM(LEFT(_xlpm.s,_xlpm.k-1)),_xlfn.XMATCH(($BM$27+13),_xlfn.SCAN(0,--MID(_xlpm.s,_xlpm.k+1,9),_xlfn.LAMBDA(_xlpm.a,_xlpm.v,_xlpm.a+_xlpm.v)),1))),""),IF(($BM$27+13)&lt;=$BQ$27,$BP$27,""))))</f>
        <v/>
      </c>
      <c r="CD168" t="str" cm="1">
        <f t="array" ref="CD168">IF(NOT(AND($BN$28&lt;&gt;"",($BM$28+13)&lt;=$BO$28)),"",IF(T168&lt;&gt;"",IF(T168="-","",T168),IF(ISNUMBER(SEARCH(":",$BP$28)),IFERROR(_xlfn.LET(_xlpm.s,_xlfn.TEXTSPLIT($BP$28,","),_xlpm.k,FIND(":",_xlpm.s),INDEX(TRIM(LEFT(_xlpm.s,_xlpm.k-1)),_xlfn.XMATCH(($BM$28+13),_xlfn.SCAN(0,--MID(_xlpm.s,_xlpm.k+1,9),_xlfn.LAMBDA(_xlpm.a,_xlpm.v,_xlpm.a+_xlpm.v)),1))),""),IF(($BM$28+13)&lt;=$BQ$28,$BP$28,""))))</f>
        <v/>
      </c>
    </row>
    <row r="169" spans="2:82" hidden="1" x14ac:dyDescent="0.45">
      <c r="B169" s="6"/>
      <c r="C169" s="9" t="str">
        <f>IF(CA169="","",CA169&amp;"-"&amp;TEXT(COUNTIF($CA$72:$CA$95,CA169)+COUNTIF($CB$72:$CB$95,CA169)+COUNTIF($CC$72:$CC$95,CA169)+COUNTIF($CD$72:$CD$95,CA169)+COUNTIF($CA$100:$CA$123,CA169)+COUNTIF($CB$100:$CB$123,CA169)+COUNTIF($CC$100:$CC$123,CA169)+COUNTIF($CD$100:$CD$123,CA169)+COUNTIF($CA$128:$CA$151,CA169)+COUNTIF($CB$128:$CB$151,CA169)+COUNTIF($CC$128:$CC$151,CA169)+COUNTIF($CD$128:$CD$151,CA169)+COUNTIF($CA$156:CA169,CA169),"000"))</f>
        <v/>
      </c>
      <c r="D169" s="9" t="str">
        <f>IF(AND($BN$25&lt;&gt;"",($BM$25+14)&lt;=$BO$25),$BN$25,"")</f>
        <v/>
      </c>
      <c r="E169" s="9" t="str">
        <f>IF(AND($BN$25&lt;&gt;"",($BM$25+14)&lt;=$BO$25),TEXT(($BM$25+14),"00"),"")</f>
        <v/>
      </c>
      <c r="F169" s="9" t="str">
        <f>IF(AND($BN$25&lt;&gt;"",($BM$25+14)&lt;=$BO$25),$BN$25&amp;"-"&amp;TEXT(($BM$25+14),"00"),"")</f>
        <v/>
      </c>
      <c r="H169" s="6"/>
      <c r="I169" s="9" t="str">
        <f>IF(CB169="","",CB169&amp;"-"&amp;TEXT(COUNTIF($CA$72:$CA$95,CB169)+COUNTIF($CB$72:$CB$95,CB169)+COUNTIF($CC$72:$CC$95,CB169)+COUNTIF($CD$72:$CD$95,CB169)+COUNTIF($CA$100:$CA$123,CB169)+COUNTIF($CB$100:$CB$123,CB169)+COUNTIF($CC$100:$CC$123,CB169)+COUNTIF($CD$100:$CD$123,CB169)+COUNTIF($CA$128:$CA$151,CB169)+COUNTIF($CB$128:$CB$151,CB169)+COUNTIF($CC$128:$CC$151,CB169)+COUNTIF($CD$128:$CD$151,CB169)+COUNTIF($CA$156:$CA$179,CB169)+COUNTIF($CB$156:CB169,CB169),"000"))</f>
        <v/>
      </c>
      <c r="J169" s="9" t="str">
        <f>IF(AND($BN$26&lt;&gt;"",($BM$26+14)&lt;=$BO$26),$BN$26,"")</f>
        <v/>
      </c>
      <c r="K169" s="9" t="str">
        <f>IF(AND($BN$26&lt;&gt;"",($BM$26+14)&lt;=$BO$26),TEXT(($BM$26+14),"00"),"")</f>
        <v/>
      </c>
      <c r="L169" s="9" t="str">
        <f>IF(AND($BN$26&lt;&gt;"",($BM$26+14)&lt;=$BO$26),$BN$26&amp;"-"&amp;TEXT(($BM$26+14),"00"),"")</f>
        <v/>
      </c>
      <c r="N169" s="6"/>
      <c r="O169" s="9" t="str">
        <f>IF(CC169="","",CC169&amp;"-"&amp;TEXT(COUNTIF($CA$72:$CA$95,CC169)+COUNTIF($CB$72:$CB$95,CC169)+COUNTIF($CC$72:$CC$95,CC169)+COUNTIF($CD$72:$CD$95,CC169)+COUNTIF($CA$100:$CA$123,CC169)+COUNTIF($CB$100:$CB$123,CC169)+COUNTIF($CC$100:$CC$123,CC169)+COUNTIF($CD$100:$CD$123,CC169)+COUNTIF($CA$128:$CA$151,CC169)+COUNTIF($CB$128:$CB$151,CC169)+COUNTIF($CC$128:$CC$151,CC169)+COUNTIF($CD$128:$CD$151,CC169)+COUNTIF($CA$156:$CA$179,CC169)+COUNTIF($CB$156:$CB$179,CC169)+COUNTIF($CC$156:CC169,CC169),"000"))</f>
        <v/>
      </c>
      <c r="P169" s="9" t="str">
        <f>IF(AND($BN$27&lt;&gt;"",($BM$27+14)&lt;=$BO$27),$BN$27,"")</f>
        <v/>
      </c>
      <c r="Q169" s="9" t="str">
        <f>IF(AND($BN$27&lt;&gt;"",($BM$27+14)&lt;=$BO$27),TEXT(($BM$27+14),"00"),"")</f>
        <v/>
      </c>
      <c r="R169" s="9" t="str">
        <f>IF(AND($BN$27&lt;&gt;"",($BM$27+14)&lt;=$BO$27),$BN$27&amp;"-"&amp;TEXT(($BM$27+14),"00"),"")</f>
        <v/>
      </c>
      <c r="T169" s="6"/>
      <c r="U169" s="9" t="str">
        <f>IF(CD169="","",CD169&amp;"-"&amp;TEXT(COUNTIF($CA$72:$CA$95,CD169)+COUNTIF($CB$72:$CB$95,CD169)+COUNTIF($CC$72:$CC$95,CD169)+COUNTIF($CD$72:$CD$95,CD169)+COUNTIF($CA$100:$CA$123,CD169)+COUNTIF($CB$100:$CB$123,CD169)+COUNTIF($CC$100:$CC$123,CD169)+COUNTIF($CD$100:$CD$123,CD169)+COUNTIF($CA$128:$CA$151,CD169)+COUNTIF($CB$128:$CB$151,CD169)+COUNTIF($CC$128:$CC$151,CD169)+COUNTIF($CD$128:$CD$151,CD169)+COUNTIF($CA$156:$CA$179,CD169)+COUNTIF($CB$156:$CB$179,CD169)+COUNTIF($CC$156:$CC$179,CD169)+COUNTIF($CD$156:CD169,CD169),"000"))</f>
        <v/>
      </c>
      <c r="V169" s="9" t="str">
        <f>IF(AND($BN$28&lt;&gt;"",($BM$28+14)&lt;=$BO$28),$BN$28,"")</f>
        <v/>
      </c>
      <c r="W169" s="9" t="str">
        <f>IF(AND($BN$28&lt;&gt;"",($BM$28+14)&lt;=$BO$28),TEXT(($BM$28+14),"00"),"")</f>
        <v/>
      </c>
      <c r="X169" s="9" t="str">
        <f>IF(AND($BN$28&lt;&gt;"",($BM$28+14)&lt;=$BO$28),$BN$28&amp;"-"&amp;TEXT(($BM$28+14),"00"),"")</f>
        <v/>
      </c>
      <c r="CA169" t="str" cm="1">
        <f t="array" ref="CA169">IF(NOT(AND($BN$25&lt;&gt;"",($BM$25+14)&lt;=$BO$25)),"",IF(B169&lt;&gt;"",IF(B169="-","",B169),IF(ISNUMBER(SEARCH(":",$BP$25)),IFERROR(_xlfn.LET(_xlpm.s,_xlfn.TEXTSPLIT($BP$25,","),_xlpm.k,FIND(":",_xlpm.s),INDEX(TRIM(LEFT(_xlpm.s,_xlpm.k-1)),_xlfn.XMATCH(($BM$25+14),_xlfn.SCAN(0,--MID(_xlpm.s,_xlpm.k+1,9),_xlfn.LAMBDA(_xlpm.a,_xlpm.v,_xlpm.a+_xlpm.v)),1))),""),IF(($BM$25+14)&lt;=$BQ$25,$BP$25,""))))</f>
        <v/>
      </c>
      <c r="CB169" t="str" cm="1">
        <f t="array" ref="CB169">IF(NOT(AND($BN$26&lt;&gt;"",($BM$26+14)&lt;=$BO$26)),"",IF(H169&lt;&gt;"",IF(H169="-","",H169),IF(ISNUMBER(SEARCH(":",$BP$26)),IFERROR(_xlfn.LET(_xlpm.s,_xlfn.TEXTSPLIT($BP$26,","),_xlpm.k,FIND(":",_xlpm.s),INDEX(TRIM(LEFT(_xlpm.s,_xlpm.k-1)),_xlfn.XMATCH(($BM$26+14),_xlfn.SCAN(0,--MID(_xlpm.s,_xlpm.k+1,9),_xlfn.LAMBDA(_xlpm.a,_xlpm.v,_xlpm.a+_xlpm.v)),1))),""),IF(($BM$26+14)&lt;=$BQ$26,$BP$26,""))))</f>
        <v/>
      </c>
      <c r="CC169" t="str" cm="1">
        <f t="array" ref="CC169">IF(NOT(AND($BN$27&lt;&gt;"",($BM$27+14)&lt;=$BO$27)),"",IF(N169&lt;&gt;"",IF(N169="-","",N169),IF(ISNUMBER(SEARCH(":",$BP$27)),IFERROR(_xlfn.LET(_xlpm.s,_xlfn.TEXTSPLIT($BP$27,","),_xlpm.k,FIND(":",_xlpm.s),INDEX(TRIM(LEFT(_xlpm.s,_xlpm.k-1)),_xlfn.XMATCH(($BM$27+14),_xlfn.SCAN(0,--MID(_xlpm.s,_xlpm.k+1,9),_xlfn.LAMBDA(_xlpm.a,_xlpm.v,_xlpm.a+_xlpm.v)),1))),""),IF(($BM$27+14)&lt;=$BQ$27,$BP$27,""))))</f>
        <v/>
      </c>
      <c r="CD169" t="str" cm="1">
        <f t="array" ref="CD169">IF(NOT(AND($BN$28&lt;&gt;"",($BM$28+14)&lt;=$BO$28)),"",IF(T169&lt;&gt;"",IF(T169="-","",T169),IF(ISNUMBER(SEARCH(":",$BP$28)),IFERROR(_xlfn.LET(_xlpm.s,_xlfn.TEXTSPLIT($BP$28,","),_xlpm.k,FIND(":",_xlpm.s),INDEX(TRIM(LEFT(_xlpm.s,_xlpm.k-1)),_xlfn.XMATCH(($BM$28+14),_xlfn.SCAN(0,--MID(_xlpm.s,_xlpm.k+1,9),_xlfn.LAMBDA(_xlpm.a,_xlpm.v,_xlpm.a+_xlpm.v)),1))),""),IF(($BM$28+14)&lt;=$BQ$28,$BP$28,""))))</f>
        <v/>
      </c>
    </row>
    <row r="170" spans="2:82" hidden="1" x14ac:dyDescent="0.45">
      <c r="B170" s="6"/>
      <c r="C170" s="9" t="str">
        <f>IF(CA170="","",CA170&amp;"-"&amp;TEXT(COUNTIF($CA$72:$CA$95,CA170)+COUNTIF($CB$72:$CB$95,CA170)+COUNTIF($CC$72:$CC$95,CA170)+COUNTIF($CD$72:$CD$95,CA170)+COUNTIF($CA$100:$CA$123,CA170)+COUNTIF($CB$100:$CB$123,CA170)+COUNTIF($CC$100:$CC$123,CA170)+COUNTIF($CD$100:$CD$123,CA170)+COUNTIF($CA$128:$CA$151,CA170)+COUNTIF($CB$128:$CB$151,CA170)+COUNTIF($CC$128:$CC$151,CA170)+COUNTIF($CD$128:$CD$151,CA170)+COUNTIF($CA$156:CA170,CA170),"000"))</f>
        <v/>
      </c>
      <c r="D170" s="9" t="str">
        <f>IF(AND($BN$25&lt;&gt;"",($BM$25+15)&lt;=$BO$25),$BN$25,"")</f>
        <v/>
      </c>
      <c r="E170" s="9" t="str">
        <f>IF(AND($BN$25&lt;&gt;"",($BM$25+15)&lt;=$BO$25),TEXT(($BM$25+15),"00"),"")</f>
        <v/>
      </c>
      <c r="F170" s="9" t="str">
        <f>IF(AND($BN$25&lt;&gt;"",($BM$25+15)&lt;=$BO$25),$BN$25&amp;"-"&amp;TEXT(($BM$25+15),"00"),"")</f>
        <v/>
      </c>
      <c r="H170" s="6"/>
      <c r="I170" s="9" t="str">
        <f>IF(CB170="","",CB170&amp;"-"&amp;TEXT(COUNTIF($CA$72:$CA$95,CB170)+COUNTIF($CB$72:$CB$95,CB170)+COUNTIF($CC$72:$CC$95,CB170)+COUNTIF($CD$72:$CD$95,CB170)+COUNTIF($CA$100:$CA$123,CB170)+COUNTIF($CB$100:$CB$123,CB170)+COUNTIF($CC$100:$CC$123,CB170)+COUNTIF($CD$100:$CD$123,CB170)+COUNTIF($CA$128:$CA$151,CB170)+COUNTIF($CB$128:$CB$151,CB170)+COUNTIF($CC$128:$CC$151,CB170)+COUNTIF($CD$128:$CD$151,CB170)+COUNTIF($CA$156:$CA$179,CB170)+COUNTIF($CB$156:CB170,CB170),"000"))</f>
        <v/>
      </c>
      <c r="J170" s="9" t="str">
        <f>IF(AND($BN$26&lt;&gt;"",($BM$26+15)&lt;=$BO$26),$BN$26,"")</f>
        <v/>
      </c>
      <c r="K170" s="9" t="str">
        <f>IF(AND($BN$26&lt;&gt;"",($BM$26+15)&lt;=$BO$26),TEXT(($BM$26+15),"00"),"")</f>
        <v/>
      </c>
      <c r="L170" s="9" t="str">
        <f>IF(AND($BN$26&lt;&gt;"",($BM$26+15)&lt;=$BO$26),$BN$26&amp;"-"&amp;TEXT(($BM$26+15),"00"),"")</f>
        <v/>
      </c>
      <c r="N170" s="6"/>
      <c r="O170" s="9" t="str">
        <f>IF(CC170="","",CC170&amp;"-"&amp;TEXT(COUNTIF($CA$72:$CA$95,CC170)+COUNTIF($CB$72:$CB$95,CC170)+COUNTIF($CC$72:$CC$95,CC170)+COUNTIF($CD$72:$CD$95,CC170)+COUNTIF($CA$100:$CA$123,CC170)+COUNTIF($CB$100:$CB$123,CC170)+COUNTIF($CC$100:$CC$123,CC170)+COUNTIF($CD$100:$CD$123,CC170)+COUNTIF($CA$128:$CA$151,CC170)+COUNTIF($CB$128:$CB$151,CC170)+COUNTIF($CC$128:$CC$151,CC170)+COUNTIF($CD$128:$CD$151,CC170)+COUNTIF($CA$156:$CA$179,CC170)+COUNTIF($CB$156:$CB$179,CC170)+COUNTIF($CC$156:CC170,CC170),"000"))</f>
        <v/>
      </c>
      <c r="P170" s="9" t="str">
        <f>IF(AND($BN$27&lt;&gt;"",($BM$27+15)&lt;=$BO$27),$BN$27,"")</f>
        <v/>
      </c>
      <c r="Q170" s="9" t="str">
        <f>IF(AND($BN$27&lt;&gt;"",($BM$27+15)&lt;=$BO$27),TEXT(($BM$27+15),"00"),"")</f>
        <v/>
      </c>
      <c r="R170" s="9" t="str">
        <f>IF(AND($BN$27&lt;&gt;"",($BM$27+15)&lt;=$BO$27),$BN$27&amp;"-"&amp;TEXT(($BM$27+15),"00"),"")</f>
        <v/>
      </c>
      <c r="T170" s="6"/>
      <c r="U170" s="9" t="str">
        <f>IF(CD170="","",CD170&amp;"-"&amp;TEXT(COUNTIF($CA$72:$CA$95,CD170)+COUNTIF($CB$72:$CB$95,CD170)+COUNTIF($CC$72:$CC$95,CD170)+COUNTIF($CD$72:$CD$95,CD170)+COUNTIF($CA$100:$CA$123,CD170)+COUNTIF($CB$100:$CB$123,CD170)+COUNTIF($CC$100:$CC$123,CD170)+COUNTIF($CD$100:$CD$123,CD170)+COUNTIF($CA$128:$CA$151,CD170)+COUNTIF($CB$128:$CB$151,CD170)+COUNTIF($CC$128:$CC$151,CD170)+COUNTIF($CD$128:$CD$151,CD170)+COUNTIF($CA$156:$CA$179,CD170)+COUNTIF($CB$156:$CB$179,CD170)+COUNTIF($CC$156:$CC$179,CD170)+COUNTIF($CD$156:CD170,CD170),"000"))</f>
        <v/>
      </c>
      <c r="V170" s="9" t="str">
        <f>IF(AND($BN$28&lt;&gt;"",($BM$28+15)&lt;=$BO$28),$BN$28,"")</f>
        <v/>
      </c>
      <c r="W170" s="9" t="str">
        <f>IF(AND($BN$28&lt;&gt;"",($BM$28+15)&lt;=$BO$28),TEXT(($BM$28+15),"00"),"")</f>
        <v/>
      </c>
      <c r="X170" s="9" t="str">
        <f>IF(AND($BN$28&lt;&gt;"",($BM$28+15)&lt;=$BO$28),$BN$28&amp;"-"&amp;TEXT(($BM$28+15),"00"),"")</f>
        <v/>
      </c>
      <c r="CA170" t="str" cm="1">
        <f t="array" ref="CA170">IF(NOT(AND($BN$25&lt;&gt;"",($BM$25+15)&lt;=$BO$25)),"",IF(B170&lt;&gt;"",IF(B170="-","",B170),IF(ISNUMBER(SEARCH(":",$BP$25)),IFERROR(_xlfn.LET(_xlpm.s,_xlfn.TEXTSPLIT($BP$25,","),_xlpm.k,FIND(":",_xlpm.s),INDEX(TRIM(LEFT(_xlpm.s,_xlpm.k-1)),_xlfn.XMATCH(($BM$25+15),_xlfn.SCAN(0,--MID(_xlpm.s,_xlpm.k+1,9),_xlfn.LAMBDA(_xlpm.a,_xlpm.v,_xlpm.a+_xlpm.v)),1))),""),IF(($BM$25+15)&lt;=$BQ$25,$BP$25,""))))</f>
        <v/>
      </c>
      <c r="CB170" t="str" cm="1">
        <f t="array" ref="CB170">IF(NOT(AND($BN$26&lt;&gt;"",($BM$26+15)&lt;=$BO$26)),"",IF(H170&lt;&gt;"",IF(H170="-","",H170),IF(ISNUMBER(SEARCH(":",$BP$26)),IFERROR(_xlfn.LET(_xlpm.s,_xlfn.TEXTSPLIT($BP$26,","),_xlpm.k,FIND(":",_xlpm.s),INDEX(TRIM(LEFT(_xlpm.s,_xlpm.k-1)),_xlfn.XMATCH(($BM$26+15),_xlfn.SCAN(0,--MID(_xlpm.s,_xlpm.k+1,9),_xlfn.LAMBDA(_xlpm.a,_xlpm.v,_xlpm.a+_xlpm.v)),1))),""),IF(($BM$26+15)&lt;=$BQ$26,$BP$26,""))))</f>
        <v/>
      </c>
      <c r="CC170" t="str" cm="1">
        <f t="array" ref="CC170">IF(NOT(AND($BN$27&lt;&gt;"",($BM$27+15)&lt;=$BO$27)),"",IF(N170&lt;&gt;"",IF(N170="-","",N170),IF(ISNUMBER(SEARCH(":",$BP$27)),IFERROR(_xlfn.LET(_xlpm.s,_xlfn.TEXTSPLIT($BP$27,","),_xlpm.k,FIND(":",_xlpm.s),INDEX(TRIM(LEFT(_xlpm.s,_xlpm.k-1)),_xlfn.XMATCH(($BM$27+15),_xlfn.SCAN(0,--MID(_xlpm.s,_xlpm.k+1,9),_xlfn.LAMBDA(_xlpm.a,_xlpm.v,_xlpm.a+_xlpm.v)),1))),""),IF(($BM$27+15)&lt;=$BQ$27,$BP$27,""))))</f>
        <v/>
      </c>
      <c r="CD170" t="str" cm="1">
        <f t="array" ref="CD170">IF(NOT(AND($BN$28&lt;&gt;"",($BM$28+15)&lt;=$BO$28)),"",IF(T170&lt;&gt;"",IF(T170="-","",T170),IF(ISNUMBER(SEARCH(":",$BP$28)),IFERROR(_xlfn.LET(_xlpm.s,_xlfn.TEXTSPLIT($BP$28,","),_xlpm.k,FIND(":",_xlpm.s),INDEX(TRIM(LEFT(_xlpm.s,_xlpm.k-1)),_xlfn.XMATCH(($BM$28+15),_xlfn.SCAN(0,--MID(_xlpm.s,_xlpm.k+1,9),_xlfn.LAMBDA(_xlpm.a,_xlpm.v,_xlpm.a+_xlpm.v)),1))),""),IF(($BM$28+15)&lt;=$BQ$28,$BP$28,""))))</f>
        <v/>
      </c>
    </row>
    <row r="171" spans="2:82" hidden="1" x14ac:dyDescent="0.45">
      <c r="B171" s="6"/>
      <c r="C171" s="9" t="str">
        <f>IF(CA171="","",CA171&amp;"-"&amp;TEXT(COUNTIF($CA$72:$CA$95,CA171)+COUNTIF($CB$72:$CB$95,CA171)+COUNTIF($CC$72:$CC$95,CA171)+COUNTIF($CD$72:$CD$95,CA171)+COUNTIF($CA$100:$CA$123,CA171)+COUNTIF($CB$100:$CB$123,CA171)+COUNTIF($CC$100:$CC$123,CA171)+COUNTIF($CD$100:$CD$123,CA171)+COUNTIF($CA$128:$CA$151,CA171)+COUNTIF($CB$128:$CB$151,CA171)+COUNTIF($CC$128:$CC$151,CA171)+COUNTIF($CD$128:$CD$151,CA171)+COUNTIF($CA$156:CA171,CA171),"000"))</f>
        <v/>
      </c>
      <c r="D171" s="9" t="str">
        <f>IF(AND($BN$25&lt;&gt;"",($BM$25+16)&lt;=$BO$25),$BN$25,"")</f>
        <v/>
      </c>
      <c r="E171" s="9" t="str">
        <f>IF(AND($BN$25&lt;&gt;"",($BM$25+16)&lt;=$BO$25),TEXT(($BM$25+16),"00"),"")</f>
        <v/>
      </c>
      <c r="F171" s="9" t="str">
        <f>IF(AND($BN$25&lt;&gt;"",($BM$25+16)&lt;=$BO$25),$BN$25&amp;"-"&amp;TEXT(($BM$25+16),"00"),"")</f>
        <v/>
      </c>
      <c r="H171" s="6"/>
      <c r="I171" s="9" t="str">
        <f>IF(CB171="","",CB171&amp;"-"&amp;TEXT(COUNTIF($CA$72:$CA$95,CB171)+COUNTIF($CB$72:$CB$95,CB171)+COUNTIF($CC$72:$CC$95,CB171)+COUNTIF($CD$72:$CD$95,CB171)+COUNTIF($CA$100:$CA$123,CB171)+COUNTIF($CB$100:$CB$123,CB171)+COUNTIF($CC$100:$CC$123,CB171)+COUNTIF($CD$100:$CD$123,CB171)+COUNTIF($CA$128:$CA$151,CB171)+COUNTIF($CB$128:$CB$151,CB171)+COUNTIF($CC$128:$CC$151,CB171)+COUNTIF($CD$128:$CD$151,CB171)+COUNTIF($CA$156:$CA$179,CB171)+COUNTIF($CB$156:CB171,CB171),"000"))</f>
        <v/>
      </c>
      <c r="J171" s="9" t="str">
        <f>IF(AND($BN$26&lt;&gt;"",($BM$26+16)&lt;=$BO$26),$BN$26,"")</f>
        <v/>
      </c>
      <c r="K171" s="9" t="str">
        <f>IF(AND($BN$26&lt;&gt;"",($BM$26+16)&lt;=$BO$26),TEXT(($BM$26+16),"00"),"")</f>
        <v/>
      </c>
      <c r="L171" s="9" t="str">
        <f>IF(AND($BN$26&lt;&gt;"",($BM$26+16)&lt;=$BO$26),$BN$26&amp;"-"&amp;TEXT(($BM$26+16),"00"),"")</f>
        <v/>
      </c>
      <c r="N171" s="6"/>
      <c r="O171" s="9" t="str">
        <f>IF(CC171="","",CC171&amp;"-"&amp;TEXT(COUNTIF($CA$72:$CA$95,CC171)+COUNTIF($CB$72:$CB$95,CC171)+COUNTIF($CC$72:$CC$95,CC171)+COUNTIF($CD$72:$CD$95,CC171)+COUNTIF($CA$100:$CA$123,CC171)+COUNTIF($CB$100:$CB$123,CC171)+COUNTIF($CC$100:$CC$123,CC171)+COUNTIF($CD$100:$CD$123,CC171)+COUNTIF($CA$128:$CA$151,CC171)+COUNTIF($CB$128:$CB$151,CC171)+COUNTIF($CC$128:$CC$151,CC171)+COUNTIF($CD$128:$CD$151,CC171)+COUNTIF($CA$156:$CA$179,CC171)+COUNTIF($CB$156:$CB$179,CC171)+COUNTIF($CC$156:CC171,CC171),"000"))</f>
        <v/>
      </c>
      <c r="P171" s="9" t="str">
        <f>IF(AND($BN$27&lt;&gt;"",($BM$27+16)&lt;=$BO$27),$BN$27,"")</f>
        <v/>
      </c>
      <c r="Q171" s="9" t="str">
        <f>IF(AND($BN$27&lt;&gt;"",($BM$27+16)&lt;=$BO$27),TEXT(($BM$27+16),"00"),"")</f>
        <v/>
      </c>
      <c r="R171" s="9" t="str">
        <f>IF(AND($BN$27&lt;&gt;"",($BM$27+16)&lt;=$BO$27),$BN$27&amp;"-"&amp;TEXT(($BM$27+16),"00"),"")</f>
        <v/>
      </c>
      <c r="T171" s="6"/>
      <c r="U171" s="9" t="str">
        <f>IF(CD171="","",CD171&amp;"-"&amp;TEXT(COUNTIF($CA$72:$CA$95,CD171)+COUNTIF($CB$72:$CB$95,CD171)+COUNTIF($CC$72:$CC$95,CD171)+COUNTIF($CD$72:$CD$95,CD171)+COUNTIF($CA$100:$CA$123,CD171)+COUNTIF($CB$100:$CB$123,CD171)+COUNTIF($CC$100:$CC$123,CD171)+COUNTIF($CD$100:$CD$123,CD171)+COUNTIF($CA$128:$CA$151,CD171)+COUNTIF($CB$128:$CB$151,CD171)+COUNTIF($CC$128:$CC$151,CD171)+COUNTIF($CD$128:$CD$151,CD171)+COUNTIF($CA$156:$CA$179,CD171)+COUNTIF($CB$156:$CB$179,CD171)+COUNTIF($CC$156:$CC$179,CD171)+COUNTIF($CD$156:CD171,CD171),"000"))</f>
        <v/>
      </c>
      <c r="V171" s="9" t="str">
        <f>IF(AND($BN$28&lt;&gt;"",($BM$28+16)&lt;=$BO$28),$BN$28,"")</f>
        <v/>
      </c>
      <c r="W171" s="9" t="str">
        <f>IF(AND($BN$28&lt;&gt;"",($BM$28+16)&lt;=$BO$28),TEXT(($BM$28+16),"00"),"")</f>
        <v/>
      </c>
      <c r="X171" s="9" t="str">
        <f>IF(AND($BN$28&lt;&gt;"",($BM$28+16)&lt;=$BO$28),$BN$28&amp;"-"&amp;TEXT(($BM$28+16),"00"),"")</f>
        <v/>
      </c>
      <c r="CA171" t="str" cm="1">
        <f t="array" ref="CA171">IF(NOT(AND($BN$25&lt;&gt;"",($BM$25+16)&lt;=$BO$25)),"",IF(B171&lt;&gt;"",IF(B171="-","",B171),IF(ISNUMBER(SEARCH(":",$BP$25)),IFERROR(_xlfn.LET(_xlpm.s,_xlfn.TEXTSPLIT($BP$25,","),_xlpm.k,FIND(":",_xlpm.s),INDEX(TRIM(LEFT(_xlpm.s,_xlpm.k-1)),_xlfn.XMATCH(($BM$25+16),_xlfn.SCAN(0,--MID(_xlpm.s,_xlpm.k+1,9),_xlfn.LAMBDA(_xlpm.a,_xlpm.v,_xlpm.a+_xlpm.v)),1))),""),IF(($BM$25+16)&lt;=$BQ$25,$BP$25,""))))</f>
        <v/>
      </c>
      <c r="CB171" t="str" cm="1">
        <f t="array" ref="CB171">IF(NOT(AND($BN$26&lt;&gt;"",($BM$26+16)&lt;=$BO$26)),"",IF(H171&lt;&gt;"",IF(H171="-","",H171),IF(ISNUMBER(SEARCH(":",$BP$26)),IFERROR(_xlfn.LET(_xlpm.s,_xlfn.TEXTSPLIT($BP$26,","),_xlpm.k,FIND(":",_xlpm.s),INDEX(TRIM(LEFT(_xlpm.s,_xlpm.k-1)),_xlfn.XMATCH(($BM$26+16),_xlfn.SCAN(0,--MID(_xlpm.s,_xlpm.k+1,9),_xlfn.LAMBDA(_xlpm.a,_xlpm.v,_xlpm.a+_xlpm.v)),1))),""),IF(($BM$26+16)&lt;=$BQ$26,$BP$26,""))))</f>
        <v/>
      </c>
      <c r="CC171" t="str" cm="1">
        <f t="array" ref="CC171">IF(NOT(AND($BN$27&lt;&gt;"",($BM$27+16)&lt;=$BO$27)),"",IF(N171&lt;&gt;"",IF(N171="-","",N171),IF(ISNUMBER(SEARCH(":",$BP$27)),IFERROR(_xlfn.LET(_xlpm.s,_xlfn.TEXTSPLIT($BP$27,","),_xlpm.k,FIND(":",_xlpm.s),INDEX(TRIM(LEFT(_xlpm.s,_xlpm.k-1)),_xlfn.XMATCH(($BM$27+16),_xlfn.SCAN(0,--MID(_xlpm.s,_xlpm.k+1,9),_xlfn.LAMBDA(_xlpm.a,_xlpm.v,_xlpm.a+_xlpm.v)),1))),""),IF(($BM$27+16)&lt;=$BQ$27,$BP$27,""))))</f>
        <v/>
      </c>
      <c r="CD171" t="str" cm="1">
        <f t="array" ref="CD171">IF(NOT(AND($BN$28&lt;&gt;"",($BM$28+16)&lt;=$BO$28)),"",IF(T171&lt;&gt;"",IF(T171="-","",T171),IF(ISNUMBER(SEARCH(":",$BP$28)),IFERROR(_xlfn.LET(_xlpm.s,_xlfn.TEXTSPLIT($BP$28,","),_xlpm.k,FIND(":",_xlpm.s),INDEX(TRIM(LEFT(_xlpm.s,_xlpm.k-1)),_xlfn.XMATCH(($BM$28+16),_xlfn.SCAN(0,--MID(_xlpm.s,_xlpm.k+1,9),_xlfn.LAMBDA(_xlpm.a,_xlpm.v,_xlpm.a+_xlpm.v)),1))),""),IF(($BM$28+16)&lt;=$BQ$28,$BP$28,""))))</f>
        <v/>
      </c>
    </row>
    <row r="172" spans="2:82" hidden="1" x14ac:dyDescent="0.45">
      <c r="B172" s="6"/>
      <c r="C172" s="9" t="str">
        <f>IF(CA172="","",CA172&amp;"-"&amp;TEXT(COUNTIF($CA$72:$CA$95,CA172)+COUNTIF($CB$72:$CB$95,CA172)+COUNTIF($CC$72:$CC$95,CA172)+COUNTIF($CD$72:$CD$95,CA172)+COUNTIF($CA$100:$CA$123,CA172)+COUNTIF($CB$100:$CB$123,CA172)+COUNTIF($CC$100:$CC$123,CA172)+COUNTIF($CD$100:$CD$123,CA172)+COUNTIF($CA$128:$CA$151,CA172)+COUNTIF($CB$128:$CB$151,CA172)+COUNTIF($CC$128:$CC$151,CA172)+COUNTIF($CD$128:$CD$151,CA172)+COUNTIF($CA$156:CA172,CA172),"000"))</f>
        <v/>
      </c>
      <c r="D172" s="9" t="str">
        <f>IF(AND($BN$25&lt;&gt;"",($BM$25+17)&lt;=$BO$25),$BN$25,"")</f>
        <v/>
      </c>
      <c r="E172" s="9" t="str">
        <f>IF(AND($BN$25&lt;&gt;"",($BM$25+17)&lt;=$BO$25),TEXT(($BM$25+17),"00"),"")</f>
        <v/>
      </c>
      <c r="F172" s="9" t="str">
        <f>IF(AND($BN$25&lt;&gt;"",($BM$25+17)&lt;=$BO$25),$BN$25&amp;"-"&amp;TEXT(($BM$25+17),"00"),"")</f>
        <v/>
      </c>
      <c r="H172" s="6"/>
      <c r="I172" s="9" t="str">
        <f>IF(CB172="","",CB172&amp;"-"&amp;TEXT(COUNTIF($CA$72:$CA$95,CB172)+COUNTIF($CB$72:$CB$95,CB172)+COUNTIF($CC$72:$CC$95,CB172)+COUNTIF($CD$72:$CD$95,CB172)+COUNTIF($CA$100:$CA$123,CB172)+COUNTIF($CB$100:$CB$123,CB172)+COUNTIF($CC$100:$CC$123,CB172)+COUNTIF($CD$100:$CD$123,CB172)+COUNTIF($CA$128:$CA$151,CB172)+COUNTIF($CB$128:$CB$151,CB172)+COUNTIF($CC$128:$CC$151,CB172)+COUNTIF($CD$128:$CD$151,CB172)+COUNTIF($CA$156:$CA$179,CB172)+COUNTIF($CB$156:CB172,CB172),"000"))</f>
        <v/>
      </c>
      <c r="J172" s="9" t="str">
        <f>IF(AND($BN$26&lt;&gt;"",($BM$26+17)&lt;=$BO$26),$BN$26,"")</f>
        <v/>
      </c>
      <c r="K172" s="9" t="str">
        <f>IF(AND($BN$26&lt;&gt;"",($BM$26+17)&lt;=$BO$26),TEXT(($BM$26+17),"00"),"")</f>
        <v/>
      </c>
      <c r="L172" s="9" t="str">
        <f>IF(AND($BN$26&lt;&gt;"",($BM$26+17)&lt;=$BO$26),$BN$26&amp;"-"&amp;TEXT(($BM$26+17),"00"),"")</f>
        <v/>
      </c>
      <c r="N172" s="6"/>
      <c r="O172" s="9" t="str">
        <f>IF(CC172="","",CC172&amp;"-"&amp;TEXT(COUNTIF($CA$72:$CA$95,CC172)+COUNTIF($CB$72:$CB$95,CC172)+COUNTIF($CC$72:$CC$95,CC172)+COUNTIF($CD$72:$CD$95,CC172)+COUNTIF($CA$100:$CA$123,CC172)+COUNTIF($CB$100:$CB$123,CC172)+COUNTIF($CC$100:$CC$123,CC172)+COUNTIF($CD$100:$CD$123,CC172)+COUNTIF($CA$128:$CA$151,CC172)+COUNTIF($CB$128:$CB$151,CC172)+COUNTIF($CC$128:$CC$151,CC172)+COUNTIF($CD$128:$CD$151,CC172)+COUNTIF($CA$156:$CA$179,CC172)+COUNTIF($CB$156:$CB$179,CC172)+COUNTIF($CC$156:CC172,CC172),"000"))</f>
        <v/>
      </c>
      <c r="P172" s="9" t="str">
        <f>IF(AND($BN$27&lt;&gt;"",($BM$27+17)&lt;=$BO$27),$BN$27,"")</f>
        <v/>
      </c>
      <c r="Q172" s="9" t="str">
        <f>IF(AND($BN$27&lt;&gt;"",($BM$27+17)&lt;=$BO$27),TEXT(($BM$27+17),"00"),"")</f>
        <v/>
      </c>
      <c r="R172" s="9" t="str">
        <f>IF(AND($BN$27&lt;&gt;"",($BM$27+17)&lt;=$BO$27),$BN$27&amp;"-"&amp;TEXT(($BM$27+17),"00"),"")</f>
        <v/>
      </c>
      <c r="T172" s="6"/>
      <c r="U172" s="9" t="str">
        <f>IF(CD172="","",CD172&amp;"-"&amp;TEXT(COUNTIF($CA$72:$CA$95,CD172)+COUNTIF($CB$72:$CB$95,CD172)+COUNTIF($CC$72:$CC$95,CD172)+COUNTIF($CD$72:$CD$95,CD172)+COUNTIF($CA$100:$CA$123,CD172)+COUNTIF($CB$100:$CB$123,CD172)+COUNTIF($CC$100:$CC$123,CD172)+COUNTIF($CD$100:$CD$123,CD172)+COUNTIF($CA$128:$CA$151,CD172)+COUNTIF($CB$128:$CB$151,CD172)+COUNTIF($CC$128:$CC$151,CD172)+COUNTIF($CD$128:$CD$151,CD172)+COUNTIF($CA$156:$CA$179,CD172)+COUNTIF($CB$156:$CB$179,CD172)+COUNTIF($CC$156:$CC$179,CD172)+COUNTIF($CD$156:CD172,CD172),"000"))</f>
        <v/>
      </c>
      <c r="V172" s="9" t="str">
        <f>IF(AND($BN$28&lt;&gt;"",($BM$28+17)&lt;=$BO$28),$BN$28,"")</f>
        <v/>
      </c>
      <c r="W172" s="9" t="str">
        <f>IF(AND($BN$28&lt;&gt;"",($BM$28+17)&lt;=$BO$28),TEXT(($BM$28+17),"00"),"")</f>
        <v/>
      </c>
      <c r="X172" s="9" t="str">
        <f>IF(AND($BN$28&lt;&gt;"",($BM$28+17)&lt;=$BO$28),$BN$28&amp;"-"&amp;TEXT(($BM$28+17),"00"),"")</f>
        <v/>
      </c>
      <c r="CA172" t="str" cm="1">
        <f t="array" ref="CA172">IF(NOT(AND($BN$25&lt;&gt;"",($BM$25+17)&lt;=$BO$25)),"",IF(B172&lt;&gt;"",IF(B172="-","",B172),IF(ISNUMBER(SEARCH(":",$BP$25)),IFERROR(_xlfn.LET(_xlpm.s,_xlfn.TEXTSPLIT($BP$25,","),_xlpm.k,FIND(":",_xlpm.s),INDEX(TRIM(LEFT(_xlpm.s,_xlpm.k-1)),_xlfn.XMATCH(($BM$25+17),_xlfn.SCAN(0,--MID(_xlpm.s,_xlpm.k+1,9),_xlfn.LAMBDA(_xlpm.a,_xlpm.v,_xlpm.a+_xlpm.v)),1))),""),IF(($BM$25+17)&lt;=$BQ$25,$BP$25,""))))</f>
        <v/>
      </c>
      <c r="CB172" t="str" cm="1">
        <f t="array" ref="CB172">IF(NOT(AND($BN$26&lt;&gt;"",($BM$26+17)&lt;=$BO$26)),"",IF(H172&lt;&gt;"",IF(H172="-","",H172),IF(ISNUMBER(SEARCH(":",$BP$26)),IFERROR(_xlfn.LET(_xlpm.s,_xlfn.TEXTSPLIT($BP$26,","),_xlpm.k,FIND(":",_xlpm.s),INDEX(TRIM(LEFT(_xlpm.s,_xlpm.k-1)),_xlfn.XMATCH(($BM$26+17),_xlfn.SCAN(0,--MID(_xlpm.s,_xlpm.k+1,9),_xlfn.LAMBDA(_xlpm.a,_xlpm.v,_xlpm.a+_xlpm.v)),1))),""),IF(($BM$26+17)&lt;=$BQ$26,$BP$26,""))))</f>
        <v/>
      </c>
      <c r="CC172" t="str" cm="1">
        <f t="array" ref="CC172">IF(NOT(AND($BN$27&lt;&gt;"",($BM$27+17)&lt;=$BO$27)),"",IF(N172&lt;&gt;"",IF(N172="-","",N172),IF(ISNUMBER(SEARCH(":",$BP$27)),IFERROR(_xlfn.LET(_xlpm.s,_xlfn.TEXTSPLIT($BP$27,","),_xlpm.k,FIND(":",_xlpm.s),INDEX(TRIM(LEFT(_xlpm.s,_xlpm.k-1)),_xlfn.XMATCH(($BM$27+17),_xlfn.SCAN(0,--MID(_xlpm.s,_xlpm.k+1,9),_xlfn.LAMBDA(_xlpm.a,_xlpm.v,_xlpm.a+_xlpm.v)),1))),""),IF(($BM$27+17)&lt;=$BQ$27,$BP$27,""))))</f>
        <v/>
      </c>
      <c r="CD172" t="str" cm="1">
        <f t="array" ref="CD172">IF(NOT(AND($BN$28&lt;&gt;"",($BM$28+17)&lt;=$BO$28)),"",IF(T172&lt;&gt;"",IF(T172="-","",T172),IF(ISNUMBER(SEARCH(":",$BP$28)),IFERROR(_xlfn.LET(_xlpm.s,_xlfn.TEXTSPLIT($BP$28,","),_xlpm.k,FIND(":",_xlpm.s),INDEX(TRIM(LEFT(_xlpm.s,_xlpm.k-1)),_xlfn.XMATCH(($BM$28+17),_xlfn.SCAN(0,--MID(_xlpm.s,_xlpm.k+1,9),_xlfn.LAMBDA(_xlpm.a,_xlpm.v,_xlpm.a+_xlpm.v)),1))),""),IF(($BM$28+17)&lt;=$BQ$28,$BP$28,""))))</f>
        <v/>
      </c>
    </row>
    <row r="173" spans="2:82" hidden="1" x14ac:dyDescent="0.45">
      <c r="B173" s="6"/>
      <c r="C173" s="9" t="str">
        <f>IF(CA173="","",CA173&amp;"-"&amp;TEXT(COUNTIF($CA$72:$CA$95,CA173)+COUNTIF($CB$72:$CB$95,CA173)+COUNTIF($CC$72:$CC$95,CA173)+COUNTIF($CD$72:$CD$95,CA173)+COUNTIF($CA$100:$CA$123,CA173)+COUNTIF($CB$100:$CB$123,CA173)+COUNTIF($CC$100:$CC$123,CA173)+COUNTIF($CD$100:$CD$123,CA173)+COUNTIF($CA$128:$CA$151,CA173)+COUNTIF($CB$128:$CB$151,CA173)+COUNTIF($CC$128:$CC$151,CA173)+COUNTIF($CD$128:$CD$151,CA173)+COUNTIF($CA$156:CA173,CA173),"000"))</f>
        <v/>
      </c>
      <c r="D173" s="9" t="str">
        <f>IF(AND($BN$25&lt;&gt;"",($BM$25+18)&lt;=$BO$25),$BN$25,"")</f>
        <v/>
      </c>
      <c r="E173" s="9" t="str">
        <f>IF(AND($BN$25&lt;&gt;"",($BM$25+18)&lt;=$BO$25),TEXT(($BM$25+18),"00"),"")</f>
        <v/>
      </c>
      <c r="F173" s="9" t="str">
        <f>IF(AND($BN$25&lt;&gt;"",($BM$25+18)&lt;=$BO$25),$BN$25&amp;"-"&amp;TEXT(($BM$25+18),"00"),"")</f>
        <v/>
      </c>
      <c r="H173" s="6"/>
      <c r="I173" s="9" t="str">
        <f>IF(CB173="","",CB173&amp;"-"&amp;TEXT(COUNTIF($CA$72:$CA$95,CB173)+COUNTIF($CB$72:$CB$95,CB173)+COUNTIF($CC$72:$CC$95,CB173)+COUNTIF($CD$72:$CD$95,CB173)+COUNTIF($CA$100:$CA$123,CB173)+COUNTIF($CB$100:$CB$123,CB173)+COUNTIF($CC$100:$CC$123,CB173)+COUNTIF($CD$100:$CD$123,CB173)+COUNTIF($CA$128:$CA$151,CB173)+COUNTIF($CB$128:$CB$151,CB173)+COUNTIF($CC$128:$CC$151,CB173)+COUNTIF($CD$128:$CD$151,CB173)+COUNTIF($CA$156:$CA$179,CB173)+COUNTIF($CB$156:CB173,CB173),"000"))</f>
        <v/>
      </c>
      <c r="J173" s="9" t="str">
        <f>IF(AND($BN$26&lt;&gt;"",($BM$26+18)&lt;=$BO$26),$BN$26,"")</f>
        <v/>
      </c>
      <c r="K173" s="9" t="str">
        <f>IF(AND($BN$26&lt;&gt;"",($BM$26+18)&lt;=$BO$26),TEXT(($BM$26+18),"00"),"")</f>
        <v/>
      </c>
      <c r="L173" s="9" t="str">
        <f>IF(AND($BN$26&lt;&gt;"",($BM$26+18)&lt;=$BO$26),$BN$26&amp;"-"&amp;TEXT(($BM$26+18),"00"),"")</f>
        <v/>
      </c>
      <c r="N173" s="6"/>
      <c r="O173" s="9" t="str">
        <f>IF(CC173="","",CC173&amp;"-"&amp;TEXT(COUNTIF($CA$72:$CA$95,CC173)+COUNTIF($CB$72:$CB$95,CC173)+COUNTIF($CC$72:$CC$95,CC173)+COUNTIF($CD$72:$CD$95,CC173)+COUNTIF($CA$100:$CA$123,CC173)+COUNTIF($CB$100:$CB$123,CC173)+COUNTIF($CC$100:$CC$123,CC173)+COUNTIF($CD$100:$CD$123,CC173)+COUNTIF($CA$128:$CA$151,CC173)+COUNTIF($CB$128:$CB$151,CC173)+COUNTIF($CC$128:$CC$151,CC173)+COUNTIF($CD$128:$CD$151,CC173)+COUNTIF($CA$156:$CA$179,CC173)+COUNTIF($CB$156:$CB$179,CC173)+COUNTIF($CC$156:CC173,CC173),"000"))</f>
        <v/>
      </c>
      <c r="P173" s="9" t="str">
        <f>IF(AND($BN$27&lt;&gt;"",($BM$27+18)&lt;=$BO$27),$BN$27,"")</f>
        <v/>
      </c>
      <c r="Q173" s="9" t="str">
        <f>IF(AND($BN$27&lt;&gt;"",($BM$27+18)&lt;=$BO$27),TEXT(($BM$27+18),"00"),"")</f>
        <v/>
      </c>
      <c r="R173" s="9" t="str">
        <f>IF(AND($BN$27&lt;&gt;"",($BM$27+18)&lt;=$BO$27),$BN$27&amp;"-"&amp;TEXT(($BM$27+18),"00"),"")</f>
        <v/>
      </c>
      <c r="T173" s="6"/>
      <c r="U173" s="9" t="str">
        <f>IF(CD173="","",CD173&amp;"-"&amp;TEXT(COUNTIF($CA$72:$CA$95,CD173)+COUNTIF($CB$72:$CB$95,CD173)+COUNTIF($CC$72:$CC$95,CD173)+COUNTIF($CD$72:$CD$95,CD173)+COUNTIF($CA$100:$CA$123,CD173)+COUNTIF($CB$100:$CB$123,CD173)+COUNTIF($CC$100:$CC$123,CD173)+COUNTIF($CD$100:$CD$123,CD173)+COUNTIF($CA$128:$CA$151,CD173)+COUNTIF($CB$128:$CB$151,CD173)+COUNTIF($CC$128:$CC$151,CD173)+COUNTIF($CD$128:$CD$151,CD173)+COUNTIF($CA$156:$CA$179,CD173)+COUNTIF($CB$156:$CB$179,CD173)+COUNTIF($CC$156:$CC$179,CD173)+COUNTIF($CD$156:CD173,CD173),"000"))</f>
        <v/>
      </c>
      <c r="V173" s="9" t="str">
        <f>IF(AND($BN$28&lt;&gt;"",($BM$28+18)&lt;=$BO$28),$BN$28,"")</f>
        <v/>
      </c>
      <c r="W173" s="9" t="str">
        <f>IF(AND($BN$28&lt;&gt;"",($BM$28+18)&lt;=$BO$28),TEXT(($BM$28+18),"00"),"")</f>
        <v/>
      </c>
      <c r="X173" s="9" t="str">
        <f>IF(AND($BN$28&lt;&gt;"",($BM$28+18)&lt;=$BO$28),$BN$28&amp;"-"&amp;TEXT(($BM$28+18),"00"),"")</f>
        <v/>
      </c>
      <c r="CA173" t="str" cm="1">
        <f t="array" ref="CA173">IF(NOT(AND($BN$25&lt;&gt;"",($BM$25+18)&lt;=$BO$25)),"",IF(B173&lt;&gt;"",IF(B173="-","",B173),IF(ISNUMBER(SEARCH(":",$BP$25)),IFERROR(_xlfn.LET(_xlpm.s,_xlfn.TEXTSPLIT($BP$25,","),_xlpm.k,FIND(":",_xlpm.s),INDEX(TRIM(LEFT(_xlpm.s,_xlpm.k-1)),_xlfn.XMATCH(($BM$25+18),_xlfn.SCAN(0,--MID(_xlpm.s,_xlpm.k+1,9),_xlfn.LAMBDA(_xlpm.a,_xlpm.v,_xlpm.a+_xlpm.v)),1))),""),IF(($BM$25+18)&lt;=$BQ$25,$BP$25,""))))</f>
        <v/>
      </c>
      <c r="CB173" t="str" cm="1">
        <f t="array" ref="CB173">IF(NOT(AND($BN$26&lt;&gt;"",($BM$26+18)&lt;=$BO$26)),"",IF(H173&lt;&gt;"",IF(H173="-","",H173),IF(ISNUMBER(SEARCH(":",$BP$26)),IFERROR(_xlfn.LET(_xlpm.s,_xlfn.TEXTSPLIT($BP$26,","),_xlpm.k,FIND(":",_xlpm.s),INDEX(TRIM(LEFT(_xlpm.s,_xlpm.k-1)),_xlfn.XMATCH(($BM$26+18),_xlfn.SCAN(0,--MID(_xlpm.s,_xlpm.k+1,9),_xlfn.LAMBDA(_xlpm.a,_xlpm.v,_xlpm.a+_xlpm.v)),1))),""),IF(($BM$26+18)&lt;=$BQ$26,$BP$26,""))))</f>
        <v/>
      </c>
      <c r="CC173" t="str" cm="1">
        <f t="array" ref="CC173">IF(NOT(AND($BN$27&lt;&gt;"",($BM$27+18)&lt;=$BO$27)),"",IF(N173&lt;&gt;"",IF(N173="-","",N173),IF(ISNUMBER(SEARCH(":",$BP$27)),IFERROR(_xlfn.LET(_xlpm.s,_xlfn.TEXTSPLIT($BP$27,","),_xlpm.k,FIND(":",_xlpm.s),INDEX(TRIM(LEFT(_xlpm.s,_xlpm.k-1)),_xlfn.XMATCH(($BM$27+18),_xlfn.SCAN(0,--MID(_xlpm.s,_xlpm.k+1,9),_xlfn.LAMBDA(_xlpm.a,_xlpm.v,_xlpm.a+_xlpm.v)),1))),""),IF(($BM$27+18)&lt;=$BQ$27,$BP$27,""))))</f>
        <v/>
      </c>
      <c r="CD173" t="str" cm="1">
        <f t="array" ref="CD173">IF(NOT(AND($BN$28&lt;&gt;"",($BM$28+18)&lt;=$BO$28)),"",IF(T173&lt;&gt;"",IF(T173="-","",T173),IF(ISNUMBER(SEARCH(":",$BP$28)),IFERROR(_xlfn.LET(_xlpm.s,_xlfn.TEXTSPLIT($BP$28,","),_xlpm.k,FIND(":",_xlpm.s),INDEX(TRIM(LEFT(_xlpm.s,_xlpm.k-1)),_xlfn.XMATCH(($BM$28+18),_xlfn.SCAN(0,--MID(_xlpm.s,_xlpm.k+1,9),_xlfn.LAMBDA(_xlpm.a,_xlpm.v,_xlpm.a+_xlpm.v)),1))),""),IF(($BM$28+18)&lt;=$BQ$28,$BP$28,""))))</f>
        <v/>
      </c>
    </row>
    <row r="174" spans="2:82" hidden="1" x14ac:dyDescent="0.45">
      <c r="B174" s="6"/>
      <c r="C174" s="9" t="str">
        <f>IF(CA174="","",CA174&amp;"-"&amp;TEXT(COUNTIF($CA$72:$CA$95,CA174)+COUNTIF($CB$72:$CB$95,CA174)+COUNTIF($CC$72:$CC$95,CA174)+COUNTIF($CD$72:$CD$95,CA174)+COUNTIF($CA$100:$CA$123,CA174)+COUNTIF($CB$100:$CB$123,CA174)+COUNTIF($CC$100:$CC$123,CA174)+COUNTIF($CD$100:$CD$123,CA174)+COUNTIF($CA$128:$CA$151,CA174)+COUNTIF($CB$128:$CB$151,CA174)+COUNTIF($CC$128:$CC$151,CA174)+COUNTIF($CD$128:$CD$151,CA174)+COUNTIF($CA$156:CA174,CA174),"000"))</f>
        <v/>
      </c>
      <c r="D174" s="9" t="str">
        <f>IF(AND($BN$25&lt;&gt;"",($BM$25+19)&lt;=$BO$25),$BN$25,"")</f>
        <v/>
      </c>
      <c r="E174" s="9" t="str">
        <f>IF(AND($BN$25&lt;&gt;"",($BM$25+19)&lt;=$BO$25),TEXT(($BM$25+19),"00"),"")</f>
        <v/>
      </c>
      <c r="F174" s="9" t="str">
        <f>IF(AND($BN$25&lt;&gt;"",($BM$25+19)&lt;=$BO$25),$BN$25&amp;"-"&amp;TEXT(($BM$25+19),"00"),"")</f>
        <v/>
      </c>
      <c r="H174" s="6"/>
      <c r="I174" s="9" t="str">
        <f>IF(CB174="","",CB174&amp;"-"&amp;TEXT(COUNTIF($CA$72:$CA$95,CB174)+COUNTIF($CB$72:$CB$95,CB174)+COUNTIF($CC$72:$CC$95,CB174)+COUNTIF($CD$72:$CD$95,CB174)+COUNTIF($CA$100:$CA$123,CB174)+COUNTIF($CB$100:$CB$123,CB174)+COUNTIF($CC$100:$CC$123,CB174)+COUNTIF($CD$100:$CD$123,CB174)+COUNTIF($CA$128:$CA$151,CB174)+COUNTIF($CB$128:$CB$151,CB174)+COUNTIF($CC$128:$CC$151,CB174)+COUNTIF($CD$128:$CD$151,CB174)+COUNTIF($CA$156:$CA$179,CB174)+COUNTIF($CB$156:CB174,CB174),"000"))</f>
        <v/>
      </c>
      <c r="J174" s="9" t="str">
        <f>IF(AND($BN$26&lt;&gt;"",($BM$26+19)&lt;=$BO$26),$BN$26,"")</f>
        <v/>
      </c>
      <c r="K174" s="9" t="str">
        <f>IF(AND($BN$26&lt;&gt;"",($BM$26+19)&lt;=$BO$26),TEXT(($BM$26+19),"00"),"")</f>
        <v/>
      </c>
      <c r="L174" s="9" t="str">
        <f>IF(AND($BN$26&lt;&gt;"",($BM$26+19)&lt;=$BO$26),$BN$26&amp;"-"&amp;TEXT(($BM$26+19),"00"),"")</f>
        <v/>
      </c>
      <c r="N174" s="6"/>
      <c r="O174" s="9" t="str">
        <f>IF(CC174="","",CC174&amp;"-"&amp;TEXT(COUNTIF($CA$72:$CA$95,CC174)+COUNTIF($CB$72:$CB$95,CC174)+COUNTIF($CC$72:$CC$95,CC174)+COUNTIF($CD$72:$CD$95,CC174)+COUNTIF($CA$100:$CA$123,CC174)+COUNTIF($CB$100:$CB$123,CC174)+COUNTIF($CC$100:$CC$123,CC174)+COUNTIF($CD$100:$CD$123,CC174)+COUNTIF($CA$128:$CA$151,CC174)+COUNTIF($CB$128:$CB$151,CC174)+COUNTIF($CC$128:$CC$151,CC174)+COUNTIF($CD$128:$CD$151,CC174)+COUNTIF($CA$156:$CA$179,CC174)+COUNTIF($CB$156:$CB$179,CC174)+COUNTIF($CC$156:CC174,CC174),"000"))</f>
        <v/>
      </c>
      <c r="P174" s="9" t="str">
        <f>IF(AND($BN$27&lt;&gt;"",($BM$27+19)&lt;=$BO$27),$BN$27,"")</f>
        <v/>
      </c>
      <c r="Q174" s="9" t="str">
        <f>IF(AND($BN$27&lt;&gt;"",($BM$27+19)&lt;=$BO$27),TEXT(($BM$27+19),"00"),"")</f>
        <v/>
      </c>
      <c r="R174" s="9" t="str">
        <f>IF(AND($BN$27&lt;&gt;"",($BM$27+19)&lt;=$BO$27),$BN$27&amp;"-"&amp;TEXT(($BM$27+19),"00"),"")</f>
        <v/>
      </c>
      <c r="T174" s="6"/>
      <c r="U174" s="9" t="str">
        <f>IF(CD174="","",CD174&amp;"-"&amp;TEXT(COUNTIF($CA$72:$CA$95,CD174)+COUNTIF($CB$72:$CB$95,CD174)+COUNTIF($CC$72:$CC$95,CD174)+COUNTIF($CD$72:$CD$95,CD174)+COUNTIF($CA$100:$CA$123,CD174)+COUNTIF($CB$100:$CB$123,CD174)+COUNTIF($CC$100:$CC$123,CD174)+COUNTIF($CD$100:$CD$123,CD174)+COUNTIF($CA$128:$CA$151,CD174)+COUNTIF($CB$128:$CB$151,CD174)+COUNTIF($CC$128:$CC$151,CD174)+COUNTIF($CD$128:$CD$151,CD174)+COUNTIF($CA$156:$CA$179,CD174)+COUNTIF($CB$156:$CB$179,CD174)+COUNTIF($CC$156:$CC$179,CD174)+COUNTIF($CD$156:CD174,CD174),"000"))</f>
        <v/>
      </c>
      <c r="V174" s="9" t="str">
        <f>IF(AND($BN$28&lt;&gt;"",($BM$28+19)&lt;=$BO$28),$BN$28,"")</f>
        <v/>
      </c>
      <c r="W174" s="9" t="str">
        <f>IF(AND($BN$28&lt;&gt;"",($BM$28+19)&lt;=$BO$28),TEXT(($BM$28+19),"00"),"")</f>
        <v/>
      </c>
      <c r="X174" s="9" t="str">
        <f>IF(AND($BN$28&lt;&gt;"",($BM$28+19)&lt;=$BO$28),$BN$28&amp;"-"&amp;TEXT(($BM$28+19),"00"),"")</f>
        <v/>
      </c>
      <c r="CA174" t="str" cm="1">
        <f t="array" ref="CA174">IF(NOT(AND($BN$25&lt;&gt;"",($BM$25+19)&lt;=$BO$25)),"",IF(B174&lt;&gt;"",IF(B174="-","",B174),IF(ISNUMBER(SEARCH(":",$BP$25)),IFERROR(_xlfn.LET(_xlpm.s,_xlfn.TEXTSPLIT($BP$25,","),_xlpm.k,FIND(":",_xlpm.s),INDEX(TRIM(LEFT(_xlpm.s,_xlpm.k-1)),_xlfn.XMATCH(($BM$25+19),_xlfn.SCAN(0,--MID(_xlpm.s,_xlpm.k+1,9),_xlfn.LAMBDA(_xlpm.a,_xlpm.v,_xlpm.a+_xlpm.v)),1))),""),IF(($BM$25+19)&lt;=$BQ$25,$BP$25,""))))</f>
        <v/>
      </c>
      <c r="CB174" t="str" cm="1">
        <f t="array" ref="CB174">IF(NOT(AND($BN$26&lt;&gt;"",($BM$26+19)&lt;=$BO$26)),"",IF(H174&lt;&gt;"",IF(H174="-","",H174),IF(ISNUMBER(SEARCH(":",$BP$26)),IFERROR(_xlfn.LET(_xlpm.s,_xlfn.TEXTSPLIT($BP$26,","),_xlpm.k,FIND(":",_xlpm.s),INDEX(TRIM(LEFT(_xlpm.s,_xlpm.k-1)),_xlfn.XMATCH(($BM$26+19),_xlfn.SCAN(0,--MID(_xlpm.s,_xlpm.k+1,9),_xlfn.LAMBDA(_xlpm.a,_xlpm.v,_xlpm.a+_xlpm.v)),1))),""),IF(($BM$26+19)&lt;=$BQ$26,$BP$26,""))))</f>
        <v/>
      </c>
      <c r="CC174" t="str" cm="1">
        <f t="array" ref="CC174">IF(NOT(AND($BN$27&lt;&gt;"",($BM$27+19)&lt;=$BO$27)),"",IF(N174&lt;&gt;"",IF(N174="-","",N174),IF(ISNUMBER(SEARCH(":",$BP$27)),IFERROR(_xlfn.LET(_xlpm.s,_xlfn.TEXTSPLIT($BP$27,","),_xlpm.k,FIND(":",_xlpm.s),INDEX(TRIM(LEFT(_xlpm.s,_xlpm.k-1)),_xlfn.XMATCH(($BM$27+19),_xlfn.SCAN(0,--MID(_xlpm.s,_xlpm.k+1,9),_xlfn.LAMBDA(_xlpm.a,_xlpm.v,_xlpm.a+_xlpm.v)),1))),""),IF(($BM$27+19)&lt;=$BQ$27,$BP$27,""))))</f>
        <v/>
      </c>
      <c r="CD174" t="str" cm="1">
        <f t="array" ref="CD174">IF(NOT(AND($BN$28&lt;&gt;"",($BM$28+19)&lt;=$BO$28)),"",IF(T174&lt;&gt;"",IF(T174="-","",T174),IF(ISNUMBER(SEARCH(":",$BP$28)),IFERROR(_xlfn.LET(_xlpm.s,_xlfn.TEXTSPLIT($BP$28,","),_xlpm.k,FIND(":",_xlpm.s),INDEX(TRIM(LEFT(_xlpm.s,_xlpm.k-1)),_xlfn.XMATCH(($BM$28+19),_xlfn.SCAN(0,--MID(_xlpm.s,_xlpm.k+1,9),_xlfn.LAMBDA(_xlpm.a,_xlpm.v,_xlpm.a+_xlpm.v)),1))),""),IF(($BM$28+19)&lt;=$BQ$28,$BP$28,""))))</f>
        <v/>
      </c>
    </row>
    <row r="175" spans="2:82" hidden="1" x14ac:dyDescent="0.45">
      <c r="B175" s="6"/>
      <c r="C175" s="9" t="str">
        <f>IF(CA175="","",CA175&amp;"-"&amp;TEXT(COUNTIF($CA$72:$CA$95,CA175)+COUNTIF($CB$72:$CB$95,CA175)+COUNTIF($CC$72:$CC$95,CA175)+COUNTIF($CD$72:$CD$95,CA175)+COUNTIF($CA$100:$CA$123,CA175)+COUNTIF($CB$100:$CB$123,CA175)+COUNTIF($CC$100:$CC$123,CA175)+COUNTIF($CD$100:$CD$123,CA175)+COUNTIF($CA$128:$CA$151,CA175)+COUNTIF($CB$128:$CB$151,CA175)+COUNTIF($CC$128:$CC$151,CA175)+COUNTIF($CD$128:$CD$151,CA175)+COUNTIF($CA$156:CA175,CA175),"000"))</f>
        <v/>
      </c>
      <c r="D175" s="9" t="str">
        <f>IF(AND($BN$25&lt;&gt;"",($BM$25+20)&lt;=$BO$25),$BN$25,"")</f>
        <v/>
      </c>
      <c r="E175" s="9" t="str">
        <f>IF(AND($BN$25&lt;&gt;"",($BM$25+20)&lt;=$BO$25),TEXT(($BM$25+20),"00"),"")</f>
        <v/>
      </c>
      <c r="F175" s="9" t="str">
        <f>IF(AND($BN$25&lt;&gt;"",($BM$25+20)&lt;=$BO$25),$BN$25&amp;"-"&amp;TEXT(($BM$25+20),"00"),"")</f>
        <v/>
      </c>
      <c r="H175" s="6"/>
      <c r="I175" s="9" t="str">
        <f>IF(CB175="","",CB175&amp;"-"&amp;TEXT(COUNTIF($CA$72:$CA$95,CB175)+COUNTIF($CB$72:$CB$95,CB175)+COUNTIF($CC$72:$CC$95,CB175)+COUNTIF($CD$72:$CD$95,CB175)+COUNTIF($CA$100:$CA$123,CB175)+COUNTIF($CB$100:$CB$123,CB175)+COUNTIF($CC$100:$CC$123,CB175)+COUNTIF($CD$100:$CD$123,CB175)+COUNTIF($CA$128:$CA$151,CB175)+COUNTIF($CB$128:$CB$151,CB175)+COUNTIF($CC$128:$CC$151,CB175)+COUNTIF($CD$128:$CD$151,CB175)+COUNTIF($CA$156:$CA$179,CB175)+COUNTIF($CB$156:CB175,CB175),"000"))</f>
        <v/>
      </c>
      <c r="J175" s="9" t="str">
        <f>IF(AND($BN$26&lt;&gt;"",($BM$26+20)&lt;=$BO$26),$BN$26,"")</f>
        <v/>
      </c>
      <c r="K175" s="9" t="str">
        <f>IF(AND($BN$26&lt;&gt;"",($BM$26+20)&lt;=$BO$26),TEXT(($BM$26+20),"00"),"")</f>
        <v/>
      </c>
      <c r="L175" s="9" t="str">
        <f>IF(AND($BN$26&lt;&gt;"",($BM$26+20)&lt;=$BO$26),$BN$26&amp;"-"&amp;TEXT(($BM$26+20),"00"),"")</f>
        <v/>
      </c>
      <c r="N175" s="6"/>
      <c r="O175" s="9" t="str">
        <f>IF(CC175="","",CC175&amp;"-"&amp;TEXT(COUNTIF($CA$72:$CA$95,CC175)+COUNTIF($CB$72:$CB$95,CC175)+COUNTIF($CC$72:$CC$95,CC175)+COUNTIF($CD$72:$CD$95,CC175)+COUNTIF($CA$100:$CA$123,CC175)+COUNTIF($CB$100:$CB$123,CC175)+COUNTIF($CC$100:$CC$123,CC175)+COUNTIF($CD$100:$CD$123,CC175)+COUNTIF($CA$128:$CA$151,CC175)+COUNTIF($CB$128:$CB$151,CC175)+COUNTIF($CC$128:$CC$151,CC175)+COUNTIF($CD$128:$CD$151,CC175)+COUNTIF($CA$156:$CA$179,CC175)+COUNTIF($CB$156:$CB$179,CC175)+COUNTIF($CC$156:CC175,CC175),"000"))</f>
        <v/>
      </c>
      <c r="P175" s="9" t="str">
        <f>IF(AND($BN$27&lt;&gt;"",($BM$27+20)&lt;=$BO$27),$BN$27,"")</f>
        <v/>
      </c>
      <c r="Q175" s="9" t="str">
        <f>IF(AND($BN$27&lt;&gt;"",($BM$27+20)&lt;=$BO$27),TEXT(($BM$27+20),"00"),"")</f>
        <v/>
      </c>
      <c r="R175" s="9" t="str">
        <f>IF(AND($BN$27&lt;&gt;"",($BM$27+20)&lt;=$BO$27),$BN$27&amp;"-"&amp;TEXT(($BM$27+20),"00"),"")</f>
        <v/>
      </c>
      <c r="T175" s="6"/>
      <c r="U175" s="9" t="str">
        <f>IF(CD175="","",CD175&amp;"-"&amp;TEXT(COUNTIF($CA$72:$CA$95,CD175)+COUNTIF($CB$72:$CB$95,CD175)+COUNTIF($CC$72:$CC$95,CD175)+COUNTIF($CD$72:$CD$95,CD175)+COUNTIF($CA$100:$CA$123,CD175)+COUNTIF($CB$100:$CB$123,CD175)+COUNTIF($CC$100:$CC$123,CD175)+COUNTIF($CD$100:$CD$123,CD175)+COUNTIF($CA$128:$CA$151,CD175)+COUNTIF($CB$128:$CB$151,CD175)+COUNTIF($CC$128:$CC$151,CD175)+COUNTIF($CD$128:$CD$151,CD175)+COUNTIF($CA$156:$CA$179,CD175)+COUNTIF($CB$156:$CB$179,CD175)+COUNTIF($CC$156:$CC$179,CD175)+COUNTIF($CD$156:CD175,CD175),"000"))</f>
        <v/>
      </c>
      <c r="V175" s="9" t="str">
        <f>IF(AND($BN$28&lt;&gt;"",($BM$28+20)&lt;=$BO$28),$BN$28,"")</f>
        <v/>
      </c>
      <c r="W175" s="9" t="str">
        <f>IF(AND($BN$28&lt;&gt;"",($BM$28+20)&lt;=$BO$28),TEXT(($BM$28+20),"00"),"")</f>
        <v/>
      </c>
      <c r="X175" s="9" t="str">
        <f>IF(AND($BN$28&lt;&gt;"",($BM$28+20)&lt;=$BO$28),$BN$28&amp;"-"&amp;TEXT(($BM$28+20),"00"),"")</f>
        <v/>
      </c>
      <c r="CA175" t="str" cm="1">
        <f t="array" ref="CA175">IF(NOT(AND($BN$25&lt;&gt;"",($BM$25+20)&lt;=$BO$25)),"",IF(B175&lt;&gt;"",IF(B175="-","",B175),IF(ISNUMBER(SEARCH(":",$BP$25)),IFERROR(_xlfn.LET(_xlpm.s,_xlfn.TEXTSPLIT($BP$25,","),_xlpm.k,FIND(":",_xlpm.s),INDEX(TRIM(LEFT(_xlpm.s,_xlpm.k-1)),_xlfn.XMATCH(($BM$25+20),_xlfn.SCAN(0,--MID(_xlpm.s,_xlpm.k+1,9),_xlfn.LAMBDA(_xlpm.a,_xlpm.v,_xlpm.a+_xlpm.v)),1))),""),IF(($BM$25+20)&lt;=$BQ$25,$BP$25,""))))</f>
        <v/>
      </c>
      <c r="CB175" t="str" cm="1">
        <f t="array" ref="CB175">IF(NOT(AND($BN$26&lt;&gt;"",($BM$26+20)&lt;=$BO$26)),"",IF(H175&lt;&gt;"",IF(H175="-","",H175),IF(ISNUMBER(SEARCH(":",$BP$26)),IFERROR(_xlfn.LET(_xlpm.s,_xlfn.TEXTSPLIT($BP$26,","),_xlpm.k,FIND(":",_xlpm.s),INDEX(TRIM(LEFT(_xlpm.s,_xlpm.k-1)),_xlfn.XMATCH(($BM$26+20),_xlfn.SCAN(0,--MID(_xlpm.s,_xlpm.k+1,9),_xlfn.LAMBDA(_xlpm.a,_xlpm.v,_xlpm.a+_xlpm.v)),1))),""),IF(($BM$26+20)&lt;=$BQ$26,$BP$26,""))))</f>
        <v/>
      </c>
      <c r="CC175" t="str" cm="1">
        <f t="array" ref="CC175">IF(NOT(AND($BN$27&lt;&gt;"",($BM$27+20)&lt;=$BO$27)),"",IF(N175&lt;&gt;"",IF(N175="-","",N175),IF(ISNUMBER(SEARCH(":",$BP$27)),IFERROR(_xlfn.LET(_xlpm.s,_xlfn.TEXTSPLIT($BP$27,","),_xlpm.k,FIND(":",_xlpm.s),INDEX(TRIM(LEFT(_xlpm.s,_xlpm.k-1)),_xlfn.XMATCH(($BM$27+20),_xlfn.SCAN(0,--MID(_xlpm.s,_xlpm.k+1,9),_xlfn.LAMBDA(_xlpm.a,_xlpm.v,_xlpm.a+_xlpm.v)),1))),""),IF(($BM$27+20)&lt;=$BQ$27,$BP$27,""))))</f>
        <v/>
      </c>
      <c r="CD175" t="str" cm="1">
        <f t="array" ref="CD175">IF(NOT(AND($BN$28&lt;&gt;"",($BM$28+20)&lt;=$BO$28)),"",IF(T175&lt;&gt;"",IF(T175="-","",T175),IF(ISNUMBER(SEARCH(":",$BP$28)),IFERROR(_xlfn.LET(_xlpm.s,_xlfn.TEXTSPLIT($BP$28,","),_xlpm.k,FIND(":",_xlpm.s),INDEX(TRIM(LEFT(_xlpm.s,_xlpm.k-1)),_xlfn.XMATCH(($BM$28+20),_xlfn.SCAN(0,--MID(_xlpm.s,_xlpm.k+1,9),_xlfn.LAMBDA(_xlpm.a,_xlpm.v,_xlpm.a+_xlpm.v)),1))),""),IF(($BM$28+20)&lt;=$BQ$28,$BP$28,""))))</f>
        <v/>
      </c>
    </row>
    <row r="176" spans="2:82" hidden="1" x14ac:dyDescent="0.45">
      <c r="B176" s="6"/>
      <c r="C176" s="9" t="str">
        <f>IF(CA176="","",CA176&amp;"-"&amp;TEXT(COUNTIF($CA$72:$CA$95,CA176)+COUNTIF($CB$72:$CB$95,CA176)+COUNTIF($CC$72:$CC$95,CA176)+COUNTIF($CD$72:$CD$95,CA176)+COUNTIF($CA$100:$CA$123,CA176)+COUNTIF($CB$100:$CB$123,CA176)+COUNTIF($CC$100:$CC$123,CA176)+COUNTIF($CD$100:$CD$123,CA176)+COUNTIF($CA$128:$CA$151,CA176)+COUNTIF($CB$128:$CB$151,CA176)+COUNTIF($CC$128:$CC$151,CA176)+COUNTIF($CD$128:$CD$151,CA176)+COUNTIF($CA$156:CA176,CA176),"000"))</f>
        <v/>
      </c>
      <c r="D176" s="9" t="str">
        <f>IF(AND($BN$25&lt;&gt;"",($BM$25+21)&lt;=$BO$25),$BN$25,"")</f>
        <v/>
      </c>
      <c r="E176" s="9" t="str">
        <f>IF(AND($BN$25&lt;&gt;"",($BM$25+21)&lt;=$BO$25),TEXT(($BM$25+21),"00"),"")</f>
        <v/>
      </c>
      <c r="F176" s="9" t="str">
        <f>IF(AND($BN$25&lt;&gt;"",($BM$25+21)&lt;=$BO$25),$BN$25&amp;"-"&amp;TEXT(($BM$25+21),"00"),"")</f>
        <v/>
      </c>
      <c r="H176" s="6"/>
      <c r="I176" s="9" t="str">
        <f>IF(CB176="","",CB176&amp;"-"&amp;TEXT(COUNTIF($CA$72:$CA$95,CB176)+COUNTIF($CB$72:$CB$95,CB176)+COUNTIF($CC$72:$CC$95,CB176)+COUNTIF($CD$72:$CD$95,CB176)+COUNTIF($CA$100:$CA$123,CB176)+COUNTIF($CB$100:$CB$123,CB176)+COUNTIF($CC$100:$CC$123,CB176)+COUNTIF($CD$100:$CD$123,CB176)+COUNTIF($CA$128:$CA$151,CB176)+COUNTIF($CB$128:$CB$151,CB176)+COUNTIF($CC$128:$CC$151,CB176)+COUNTIF($CD$128:$CD$151,CB176)+COUNTIF($CA$156:$CA$179,CB176)+COUNTIF($CB$156:CB176,CB176),"000"))</f>
        <v/>
      </c>
      <c r="J176" s="9" t="str">
        <f>IF(AND($BN$26&lt;&gt;"",($BM$26+21)&lt;=$BO$26),$BN$26,"")</f>
        <v/>
      </c>
      <c r="K176" s="9" t="str">
        <f>IF(AND($BN$26&lt;&gt;"",($BM$26+21)&lt;=$BO$26),TEXT(($BM$26+21),"00"),"")</f>
        <v/>
      </c>
      <c r="L176" s="9" t="str">
        <f>IF(AND($BN$26&lt;&gt;"",($BM$26+21)&lt;=$BO$26),$BN$26&amp;"-"&amp;TEXT(($BM$26+21),"00"),"")</f>
        <v/>
      </c>
      <c r="N176" s="6"/>
      <c r="O176" s="9" t="str">
        <f>IF(CC176="","",CC176&amp;"-"&amp;TEXT(COUNTIF($CA$72:$CA$95,CC176)+COUNTIF($CB$72:$CB$95,CC176)+COUNTIF($CC$72:$CC$95,CC176)+COUNTIF($CD$72:$CD$95,CC176)+COUNTIF($CA$100:$CA$123,CC176)+COUNTIF($CB$100:$CB$123,CC176)+COUNTIF($CC$100:$CC$123,CC176)+COUNTIF($CD$100:$CD$123,CC176)+COUNTIF($CA$128:$CA$151,CC176)+COUNTIF($CB$128:$CB$151,CC176)+COUNTIF($CC$128:$CC$151,CC176)+COUNTIF($CD$128:$CD$151,CC176)+COUNTIF($CA$156:$CA$179,CC176)+COUNTIF($CB$156:$CB$179,CC176)+COUNTIF($CC$156:CC176,CC176),"000"))</f>
        <v/>
      </c>
      <c r="P176" s="9" t="str">
        <f>IF(AND($BN$27&lt;&gt;"",($BM$27+21)&lt;=$BO$27),$BN$27,"")</f>
        <v/>
      </c>
      <c r="Q176" s="9" t="str">
        <f>IF(AND($BN$27&lt;&gt;"",($BM$27+21)&lt;=$BO$27),TEXT(($BM$27+21),"00"),"")</f>
        <v/>
      </c>
      <c r="R176" s="9" t="str">
        <f>IF(AND($BN$27&lt;&gt;"",($BM$27+21)&lt;=$BO$27),$BN$27&amp;"-"&amp;TEXT(($BM$27+21),"00"),"")</f>
        <v/>
      </c>
      <c r="T176" s="6"/>
      <c r="U176" s="9" t="str">
        <f>IF(CD176="","",CD176&amp;"-"&amp;TEXT(COUNTIF($CA$72:$CA$95,CD176)+COUNTIF($CB$72:$CB$95,CD176)+COUNTIF($CC$72:$CC$95,CD176)+COUNTIF($CD$72:$CD$95,CD176)+COUNTIF($CA$100:$CA$123,CD176)+COUNTIF($CB$100:$CB$123,CD176)+COUNTIF($CC$100:$CC$123,CD176)+COUNTIF($CD$100:$CD$123,CD176)+COUNTIF($CA$128:$CA$151,CD176)+COUNTIF($CB$128:$CB$151,CD176)+COUNTIF($CC$128:$CC$151,CD176)+COUNTIF($CD$128:$CD$151,CD176)+COUNTIF($CA$156:$CA$179,CD176)+COUNTIF($CB$156:$CB$179,CD176)+COUNTIF($CC$156:$CC$179,CD176)+COUNTIF($CD$156:CD176,CD176),"000"))</f>
        <v/>
      </c>
      <c r="V176" s="9" t="str">
        <f>IF(AND($BN$28&lt;&gt;"",($BM$28+21)&lt;=$BO$28),$BN$28,"")</f>
        <v/>
      </c>
      <c r="W176" s="9" t="str">
        <f>IF(AND($BN$28&lt;&gt;"",($BM$28+21)&lt;=$BO$28),TEXT(($BM$28+21),"00"),"")</f>
        <v/>
      </c>
      <c r="X176" s="9" t="str">
        <f>IF(AND($BN$28&lt;&gt;"",($BM$28+21)&lt;=$BO$28),$BN$28&amp;"-"&amp;TEXT(($BM$28+21),"00"),"")</f>
        <v/>
      </c>
      <c r="CA176" t="str" cm="1">
        <f t="array" ref="CA176">IF(NOT(AND($BN$25&lt;&gt;"",($BM$25+21)&lt;=$BO$25)),"",IF(B176&lt;&gt;"",IF(B176="-","",B176),IF(ISNUMBER(SEARCH(":",$BP$25)),IFERROR(_xlfn.LET(_xlpm.s,_xlfn.TEXTSPLIT($BP$25,","),_xlpm.k,FIND(":",_xlpm.s),INDEX(TRIM(LEFT(_xlpm.s,_xlpm.k-1)),_xlfn.XMATCH(($BM$25+21),_xlfn.SCAN(0,--MID(_xlpm.s,_xlpm.k+1,9),_xlfn.LAMBDA(_xlpm.a,_xlpm.v,_xlpm.a+_xlpm.v)),1))),""),IF(($BM$25+21)&lt;=$BQ$25,$BP$25,""))))</f>
        <v/>
      </c>
      <c r="CB176" t="str" cm="1">
        <f t="array" ref="CB176">IF(NOT(AND($BN$26&lt;&gt;"",($BM$26+21)&lt;=$BO$26)),"",IF(H176&lt;&gt;"",IF(H176="-","",H176),IF(ISNUMBER(SEARCH(":",$BP$26)),IFERROR(_xlfn.LET(_xlpm.s,_xlfn.TEXTSPLIT($BP$26,","),_xlpm.k,FIND(":",_xlpm.s),INDEX(TRIM(LEFT(_xlpm.s,_xlpm.k-1)),_xlfn.XMATCH(($BM$26+21),_xlfn.SCAN(0,--MID(_xlpm.s,_xlpm.k+1,9),_xlfn.LAMBDA(_xlpm.a,_xlpm.v,_xlpm.a+_xlpm.v)),1))),""),IF(($BM$26+21)&lt;=$BQ$26,$BP$26,""))))</f>
        <v/>
      </c>
      <c r="CC176" t="str" cm="1">
        <f t="array" ref="CC176">IF(NOT(AND($BN$27&lt;&gt;"",($BM$27+21)&lt;=$BO$27)),"",IF(N176&lt;&gt;"",IF(N176="-","",N176),IF(ISNUMBER(SEARCH(":",$BP$27)),IFERROR(_xlfn.LET(_xlpm.s,_xlfn.TEXTSPLIT($BP$27,","),_xlpm.k,FIND(":",_xlpm.s),INDEX(TRIM(LEFT(_xlpm.s,_xlpm.k-1)),_xlfn.XMATCH(($BM$27+21),_xlfn.SCAN(0,--MID(_xlpm.s,_xlpm.k+1,9),_xlfn.LAMBDA(_xlpm.a,_xlpm.v,_xlpm.a+_xlpm.v)),1))),""),IF(($BM$27+21)&lt;=$BQ$27,$BP$27,""))))</f>
        <v/>
      </c>
      <c r="CD176" t="str" cm="1">
        <f t="array" ref="CD176">IF(NOT(AND($BN$28&lt;&gt;"",($BM$28+21)&lt;=$BO$28)),"",IF(T176&lt;&gt;"",IF(T176="-","",T176),IF(ISNUMBER(SEARCH(":",$BP$28)),IFERROR(_xlfn.LET(_xlpm.s,_xlfn.TEXTSPLIT($BP$28,","),_xlpm.k,FIND(":",_xlpm.s),INDEX(TRIM(LEFT(_xlpm.s,_xlpm.k-1)),_xlfn.XMATCH(($BM$28+21),_xlfn.SCAN(0,--MID(_xlpm.s,_xlpm.k+1,9),_xlfn.LAMBDA(_xlpm.a,_xlpm.v,_xlpm.a+_xlpm.v)),1))),""),IF(($BM$28+21)&lt;=$BQ$28,$BP$28,""))))</f>
        <v/>
      </c>
    </row>
    <row r="177" spans="2:82" hidden="1" x14ac:dyDescent="0.45">
      <c r="B177" s="6"/>
      <c r="C177" s="9" t="str">
        <f>IF(CA177="","",CA177&amp;"-"&amp;TEXT(COUNTIF($CA$72:$CA$95,CA177)+COUNTIF($CB$72:$CB$95,CA177)+COUNTIF($CC$72:$CC$95,CA177)+COUNTIF($CD$72:$CD$95,CA177)+COUNTIF($CA$100:$CA$123,CA177)+COUNTIF($CB$100:$CB$123,CA177)+COUNTIF($CC$100:$CC$123,CA177)+COUNTIF($CD$100:$CD$123,CA177)+COUNTIF($CA$128:$CA$151,CA177)+COUNTIF($CB$128:$CB$151,CA177)+COUNTIF($CC$128:$CC$151,CA177)+COUNTIF($CD$128:$CD$151,CA177)+COUNTIF($CA$156:CA177,CA177),"000"))</f>
        <v/>
      </c>
      <c r="D177" s="9" t="str">
        <f>IF(AND($BN$25&lt;&gt;"",($BM$25+22)&lt;=$BO$25),$BN$25,"")</f>
        <v/>
      </c>
      <c r="E177" s="9" t="str">
        <f>IF(AND($BN$25&lt;&gt;"",($BM$25+22)&lt;=$BO$25),TEXT(($BM$25+22),"00"),"")</f>
        <v/>
      </c>
      <c r="F177" s="9" t="str">
        <f>IF(AND($BN$25&lt;&gt;"",($BM$25+22)&lt;=$BO$25),$BN$25&amp;"-"&amp;TEXT(($BM$25+22),"00"),"")</f>
        <v/>
      </c>
      <c r="H177" s="6"/>
      <c r="I177" s="9" t="str">
        <f>IF(CB177="","",CB177&amp;"-"&amp;TEXT(COUNTIF($CA$72:$CA$95,CB177)+COUNTIF($CB$72:$CB$95,CB177)+COUNTIF($CC$72:$CC$95,CB177)+COUNTIF($CD$72:$CD$95,CB177)+COUNTIF($CA$100:$CA$123,CB177)+COUNTIF($CB$100:$CB$123,CB177)+COUNTIF($CC$100:$CC$123,CB177)+COUNTIF($CD$100:$CD$123,CB177)+COUNTIF($CA$128:$CA$151,CB177)+COUNTIF($CB$128:$CB$151,CB177)+COUNTIF($CC$128:$CC$151,CB177)+COUNTIF($CD$128:$CD$151,CB177)+COUNTIF($CA$156:$CA$179,CB177)+COUNTIF($CB$156:CB177,CB177),"000"))</f>
        <v/>
      </c>
      <c r="J177" s="9" t="str">
        <f>IF(AND($BN$26&lt;&gt;"",($BM$26+22)&lt;=$BO$26),$BN$26,"")</f>
        <v/>
      </c>
      <c r="K177" s="9" t="str">
        <f>IF(AND($BN$26&lt;&gt;"",($BM$26+22)&lt;=$BO$26),TEXT(($BM$26+22),"00"),"")</f>
        <v/>
      </c>
      <c r="L177" s="9" t="str">
        <f>IF(AND($BN$26&lt;&gt;"",($BM$26+22)&lt;=$BO$26),$BN$26&amp;"-"&amp;TEXT(($BM$26+22),"00"),"")</f>
        <v/>
      </c>
      <c r="N177" s="6"/>
      <c r="O177" s="9" t="str">
        <f>IF(CC177="","",CC177&amp;"-"&amp;TEXT(COUNTIF($CA$72:$CA$95,CC177)+COUNTIF($CB$72:$CB$95,CC177)+COUNTIF($CC$72:$CC$95,CC177)+COUNTIF($CD$72:$CD$95,CC177)+COUNTIF($CA$100:$CA$123,CC177)+COUNTIF($CB$100:$CB$123,CC177)+COUNTIF($CC$100:$CC$123,CC177)+COUNTIF($CD$100:$CD$123,CC177)+COUNTIF($CA$128:$CA$151,CC177)+COUNTIF($CB$128:$CB$151,CC177)+COUNTIF($CC$128:$CC$151,CC177)+COUNTIF($CD$128:$CD$151,CC177)+COUNTIF($CA$156:$CA$179,CC177)+COUNTIF($CB$156:$CB$179,CC177)+COUNTIF($CC$156:CC177,CC177),"000"))</f>
        <v/>
      </c>
      <c r="P177" s="9" t="str">
        <f>IF(AND($BN$27&lt;&gt;"",($BM$27+22)&lt;=$BO$27),$BN$27,"")</f>
        <v/>
      </c>
      <c r="Q177" s="9" t="str">
        <f>IF(AND($BN$27&lt;&gt;"",($BM$27+22)&lt;=$BO$27),TEXT(($BM$27+22),"00"),"")</f>
        <v/>
      </c>
      <c r="R177" s="9" t="str">
        <f>IF(AND($BN$27&lt;&gt;"",($BM$27+22)&lt;=$BO$27),$BN$27&amp;"-"&amp;TEXT(($BM$27+22),"00"),"")</f>
        <v/>
      </c>
      <c r="T177" s="6"/>
      <c r="U177" s="9" t="str">
        <f>IF(CD177="","",CD177&amp;"-"&amp;TEXT(COUNTIF($CA$72:$CA$95,CD177)+COUNTIF($CB$72:$CB$95,CD177)+COUNTIF($CC$72:$CC$95,CD177)+COUNTIF($CD$72:$CD$95,CD177)+COUNTIF($CA$100:$CA$123,CD177)+COUNTIF($CB$100:$CB$123,CD177)+COUNTIF($CC$100:$CC$123,CD177)+COUNTIF($CD$100:$CD$123,CD177)+COUNTIF($CA$128:$CA$151,CD177)+COUNTIF($CB$128:$CB$151,CD177)+COUNTIF($CC$128:$CC$151,CD177)+COUNTIF($CD$128:$CD$151,CD177)+COUNTIF($CA$156:$CA$179,CD177)+COUNTIF($CB$156:$CB$179,CD177)+COUNTIF($CC$156:$CC$179,CD177)+COUNTIF($CD$156:CD177,CD177),"000"))</f>
        <v/>
      </c>
      <c r="V177" s="9" t="str">
        <f>IF(AND($BN$28&lt;&gt;"",($BM$28+22)&lt;=$BO$28),$BN$28,"")</f>
        <v/>
      </c>
      <c r="W177" s="9" t="str">
        <f>IF(AND($BN$28&lt;&gt;"",($BM$28+22)&lt;=$BO$28),TEXT(($BM$28+22),"00"),"")</f>
        <v/>
      </c>
      <c r="X177" s="9" t="str">
        <f>IF(AND($BN$28&lt;&gt;"",($BM$28+22)&lt;=$BO$28),$BN$28&amp;"-"&amp;TEXT(($BM$28+22),"00"),"")</f>
        <v/>
      </c>
      <c r="CA177" t="str" cm="1">
        <f t="array" ref="CA177">IF(NOT(AND($BN$25&lt;&gt;"",($BM$25+22)&lt;=$BO$25)),"",IF(B177&lt;&gt;"",IF(B177="-","",B177),IF(ISNUMBER(SEARCH(":",$BP$25)),IFERROR(_xlfn.LET(_xlpm.s,_xlfn.TEXTSPLIT($BP$25,","),_xlpm.k,FIND(":",_xlpm.s),INDEX(TRIM(LEFT(_xlpm.s,_xlpm.k-1)),_xlfn.XMATCH(($BM$25+22),_xlfn.SCAN(0,--MID(_xlpm.s,_xlpm.k+1,9),_xlfn.LAMBDA(_xlpm.a,_xlpm.v,_xlpm.a+_xlpm.v)),1))),""),IF(($BM$25+22)&lt;=$BQ$25,$BP$25,""))))</f>
        <v/>
      </c>
      <c r="CB177" t="str" cm="1">
        <f t="array" ref="CB177">IF(NOT(AND($BN$26&lt;&gt;"",($BM$26+22)&lt;=$BO$26)),"",IF(H177&lt;&gt;"",IF(H177="-","",H177),IF(ISNUMBER(SEARCH(":",$BP$26)),IFERROR(_xlfn.LET(_xlpm.s,_xlfn.TEXTSPLIT($BP$26,","),_xlpm.k,FIND(":",_xlpm.s),INDEX(TRIM(LEFT(_xlpm.s,_xlpm.k-1)),_xlfn.XMATCH(($BM$26+22),_xlfn.SCAN(0,--MID(_xlpm.s,_xlpm.k+1,9),_xlfn.LAMBDA(_xlpm.a,_xlpm.v,_xlpm.a+_xlpm.v)),1))),""),IF(($BM$26+22)&lt;=$BQ$26,$BP$26,""))))</f>
        <v/>
      </c>
      <c r="CC177" t="str" cm="1">
        <f t="array" ref="CC177">IF(NOT(AND($BN$27&lt;&gt;"",($BM$27+22)&lt;=$BO$27)),"",IF(N177&lt;&gt;"",IF(N177="-","",N177),IF(ISNUMBER(SEARCH(":",$BP$27)),IFERROR(_xlfn.LET(_xlpm.s,_xlfn.TEXTSPLIT($BP$27,","),_xlpm.k,FIND(":",_xlpm.s),INDEX(TRIM(LEFT(_xlpm.s,_xlpm.k-1)),_xlfn.XMATCH(($BM$27+22),_xlfn.SCAN(0,--MID(_xlpm.s,_xlpm.k+1,9),_xlfn.LAMBDA(_xlpm.a,_xlpm.v,_xlpm.a+_xlpm.v)),1))),""),IF(($BM$27+22)&lt;=$BQ$27,$BP$27,""))))</f>
        <v/>
      </c>
      <c r="CD177" t="str" cm="1">
        <f t="array" ref="CD177">IF(NOT(AND($BN$28&lt;&gt;"",($BM$28+22)&lt;=$BO$28)),"",IF(T177&lt;&gt;"",IF(T177="-","",T177),IF(ISNUMBER(SEARCH(":",$BP$28)),IFERROR(_xlfn.LET(_xlpm.s,_xlfn.TEXTSPLIT($BP$28,","),_xlpm.k,FIND(":",_xlpm.s),INDEX(TRIM(LEFT(_xlpm.s,_xlpm.k-1)),_xlfn.XMATCH(($BM$28+22),_xlfn.SCAN(0,--MID(_xlpm.s,_xlpm.k+1,9),_xlfn.LAMBDA(_xlpm.a,_xlpm.v,_xlpm.a+_xlpm.v)),1))),""),IF(($BM$28+22)&lt;=$BQ$28,$BP$28,""))))</f>
        <v/>
      </c>
    </row>
    <row r="178" spans="2:82" hidden="1" x14ac:dyDescent="0.45">
      <c r="B178" s="6"/>
      <c r="C178" s="9" t="str">
        <f>IF(CA178="","",CA178&amp;"-"&amp;TEXT(COUNTIF($CA$72:$CA$95,CA178)+COUNTIF($CB$72:$CB$95,CA178)+COUNTIF($CC$72:$CC$95,CA178)+COUNTIF($CD$72:$CD$95,CA178)+COUNTIF($CA$100:$CA$123,CA178)+COUNTIF($CB$100:$CB$123,CA178)+COUNTIF($CC$100:$CC$123,CA178)+COUNTIF($CD$100:$CD$123,CA178)+COUNTIF($CA$128:$CA$151,CA178)+COUNTIF($CB$128:$CB$151,CA178)+COUNTIF($CC$128:$CC$151,CA178)+COUNTIF($CD$128:$CD$151,CA178)+COUNTIF($CA$156:CA178,CA178),"000"))</f>
        <v/>
      </c>
      <c r="D178" s="9" t="str">
        <f>IF(AND($BN$25&lt;&gt;"",($BM$25+23)&lt;=$BO$25),$BN$25,"")</f>
        <v/>
      </c>
      <c r="E178" s="9" t="str">
        <f>IF(AND($BN$25&lt;&gt;"",($BM$25+23)&lt;=$BO$25),TEXT(($BM$25+23),"00"),"")</f>
        <v/>
      </c>
      <c r="F178" s="9" t="str">
        <f>IF(AND($BN$25&lt;&gt;"",($BM$25+23)&lt;=$BO$25),$BN$25&amp;"-"&amp;TEXT(($BM$25+23),"00"),"")</f>
        <v/>
      </c>
      <c r="H178" s="6"/>
      <c r="I178" s="9" t="str">
        <f>IF(CB178="","",CB178&amp;"-"&amp;TEXT(COUNTIF($CA$72:$CA$95,CB178)+COUNTIF($CB$72:$CB$95,CB178)+COUNTIF($CC$72:$CC$95,CB178)+COUNTIF($CD$72:$CD$95,CB178)+COUNTIF($CA$100:$CA$123,CB178)+COUNTIF($CB$100:$CB$123,CB178)+COUNTIF($CC$100:$CC$123,CB178)+COUNTIF($CD$100:$CD$123,CB178)+COUNTIF($CA$128:$CA$151,CB178)+COUNTIF($CB$128:$CB$151,CB178)+COUNTIF($CC$128:$CC$151,CB178)+COUNTIF($CD$128:$CD$151,CB178)+COUNTIF($CA$156:$CA$179,CB178)+COUNTIF($CB$156:CB178,CB178),"000"))</f>
        <v/>
      </c>
      <c r="J178" s="9" t="str">
        <f>IF(AND($BN$26&lt;&gt;"",($BM$26+23)&lt;=$BO$26),$BN$26,"")</f>
        <v/>
      </c>
      <c r="K178" s="9" t="str">
        <f>IF(AND($BN$26&lt;&gt;"",($BM$26+23)&lt;=$BO$26),TEXT(($BM$26+23),"00"),"")</f>
        <v/>
      </c>
      <c r="L178" s="9" t="str">
        <f>IF(AND($BN$26&lt;&gt;"",($BM$26+23)&lt;=$BO$26),$BN$26&amp;"-"&amp;TEXT(($BM$26+23),"00"),"")</f>
        <v/>
      </c>
      <c r="N178" s="6"/>
      <c r="O178" s="9" t="str">
        <f>IF(CC178="","",CC178&amp;"-"&amp;TEXT(COUNTIF($CA$72:$CA$95,CC178)+COUNTIF($CB$72:$CB$95,CC178)+COUNTIF($CC$72:$CC$95,CC178)+COUNTIF($CD$72:$CD$95,CC178)+COUNTIF($CA$100:$CA$123,CC178)+COUNTIF($CB$100:$CB$123,CC178)+COUNTIF($CC$100:$CC$123,CC178)+COUNTIF($CD$100:$CD$123,CC178)+COUNTIF($CA$128:$CA$151,CC178)+COUNTIF($CB$128:$CB$151,CC178)+COUNTIF($CC$128:$CC$151,CC178)+COUNTIF($CD$128:$CD$151,CC178)+COUNTIF($CA$156:$CA$179,CC178)+COUNTIF($CB$156:$CB$179,CC178)+COUNTIF($CC$156:CC178,CC178),"000"))</f>
        <v/>
      </c>
      <c r="P178" s="9" t="str">
        <f>IF(AND($BN$27&lt;&gt;"",($BM$27+23)&lt;=$BO$27),$BN$27,"")</f>
        <v/>
      </c>
      <c r="Q178" s="9" t="str">
        <f>IF(AND($BN$27&lt;&gt;"",($BM$27+23)&lt;=$BO$27),TEXT(($BM$27+23),"00"),"")</f>
        <v/>
      </c>
      <c r="R178" s="9" t="str">
        <f>IF(AND($BN$27&lt;&gt;"",($BM$27+23)&lt;=$BO$27),$BN$27&amp;"-"&amp;TEXT(($BM$27+23),"00"),"")</f>
        <v/>
      </c>
      <c r="T178" s="6"/>
      <c r="U178" s="9" t="str">
        <f>IF(CD178="","",CD178&amp;"-"&amp;TEXT(COUNTIF($CA$72:$CA$95,CD178)+COUNTIF($CB$72:$CB$95,CD178)+COUNTIF($CC$72:$CC$95,CD178)+COUNTIF($CD$72:$CD$95,CD178)+COUNTIF($CA$100:$CA$123,CD178)+COUNTIF($CB$100:$CB$123,CD178)+COUNTIF($CC$100:$CC$123,CD178)+COUNTIF($CD$100:$CD$123,CD178)+COUNTIF($CA$128:$CA$151,CD178)+COUNTIF($CB$128:$CB$151,CD178)+COUNTIF($CC$128:$CC$151,CD178)+COUNTIF($CD$128:$CD$151,CD178)+COUNTIF($CA$156:$CA$179,CD178)+COUNTIF($CB$156:$CB$179,CD178)+COUNTIF($CC$156:$CC$179,CD178)+COUNTIF($CD$156:CD178,CD178),"000"))</f>
        <v/>
      </c>
      <c r="V178" s="9" t="str">
        <f>IF(AND($BN$28&lt;&gt;"",($BM$28+23)&lt;=$BO$28),$BN$28,"")</f>
        <v/>
      </c>
      <c r="W178" s="9" t="str">
        <f>IF(AND($BN$28&lt;&gt;"",($BM$28+23)&lt;=$BO$28),TEXT(($BM$28+23),"00"),"")</f>
        <v/>
      </c>
      <c r="X178" s="9" t="str">
        <f>IF(AND($BN$28&lt;&gt;"",($BM$28+23)&lt;=$BO$28),$BN$28&amp;"-"&amp;TEXT(($BM$28+23),"00"),"")</f>
        <v/>
      </c>
      <c r="CA178" t="str" cm="1">
        <f t="array" ref="CA178">IF(NOT(AND($BN$25&lt;&gt;"",($BM$25+23)&lt;=$BO$25)),"",IF(B178&lt;&gt;"",IF(B178="-","",B178),IF(ISNUMBER(SEARCH(":",$BP$25)),IFERROR(_xlfn.LET(_xlpm.s,_xlfn.TEXTSPLIT($BP$25,","),_xlpm.k,FIND(":",_xlpm.s),INDEX(TRIM(LEFT(_xlpm.s,_xlpm.k-1)),_xlfn.XMATCH(($BM$25+23),_xlfn.SCAN(0,--MID(_xlpm.s,_xlpm.k+1,9),_xlfn.LAMBDA(_xlpm.a,_xlpm.v,_xlpm.a+_xlpm.v)),1))),""),IF(($BM$25+23)&lt;=$BQ$25,$BP$25,""))))</f>
        <v/>
      </c>
      <c r="CB178" t="str" cm="1">
        <f t="array" ref="CB178">IF(NOT(AND($BN$26&lt;&gt;"",($BM$26+23)&lt;=$BO$26)),"",IF(H178&lt;&gt;"",IF(H178="-","",H178),IF(ISNUMBER(SEARCH(":",$BP$26)),IFERROR(_xlfn.LET(_xlpm.s,_xlfn.TEXTSPLIT($BP$26,","),_xlpm.k,FIND(":",_xlpm.s),INDEX(TRIM(LEFT(_xlpm.s,_xlpm.k-1)),_xlfn.XMATCH(($BM$26+23),_xlfn.SCAN(0,--MID(_xlpm.s,_xlpm.k+1,9),_xlfn.LAMBDA(_xlpm.a,_xlpm.v,_xlpm.a+_xlpm.v)),1))),""),IF(($BM$26+23)&lt;=$BQ$26,$BP$26,""))))</f>
        <v/>
      </c>
      <c r="CC178" t="str" cm="1">
        <f t="array" ref="CC178">IF(NOT(AND($BN$27&lt;&gt;"",($BM$27+23)&lt;=$BO$27)),"",IF(N178&lt;&gt;"",IF(N178="-","",N178),IF(ISNUMBER(SEARCH(":",$BP$27)),IFERROR(_xlfn.LET(_xlpm.s,_xlfn.TEXTSPLIT($BP$27,","),_xlpm.k,FIND(":",_xlpm.s),INDEX(TRIM(LEFT(_xlpm.s,_xlpm.k-1)),_xlfn.XMATCH(($BM$27+23),_xlfn.SCAN(0,--MID(_xlpm.s,_xlpm.k+1,9),_xlfn.LAMBDA(_xlpm.a,_xlpm.v,_xlpm.a+_xlpm.v)),1))),""),IF(($BM$27+23)&lt;=$BQ$27,$BP$27,""))))</f>
        <v/>
      </c>
      <c r="CD178" t="str" cm="1">
        <f t="array" ref="CD178">IF(NOT(AND($BN$28&lt;&gt;"",($BM$28+23)&lt;=$BO$28)),"",IF(T178&lt;&gt;"",IF(T178="-","",T178),IF(ISNUMBER(SEARCH(":",$BP$28)),IFERROR(_xlfn.LET(_xlpm.s,_xlfn.TEXTSPLIT($BP$28,","),_xlpm.k,FIND(":",_xlpm.s),INDEX(TRIM(LEFT(_xlpm.s,_xlpm.k-1)),_xlfn.XMATCH(($BM$28+23),_xlfn.SCAN(0,--MID(_xlpm.s,_xlpm.k+1,9),_xlfn.LAMBDA(_xlpm.a,_xlpm.v,_xlpm.a+_xlpm.v)),1))),""),IF(($BM$28+23)&lt;=$BQ$28,$BP$28,""))))</f>
        <v/>
      </c>
    </row>
    <row r="179" spans="2:82" hidden="1" x14ac:dyDescent="0.45">
      <c r="B179" s="6"/>
      <c r="C179" s="9" t="str">
        <f>IF(CA179="","",CA179&amp;"-"&amp;TEXT(COUNTIF($CA$72:$CA$95,CA179)+COUNTIF($CB$72:$CB$95,CA179)+COUNTIF($CC$72:$CC$95,CA179)+COUNTIF($CD$72:$CD$95,CA179)+COUNTIF($CA$100:$CA$123,CA179)+COUNTIF($CB$100:$CB$123,CA179)+COUNTIF($CC$100:$CC$123,CA179)+COUNTIF($CD$100:$CD$123,CA179)+COUNTIF($CA$128:$CA$151,CA179)+COUNTIF($CB$128:$CB$151,CA179)+COUNTIF($CC$128:$CC$151,CA179)+COUNTIF($CD$128:$CD$151,CA179)+COUNTIF($CA$156:CA179,CA179),"000"))</f>
        <v/>
      </c>
      <c r="D179" s="9" t="str">
        <f>IF(AND($BN$25&lt;&gt;"",($BM$25+24)&lt;=$BO$25),$BN$25,"")</f>
        <v/>
      </c>
      <c r="E179" s="9" t="str">
        <f>IF(AND($BN$25&lt;&gt;"",($BM$25+24)&lt;=$BO$25),TEXT(($BM$25+24),"00"),"")</f>
        <v/>
      </c>
      <c r="F179" s="9" t="str">
        <f>IF(AND($BN$25&lt;&gt;"",($BM$25+24)&lt;=$BO$25),$BN$25&amp;"-"&amp;TEXT(($BM$25+24),"00"),"")</f>
        <v/>
      </c>
      <c r="H179" s="6"/>
      <c r="I179" s="9" t="str">
        <f>IF(CB179="","",CB179&amp;"-"&amp;TEXT(COUNTIF($CA$72:$CA$95,CB179)+COUNTIF($CB$72:$CB$95,CB179)+COUNTIF($CC$72:$CC$95,CB179)+COUNTIF($CD$72:$CD$95,CB179)+COUNTIF($CA$100:$CA$123,CB179)+COUNTIF($CB$100:$CB$123,CB179)+COUNTIF($CC$100:$CC$123,CB179)+COUNTIF($CD$100:$CD$123,CB179)+COUNTIF($CA$128:$CA$151,CB179)+COUNTIF($CB$128:$CB$151,CB179)+COUNTIF($CC$128:$CC$151,CB179)+COUNTIF($CD$128:$CD$151,CB179)+COUNTIF($CA$156:$CA$179,CB179)+COUNTIF($CB$156:CB179,CB179),"000"))</f>
        <v/>
      </c>
      <c r="J179" s="9" t="str">
        <f>IF(AND($BN$26&lt;&gt;"",($BM$26+24)&lt;=$BO$26),$BN$26,"")</f>
        <v/>
      </c>
      <c r="K179" s="9" t="str">
        <f>IF(AND($BN$26&lt;&gt;"",($BM$26+24)&lt;=$BO$26),TEXT(($BM$26+24),"00"),"")</f>
        <v/>
      </c>
      <c r="L179" s="9" t="str">
        <f>IF(AND($BN$26&lt;&gt;"",($BM$26+24)&lt;=$BO$26),$BN$26&amp;"-"&amp;TEXT(($BM$26+24),"00"),"")</f>
        <v/>
      </c>
      <c r="N179" s="6"/>
      <c r="O179" s="9" t="str">
        <f>IF(CC179="","",CC179&amp;"-"&amp;TEXT(COUNTIF($CA$72:$CA$95,CC179)+COUNTIF($CB$72:$CB$95,CC179)+COUNTIF($CC$72:$CC$95,CC179)+COUNTIF($CD$72:$CD$95,CC179)+COUNTIF($CA$100:$CA$123,CC179)+COUNTIF($CB$100:$CB$123,CC179)+COUNTIF($CC$100:$CC$123,CC179)+COUNTIF($CD$100:$CD$123,CC179)+COUNTIF($CA$128:$CA$151,CC179)+COUNTIF($CB$128:$CB$151,CC179)+COUNTIF($CC$128:$CC$151,CC179)+COUNTIF($CD$128:$CD$151,CC179)+COUNTIF($CA$156:$CA$179,CC179)+COUNTIF($CB$156:$CB$179,CC179)+COUNTIF($CC$156:CC179,CC179),"000"))</f>
        <v/>
      </c>
      <c r="P179" s="9" t="str">
        <f>IF(AND($BN$27&lt;&gt;"",($BM$27+24)&lt;=$BO$27),$BN$27,"")</f>
        <v/>
      </c>
      <c r="Q179" s="9" t="str">
        <f>IF(AND($BN$27&lt;&gt;"",($BM$27+24)&lt;=$BO$27),TEXT(($BM$27+24),"00"),"")</f>
        <v/>
      </c>
      <c r="R179" s="9" t="str">
        <f>IF(AND($BN$27&lt;&gt;"",($BM$27+24)&lt;=$BO$27),$BN$27&amp;"-"&amp;TEXT(($BM$27+24),"00"),"")</f>
        <v/>
      </c>
      <c r="T179" s="6"/>
      <c r="U179" s="9" t="str">
        <f>IF(CD179="","",CD179&amp;"-"&amp;TEXT(COUNTIF($CA$72:$CA$95,CD179)+COUNTIF($CB$72:$CB$95,CD179)+COUNTIF($CC$72:$CC$95,CD179)+COUNTIF($CD$72:$CD$95,CD179)+COUNTIF($CA$100:$CA$123,CD179)+COUNTIF($CB$100:$CB$123,CD179)+COUNTIF($CC$100:$CC$123,CD179)+COUNTIF($CD$100:$CD$123,CD179)+COUNTIF($CA$128:$CA$151,CD179)+COUNTIF($CB$128:$CB$151,CD179)+COUNTIF($CC$128:$CC$151,CD179)+COUNTIF($CD$128:$CD$151,CD179)+COUNTIF($CA$156:$CA$179,CD179)+COUNTIF($CB$156:$CB$179,CD179)+COUNTIF($CC$156:$CC$179,CD179)+COUNTIF($CD$156:CD179,CD179),"000"))</f>
        <v/>
      </c>
      <c r="V179" s="9" t="str">
        <f>IF(AND($BN$28&lt;&gt;"",($BM$28+24)&lt;=$BO$28),$BN$28,"")</f>
        <v/>
      </c>
      <c r="W179" s="9" t="str">
        <f>IF(AND($BN$28&lt;&gt;"",($BM$28+24)&lt;=$BO$28),TEXT(($BM$28+24),"00"),"")</f>
        <v/>
      </c>
      <c r="X179" s="9" t="str">
        <f>IF(AND($BN$28&lt;&gt;"",($BM$28+24)&lt;=$BO$28),$BN$28&amp;"-"&amp;TEXT(($BM$28+24),"00"),"")</f>
        <v/>
      </c>
      <c r="CA179" t="str" cm="1">
        <f t="array" ref="CA179">IF(NOT(AND($BN$25&lt;&gt;"",($BM$25+24)&lt;=$BO$25)),"",IF(B179&lt;&gt;"",IF(B179="-","",B179),IF(ISNUMBER(SEARCH(":",$BP$25)),IFERROR(_xlfn.LET(_xlpm.s,_xlfn.TEXTSPLIT($BP$25,","),_xlpm.k,FIND(":",_xlpm.s),INDEX(TRIM(LEFT(_xlpm.s,_xlpm.k-1)),_xlfn.XMATCH(($BM$25+24),_xlfn.SCAN(0,--MID(_xlpm.s,_xlpm.k+1,9),_xlfn.LAMBDA(_xlpm.a,_xlpm.v,_xlpm.a+_xlpm.v)),1))),""),IF(($BM$25+24)&lt;=$BQ$25,$BP$25,""))))</f>
        <v/>
      </c>
      <c r="CB179" t="str" cm="1">
        <f t="array" ref="CB179">IF(NOT(AND($BN$26&lt;&gt;"",($BM$26+24)&lt;=$BO$26)),"",IF(H179&lt;&gt;"",IF(H179="-","",H179),IF(ISNUMBER(SEARCH(":",$BP$26)),IFERROR(_xlfn.LET(_xlpm.s,_xlfn.TEXTSPLIT($BP$26,","),_xlpm.k,FIND(":",_xlpm.s),INDEX(TRIM(LEFT(_xlpm.s,_xlpm.k-1)),_xlfn.XMATCH(($BM$26+24),_xlfn.SCAN(0,--MID(_xlpm.s,_xlpm.k+1,9),_xlfn.LAMBDA(_xlpm.a,_xlpm.v,_xlpm.a+_xlpm.v)),1))),""),IF(($BM$26+24)&lt;=$BQ$26,$BP$26,""))))</f>
        <v/>
      </c>
      <c r="CC179" t="str" cm="1">
        <f t="array" ref="CC179">IF(NOT(AND($BN$27&lt;&gt;"",($BM$27+24)&lt;=$BO$27)),"",IF(N179&lt;&gt;"",IF(N179="-","",N179),IF(ISNUMBER(SEARCH(":",$BP$27)),IFERROR(_xlfn.LET(_xlpm.s,_xlfn.TEXTSPLIT($BP$27,","),_xlpm.k,FIND(":",_xlpm.s),INDEX(TRIM(LEFT(_xlpm.s,_xlpm.k-1)),_xlfn.XMATCH(($BM$27+24),_xlfn.SCAN(0,--MID(_xlpm.s,_xlpm.k+1,9),_xlfn.LAMBDA(_xlpm.a,_xlpm.v,_xlpm.a+_xlpm.v)),1))),""),IF(($BM$27+24)&lt;=$BQ$27,$BP$27,""))))</f>
        <v/>
      </c>
      <c r="CD179" t="str" cm="1">
        <f t="array" ref="CD179">IF(NOT(AND($BN$28&lt;&gt;"",($BM$28+24)&lt;=$BO$28)),"",IF(T179&lt;&gt;"",IF(T179="-","",T179),IF(ISNUMBER(SEARCH(":",$BP$28)),IFERROR(_xlfn.LET(_xlpm.s,_xlfn.TEXTSPLIT($BP$28,","),_xlpm.k,FIND(":",_xlpm.s),INDEX(TRIM(LEFT(_xlpm.s,_xlpm.k-1)),_xlfn.XMATCH(($BM$28+24),_xlfn.SCAN(0,--MID(_xlpm.s,_xlpm.k+1,9),_xlfn.LAMBDA(_xlpm.a,_xlpm.v,_xlpm.a+_xlpm.v)),1))),""),IF(($BM$28+24)&lt;=$BQ$28,$BP$28,""))))</f>
        <v/>
      </c>
    </row>
    <row r="180" spans="2:82" hidden="1" x14ac:dyDescent="0.45"/>
    <row r="181" spans="2:82" hidden="1" x14ac:dyDescent="0.45"/>
  </sheetData>
  <mergeCells count="224">
    <mergeCell ref="B65:G65"/>
    <mergeCell ref="J65:Q65"/>
    <mergeCell ref="B66:G66"/>
    <mergeCell ref="J66:Q66"/>
    <mergeCell ref="B67:G67"/>
    <mergeCell ref="J67:Q67"/>
    <mergeCell ref="B60:G60"/>
    <mergeCell ref="J60:Q60"/>
    <mergeCell ref="B61:G61"/>
    <mergeCell ref="J61:Q61"/>
    <mergeCell ref="B62:G62"/>
    <mergeCell ref="J62:Q62"/>
    <mergeCell ref="B63:G63"/>
    <mergeCell ref="J63:Q63"/>
    <mergeCell ref="B64:G64"/>
    <mergeCell ref="J64:Q64"/>
    <mergeCell ref="B7:D7"/>
    <mergeCell ref="F27:G27"/>
    <mergeCell ref="I48:J48"/>
    <mergeCell ref="P18:Q18"/>
    <mergeCell ref="F37:G37"/>
    <mergeCell ref="P42:Q42"/>
    <mergeCell ref="C29:E29"/>
    <mergeCell ref="N7:Q7"/>
    <mergeCell ref="E9:I9"/>
    <mergeCell ref="P27:Q27"/>
    <mergeCell ref="P12:Q12"/>
    <mergeCell ref="B8:D8"/>
    <mergeCell ref="P25:Q25"/>
    <mergeCell ref="E8:I8"/>
    <mergeCell ref="C12:E12"/>
    <mergeCell ref="P34:Q34"/>
    <mergeCell ref="B154:F154"/>
    <mergeCell ref="T25:V25"/>
    <mergeCell ref="N154:R154"/>
    <mergeCell ref="C41:E41"/>
    <mergeCell ref="P29:Q29"/>
    <mergeCell ref="P38:Q38"/>
    <mergeCell ref="I49:J49"/>
    <mergeCell ref="F40:G40"/>
    <mergeCell ref="P31:Q31"/>
    <mergeCell ref="L58:Q58"/>
    <mergeCell ref="P40:Q40"/>
    <mergeCell ref="C51:H51"/>
    <mergeCell ref="T70:X70"/>
    <mergeCell ref="T38:V38"/>
    <mergeCell ref="T53:V53"/>
    <mergeCell ref="H154:L154"/>
    <mergeCell ref="T98:X98"/>
    <mergeCell ref="T154:X154"/>
    <mergeCell ref="P41:Q41"/>
    <mergeCell ref="C56:H56"/>
    <mergeCell ref="T56:V56"/>
    <mergeCell ref="T54:V54"/>
    <mergeCell ref="N126:R126"/>
    <mergeCell ref="P26:Q26"/>
    <mergeCell ref="H70:L70"/>
    <mergeCell ref="T52:V52"/>
    <mergeCell ref="P17:Q17"/>
    <mergeCell ref="E6:F6"/>
    <mergeCell ref="C28:E28"/>
    <mergeCell ref="C57:H57"/>
    <mergeCell ref="C37:E37"/>
    <mergeCell ref="K8:L8"/>
    <mergeCell ref="T27:V27"/>
    <mergeCell ref="C53:H53"/>
    <mergeCell ref="T36:V36"/>
    <mergeCell ref="T18:V18"/>
    <mergeCell ref="F22:G22"/>
    <mergeCell ref="L48:Q48"/>
    <mergeCell ref="P19:Q19"/>
    <mergeCell ref="C30:E30"/>
    <mergeCell ref="T33:V33"/>
    <mergeCell ref="C14:E14"/>
    <mergeCell ref="I51:J51"/>
    <mergeCell ref="C58:H58"/>
    <mergeCell ref="T12:V12"/>
    <mergeCell ref="H6:I6"/>
    <mergeCell ref="T13:V13"/>
    <mergeCell ref="F41:G41"/>
    <mergeCell ref="P15:Q15"/>
    <mergeCell ref="P24:Q24"/>
    <mergeCell ref="P33:Q33"/>
    <mergeCell ref="C20:E20"/>
    <mergeCell ref="C25:E25"/>
    <mergeCell ref="T16:V16"/>
    <mergeCell ref="C27:E27"/>
    <mergeCell ref="P21:Q21"/>
    <mergeCell ref="R13:R57"/>
    <mergeCell ref="C17:E17"/>
    <mergeCell ref="F32:G32"/>
    <mergeCell ref="I53:J53"/>
    <mergeCell ref="F26:G26"/>
    <mergeCell ref="F19:G19"/>
    <mergeCell ref="C22:E22"/>
    <mergeCell ref="F34:G34"/>
    <mergeCell ref="T43:V43"/>
    <mergeCell ref="P23:Q23"/>
    <mergeCell ref="F35:G35"/>
    <mergeCell ref="C19:E19"/>
    <mergeCell ref="F38:G38"/>
    <mergeCell ref="I55:J55"/>
    <mergeCell ref="P16:Q16"/>
    <mergeCell ref="C49:H49"/>
    <mergeCell ref="B2:X2"/>
    <mergeCell ref="N98:R98"/>
    <mergeCell ref="F17:G17"/>
    <mergeCell ref="I56:J56"/>
    <mergeCell ref="C32:E32"/>
    <mergeCell ref="C38:E38"/>
    <mergeCell ref="C13:E13"/>
    <mergeCell ref="T19:V19"/>
    <mergeCell ref="F31:G31"/>
    <mergeCell ref="F28:G28"/>
    <mergeCell ref="P28:Q28"/>
    <mergeCell ref="P37:Q37"/>
    <mergeCell ref="T39:V39"/>
    <mergeCell ref="C15:E15"/>
    <mergeCell ref="C24:E24"/>
    <mergeCell ref="T49:V49"/>
    <mergeCell ref="F39:G39"/>
    <mergeCell ref="C33:E33"/>
    <mergeCell ref="P30:Q30"/>
    <mergeCell ref="T32:V32"/>
    <mergeCell ref="L57:Q57"/>
    <mergeCell ref="T45:V45"/>
    <mergeCell ref="K43:N43"/>
    <mergeCell ref="T42:V42"/>
    <mergeCell ref="T40:V40"/>
    <mergeCell ref="F30:G30"/>
    <mergeCell ref="F20:G20"/>
    <mergeCell ref="F18:G18"/>
    <mergeCell ref="F33:G33"/>
    <mergeCell ref="B9:D9"/>
    <mergeCell ref="C39:E39"/>
    <mergeCell ref="P36:Q36"/>
    <mergeCell ref="T17:V17"/>
    <mergeCell ref="C26:E26"/>
    <mergeCell ref="P14:Q14"/>
    <mergeCell ref="C35:E35"/>
    <mergeCell ref="T21:V21"/>
    <mergeCell ref="F21:G21"/>
    <mergeCell ref="C36:E36"/>
    <mergeCell ref="F29:G29"/>
    <mergeCell ref="F16:G16"/>
    <mergeCell ref="P20:Q20"/>
    <mergeCell ref="C31:E31"/>
    <mergeCell ref="T35:V35"/>
    <mergeCell ref="F14:G14"/>
    <mergeCell ref="F12:G12"/>
    <mergeCell ref="T15:V15"/>
    <mergeCell ref="T24:V24"/>
    <mergeCell ref="B6:D6"/>
    <mergeCell ref="I58:J58"/>
    <mergeCell ref="P39:Q39"/>
    <mergeCell ref="T34:V34"/>
    <mergeCell ref="L52:Q52"/>
    <mergeCell ref="T46:V46"/>
    <mergeCell ref="T28:V28"/>
    <mergeCell ref="L49:Q49"/>
    <mergeCell ref="T37:V37"/>
    <mergeCell ref="F23:G23"/>
    <mergeCell ref="P32:Q32"/>
    <mergeCell ref="C18:E18"/>
    <mergeCell ref="T48:V48"/>
    <mergeCell ref="F13:G13"/>
    <mergeCell ref="P13:Q13"/>
    <mergeCell ref="I52:J52"/>
    <mergeCell ref="L55:Q55"/>
    <mergeCell ref="I57:J57"/>
    <mergeCell ref="I54:J54"/>
    <mergeCell ref="L53:Q53"/>
    <mergeCell ref="T47:V47"/>
    <mergeCell ref="L7:M7"/>
    <mergeCell ref="P35:Q35"/>
    <mergeCell ref="C50:H50"/>
    <mergeCell ref="T55:V55"/>
    <mergeCell ref="F25:G25"/>
    <mergeCell ref="C40:E40"/>
    <mergeCell ref="C16:E16"/>
    <mergeCell ref="B126:F126"/>
    <mergeCell ref="T50:V50"/>
    <mergeCell ref="T126:X126"/>
    <mergeCell ref="C54:H54"/>
    <mergeCell ref="T44:V44"/>
    <mergeCell ref="H98:L98"/>
    <mergeCell ref="L56:Q56"/>
    <mergeCell ref="N70:R70"/>
    <mergeCell ref="B70:F70"/>
    <mergeCell ref="B98:F98"/>
    <mergeCell ref="H126:L126"/>
    <mergeCell ref="F42:G42"/>
    <mergeCell ref="T51:V51"/>
    <mergeCell ref="T41:V41"/>
    <mergeCell ref="T23:V23"/>
    <mergeCell ref="F36:G36"/>
    <mergeCell ref="T26:V26"/>
    <mergeCell ref="B43:G43"/>
    <mergeCell ref="I50:J50"/>
    <mergeCell ref="F24:G24"/>
    <mergeCell ref="B3:X3"/>
    <mergeCell ref="C21:E21"/>
    <mergeCell ref="L51:Q51"/>
    <mergeCell ref="P22:Q22"/>
    <mergeCell ref="L54:Q54"/>
    <mergeCell ref="F15:G15"/>
    <mergeCell ref="J6:Q6"/>
    <mergeCell ref="C23:E23"/>
    <mergeCell ref="C52:H52"/>
    <mergeCell ref="L50:Q50"/>
    <mergeCell ref="T22:V22"/>
    <mergeCell ref="C48:H48"/>
    <mergeCell ref="T31:V31"/>
    <mergeCell ref="X13:X57"/>
    <mergeCell ref="E7:I7"/>
    <mergeCell ref="P43:Q43"/>
    <mergeCell ref="C34:E34"/>
    <mergeCell ref="T30:V30"/>
    <mergeCell ref="T57:V57"/>
    <mergeCell ref="C42:E42"/>
    <mergeCell ref="T20:V20"/>
    <mergeCell ref="T14:V14"/>
    <mergeCell ref="T29:V29"/>
    <mergeCell ref="C55:H55"/>
  </mergeCells>
  <conditionalFormatting sqref="B72:F95">
    <cfRule type="expression" dxfId="128" priority="26">
      <formula>NOT(AND($BN$13&lt;&gt;"",$BM$13+ROW()-71&lt;=$BO$13))</formula>
    </cfRule>
  </conditionalFormatting>
  <conditionalFormatting sqref="B100:F123">
    <cfRule type="expression" dxfId="127" priority="30">
      <formula>NOT(AND($BN$17&lt;&gt;"",$BM$17+ROW()-99&lt;=$BO$17))</formula>
    </cfRule>
  </conditionalFormatting>
  <conditionalFormatting sqref="B128:F151">
    <cfRule type="expression" dxfId="126" priority="34">
      <formula>NOT(AND($BN$21&lt;&gt;"",$BM$21+ROW()-127&lt;=$BO$21))</formula>
    </cfRule>
  </conditionalFormatting>
  <conditionalFormatting sqref="B156:F179">
    <cfRule type="expression" dxfId="125" priority="38">
      <formula>NOT(AND($BN$25&lt;&gt;"",$BM$25+ROW()-155&lt;=$BO$25))</formula>
    </cfRule>
  </conditionalFormatting>
  <conditionalFormatting sqref="B13:L42">
    <cfRule type="expression" dxfId="124" priority="4">
      <formula>AND(ISNUMBER($K13),$K13&lt;1)</formula>
    </cfRule>
  </conditionalFormatting>
  <conditionalFormatting sqref="H72:L95">
    <cfRule type="expression" dxfId="123" priority="27">
      <formula>NOT(AND($BN$14&lt;&gt;"",$BM$14+ROW()-71&lt;=$BO$14))</formula>
    </cfRule>
  </conditionalFormatting>
  <conditionalFormatting sqref="H100:L123">
    <cfRule type="expression" dxfId="122" priority="31">
      <formula>NOT(AND($BN$18&lt;&gt;"",$BM$18+ROW()-99&lt;=$BO$18))</formula>
    </cfRule>
  </conditionalFormatting>
  <conditionalFormatting sqref="H128:L151">
    <cfRule type="expression" dxfId="121" priority="35">
      <formula>NOT(AND($BN$22&lt;&gt;"",$BM$22+ROW()-127&lt;=$BO$22))</formula>
    </cfRule>
  </conditionalFormatting>
  <conditionalFormatting sqref="H156:L179">
    <cfRule type="expression" dxfId="120" priority="39">
      <formula>NOT(AND($BN$26&lt;&gt;"",$BM$26+ROW()-155&lt;=$BO$26))</formula>
    </cfRule>
  </conditionalFormatting>
  <conditionalFormatting sqref="I43">
    <cfRule type="expression" dxfId="119" priority="3">
      <formula>$I$43&lt;0</formula>
    </cfRule>
  </conditionalFormatting>
  <conditionalFormatting sqref="J60:Q67">
    <cfRule type="expression" dxfId="118" priority="43">
      <formula>LEFT($J60,1)="✓"</formula>
    </cfRule>
    <cfRule type="expression" dxfId="117" priority="42">
      <formula>LEFT($J60,1)="⚠"</formula>
    </cfRule>
  </conditionalFormatting>
  <conditionalFormatting sqref="K43:N43">
    <cfRule type="expression" dxfId="116" priority="1" stopIfTrue="1">
      <formula>LEFT($K$43,1)="❌"</formula>
    </cfRule>
    <cfRule type="expression" dxfId="115" priority="2">
      <formula>LEFT($K$43,1)="✓"</formula>
    </cfRule>
  </conditionalFormatting>
  <conditionalFormatting sqref="N72:R95">
    <cfRule type="expression" dxfId="114" priority="28">
      <formula>NOT(AND($BN$15&lt;&gt;"",$BM$15+ROW()-71&lt;=$BO$15))</formula>
    </cfRule>
  </conditionalFormatting>
  <conditionalFormatting sqref="N100:R123">
    <cfRule type="expression" dxfId="113" priority="32">
      <formula>NOT(AND($BN$19&lt;&gt;"",$BM$19+ROW()-99&lt;=$BO$19))</formula>
    </cfRule>
  </conditionalFormatting>
  <conditionalFormatting sqref="N128:R151">
    <cfRule type="expression" dxfId="112" priority="36">
      <formula>NOT(AND($BN$23&lt;&gt;"",$BM$23+ROW()-127&lt;=$BO$23))</formula>
    </cfRule>
  </conditionalFormatting>
  <conditionalFormatting sqref="N156:R179">
    <cfRule type="expression" dxfId="111" priority="40">
      <formula>NOT(AND($BN$27&lt;&gt;"",$BM$27+ROW()-155&lt;=$BO$27))</formula>
    </cfRule>
  </conditionalFormatting>
  <conditionalFormatting sqref="R13:R57">
    <cfRule type="expression" dxfId="110" priority="24">
      <formula>AND(OR($K$8="Ambos lados",$K$8="Lado izquierdo"),$E$8&lt;&gt;"")</formula>
    </cfRule>
  </conditionalFormatting>
  <conditionalFormatting sqref="T13:V57">
    <cfRule type="expression" dxfId="109" priority="20">
      <formula>$AN13="Fuente de poder"</formula>
    </cfRule>
    <cfRule type="expression" dxfId="108" priority="21">
      <formula>$AN13="Tapa ciega"</formula>
    </cfRule>
    <cfRule type="expression" dxfId="107" priority="6">
      <formula>$AN13="Patch panel cobre"</formula>
    </cfRule>
    <cfRule type="expression" dxfId="106" priority="23">
      <formula>$AN13="Otro"</formula>
    </cfRule>
    <cfRule type="expression" dxfId="105" priority="5">
      <formula>$AN13="Fuera"</formula>
    </cfRule>
    <cfRule type="expression" dxfId="104" priority="7">
      <formula>$AN13="CCTV"</formula>
    </cfRule>
    <cfRule type="expression" dxfId="103" priority="22">
      <formula>$AN13="Bandeja"</formula>
    </cfRule>
    <cfRule type="expression" dxfId="102" priority="8">
      <formula>$AN13="Control de acceso"</formula>
    </cfRule>
    <cfRule type="expression" dxfId="101" priority="9">
      <formula>$AN13="Organizador horizontal"</formula>
    </cfRule>
    <cfRule type="expression" dxfId="100" priority="10">
      <formula>$AN13="Switch"</formula>
    </cfRule>
    <cfRule type="expression" dxfId="99" priority="11">
      <formula>$AN13="Fibra"</formula>
    </cfRule>
    <cfRule type="expression" dxfId="98" priority="12">
      <formula>$AN13="Espacio reservado"</formula>
    </cfRule>
    <cfRule type="expression" dxfId="97" priority="13">
      <formula>$AN13="Espacio libre"</formula>
    </cfRule>
    <cfRule type="expression" dxfId="96" priority="14">
      <formula>$AN13="Equipo activo"</formula>
    </cfRule>
    <cfRule type="expression" dxfId="95" priority="15">
      <formula>$AN13="Servidor"</formula>
    </cfRule>
    <cfRule type="expression" dxfId="94" priority="17">
      <formula>$AN13="PDU"</formula>
    </cfRule>
    <cfRule type="expression" dxfId="93" priority="16">
      <formula>$AN13="UPS"</formula>
    </cfRule>
    <cfRule type="expression" dxfId="92" priority="18">
      <formula>$AN13="Puesta a tierra"</formula>
    </cfRule>
    <cfRule type="expression" dxfId="91" priority="19">
      <formula>$AN13="Audio"</formula>
    </cfRule>
  </conditionalFormatting>
  <conditionalFormatting sqref="T72:X95">
    <cfRule type="expression" dxfId="90" priority="29">
      <formula>NOT(AND($BN$16&lt;&gt;"",$BM$16+ROW()-71&lt;=$BO$16))</formula>
    </cfRule>
  </conditionalFormatting>
  <conditionalFormatting sqref="T100:X123">
    <cfRule type="expression" dxfId="89" priority="33">
      <formula>NOT(AND($BN$20&lt;&gt;"",$BM$20+ROW()-99&lt;=$BO$20))</formula>
    </cfRule>
  </conditionalFormatting>
  <conditionalFormatting sqref="T128:X151">
    <cfRule type="expression" dxfId="88" priority="37">
      <formula>NOT(AND($BN$24&lt;&gt;"",$BM$24+ROW()-127&lt;=$BO$24))</formula>
    </cfRule>
  </conditionalFormatting>
  <conditionalFormatting sqref="T156:X179">
    <cfRule type="expression" dxfId="87" priority="41">
      <formula>NOT(AND($BN$28&lt;&gt;"",$BM$28+ROW()-155&lt;=$BO$28))</formula>
    </cfRule>
  </conditionalFormatting>
  <conditionalFormatting sqref="X13:X57">
    <cfRule type="expression" dxfId="86" priority="25">
      <formula>AND(OR($K$8="Ambos lados",$K$8="Lado derecho"),$E$8&lt;&gt;"")</formula>
    </cfRule>
  </conditionalFormatting>
  <dataValidations count="1">
    <dataValidation type="whole" allowBlank="1" sqref="N13:N42" xr:uid="{00000000-0002-0000-0400-000005000000}">
      <formula1>0</formula1>
      <formula2>384</formula2>
    </dataValidation>
  </dataValidations>
  <pageMargins left="0.75" right="0.75" top="1" bottom="1" header="0.5" footer="0.5"/>
  <pageSetup fitToHeight="0" orientation="portrait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xr:uid="{00000000-0002-0000-0400-000000000000}">
          <x14:formula1>
            <xm:f>listas!$C$2:$C$41</xm:f>
          </x14:formula1>
          <xm:sqref>E7</xm:sqref>
        </x14:dataValidation>
        <x14:dataValidation type="list" allowBlank="1" xr:uid="{00000000-0002-0000-0400-000001000000}">
          <x14:formula1>
            <xm:f>listas!$D$2:$D$41</xm:f>
          </x14:formula1>
          <xm:sqref>E8</xm:sqref>
        </x14:dataValidation>
        <x14:dataValidation type="list" allowBlank="1" xr:uid="{00000000-0002-0000-0400-000002000000}">
          <x14:formula1>
            <xm:f>listas!$H$2:$H$5</xm:f>
          </x14:formula1>
          <xm:sqref>K8</xm:sqref>
        </x14:dataValidation>
        <x14:dataValidation type="list" allowBlank="1" xr:uid="{00000000-0002-0000-0400-000003000000}">
          <x14:formula1>
            <xm:f>listas!$B$2:$B$121</xm:f>
          </x14:formula1>
          <xm:sqref>C13:C42</xm:sqref>
        </x14:dataValidation>
        <x14:dataValidation type="list" allowBlank="1" xr:uid="{00000000-0002-0000-0400-000006000000}">
          <x14:formula1>
            <xm:f>listas!$F$2:$F$41</xm:f>
          </x14:formula1>
          <xm:sqref>C49:C58</xm:sqref>
        </x14:dataValidation>
        <x14:dataValidation type="list" allowBlank="1" showErrorMessage="1" errorTitle="Tipo de salida" error="Use un código de la nomenclatura en la pestaña Proyecto (o &quot;-&quot;)" xr:uid="{00000000-0002-0000-0400-000007000000}">
          <x14:formula1>
            <xm:f>Proyecto!$C$16:$C$27</xm:f>
          </x14:formula1>
          <xm:sqref>B72:B95 B100:B123 B128:B151 B156:B179 H72:H95 H100:H123 H128:H151 H156:H179 N72:N95 N100:N123 N128:N151 N156:N179 T72:T95 T100:T123 T128:T151 T156:T179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ED7D31"/>
    <pageSetUpPr fitToPage="1"/>
  </sheetPr>
  <dimension ref="B2:CO181"/>
  <sheetViews>
    <sheetView showGridLines="0" topLeftCell="D1" zoomScale="70" zoomScaleNormal="70" workbookViewId="0">
      <selection activeCell="A68" sqref="A68"/>
    </sheetView>
  </sheetViews>
  <sheetFormatPr defaultRowHeight="14.25" x14ac:dyDescent="0.45"/>
  <cols>
    <col min="1" max="1" width="2" customWidth="1"/>
    <col min="2" max="26" width="10" customWidth="1"/>
    <col min="27" max="93" width="13" hidden="1" customWidth="1"/>
  </cols>
  <sheetData>
    <row r="2" spans="2:93" ht="22.05" customHeight="1" x14ac:dyDescent="0.45">
      <c r="B2" s="41" t="s">
        <v>369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</row>
    <row r="3" spans="2:93" x14ac:dyDescent="0.45">
      <c r="B3" s="46" t="str">
        <f>Proyecto!D6&amp;""&amp;IF(Proyecto!D7&lt;&gt;"","  ·  Proyecto N.º "&amp;Proyecto!D7,"")&amp;IF(Proyecto!D8&lt;&gt;"","  ·  "&amp;Proyecto!D8,"")&amp;IF(Proyecto!D11&lt;&gt;"","  ·  Rev. "&amp;Proyecto!D11,"")&amp;IF(Proyecto!D9&lt;&gt;"","  ·  Fecha: "&amp;IF(ISNUMBER(Proyecto!D9),TEXT(Proyecto!D9,"dd/mm/yyyy"),Proyecto!D9),"")&amp;IF(Proyecto!D10&lt;&gt;"","  ·  Elaboró: "&amp;Proyecto!D10,"")</f>
        <v/>
      </c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AS3" t="str">
        <f>$E$6&amp;""</f>
        <v>1C</v>
      </c>
      <c r="AT3" t="str">
        <f>$J$6&amp;""</f>
        <v>Gabinete de pared 12RU (machote)</v>
      </c>
      <c r="AU3">
        <f>H43</f>
        <v>9</v>
      </c>
      <c r="AV3">
        <f>I43</f>
        <v>3</v>
      </c>
      <c r="AW3" t="str">
        <f>TEXT(J43,"0%")</f>
        <v>75%</v>
      </c>
      <c r="AX3">
        <f>COUNT($AE$13:$AE$42)</f>
        <v>1</v>
      </c>
      <c r="AY3">
        <f>SUM($BF$13:$BF$28)</f>
        <v>24</v>
      </c>
      <c r="AZ3">
        <f>$AQ$4</f>
        <v>24</v>
      </c>
      <c r="BA3" t="str">
        <f>IFERROR(TEXT($AZ$3/$AY$3,"0%"),"-")</f>
        <v>100%</v>
      </c>
    </row>
    <row r="4" spans="2:93" x14ac:dyDescent="0.45">
      <c r="B4" s="11" t="s">
        <v>422</v>
      </c>
      <c r="AQ4">
        <f>COUNTIF($CA$72:$CA$95,"?*")+COUNTIF($CB$72:$CB$95,"?*")+COUNTIF($CC$72:$CC$95,"?*")+COUNTIF($CD$72:$CD$95,"?*")+COUNTIF($CA$100:$CA$123,"?*")+COUNTIF($CB$100:$CB$123,"?*")+COUNTIF($CC$100:$CC$123,"?*")+COUNTIF($CD$100:$CD$123,"?*")+COUNTIF($CA$128:$CA$151,"?*")+COUNTIF($CB$128:$CB$151,"?*")+COUNTIF($CC$128:$CC$151,"?*")+COUNTIF($CD$128:$CD$151,"?*")+COUNTIF($CA$156:$CA$179,"?*")+COUNTIF($CB$156:$CB$179,"?*")+COUNTIF($CC$156:$CC$179,"?*")+COUNTIF($CD$156:$CD$179,"?*")</f>
        <v>24</v>
      </c>
    </row>
    <row r="5" spans="2:93" ht="18" customHeight="1" x14ac:dyDescent="0.45">
      <c r="B5" s="2" t="s">
        <v>371</v>
      </c>
      <c r="C5" s="2"/>
      <c r="D5" s="2"/>
      <c r="E5" s="2" t="s">
        <v>372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AR5">
        <f>IFERROR(IF(N(INDEX(Catalogo!$F$6:$F$125,MATCH($E$7,Catalogo!$C$6:$C$125,0)))=0,45,N(INDEX(Catalogo!$F$6:$F$125,MATCH($E$7,Catalogo!$C$6:$C$125,0)))),45)</f>
        <v>12</v>
      </c>
    </row>
    <row r="6" spans="2:93" x14ac:dyDescent="0.45">
      <c r="B6" s="42" t="s">
        <v>373</v>
      </c>
      <c r="C6" s="43"/>
      <c r="D6" s="44"/>
      <c r="E6" s="53" t="s">
        <v>423</v>
      </c>
      <c r="F6" s="39"/>
      <c r="H6" s="42" t="s">
        <v>60</v>
      </c>
      <c r="I6" s="44"/>
      <c r="J6" s="37" t="s">
        <v>424</v>
      </c>
      <c r="K6" s="38"/>
      <c r="L6" s="38"/>
      <c r="M6" s="38"/>
      <c r="N6" s="38"/>
      <c r="O6" s="38"/>
      <c r="P6" s="38"/>
      <c r="Q6" s="39"/>
      <c r="AR6">
        <f>SUM(H13:H42)</f>
        <v>9</v>
      </c>
      <c r="BA6">
        <f>IF(OR(Catalogo!$C6="",Catalogo!$B6="Espacio libre",Catalogo!$B6="Espacio reservado"),0,COUNTIF($C$13:$C$42,Catalogo!$C6)+IF($E$7=Catalogo!$C6,N($K$7),0)+IF($E$8=Catalogo!$C6,N($N$8),0)+IF(Proyecto!$D$12=Catalogo!$C6,$AQ$4,0)+SUMIF($C$49:$C$58,Catalogo!$C6,$K$49:$K$58))</f>
        <v>0</v>
      </c>
    </row>
    <row r="7" spans="2:93" x14ac:dyDescent="0.45">
      <c r="B7" s="42" t="s">
        <v>376</v>
      </c>
      <c r="C7" s="43"/>
      <c r="D7" s="44"/>
      <c r="E7" s="37" t="s">
        <v>219</v>
      </c>
      <c r="F7" s="38"/>
      <c r="G7" s="38"/>
      <c r="H7" s="38"/>
      <c r="I7" s="39"/>
      <c r="J7" s="5" t="s">
        <v>377</v>
      </c>
      <c r="K7" s="6">
        <v>1</v>
      </c>
      <c r="L7" s="42" t="s">
        <v>378</v>
      </c>
      <c r="M7" s="44"/>
      <c r="N7" s="52" t="str">
        <f>IFERROR(INDEX(Catalogo!$B$6:$B$125,MATCH($E$7,Catalogo!$C$6:$C$125,0))&amp;" "&amp;$AR$5&amp;"RU","")</f>
        <v>Gabinete de pared 12RU</v>
      </c>
      <c r="O7" s="38"/>
      <c r="P7" s="38"/>
      <c r="Q7" s="39"/>
      <c r="BA7">
        <f>IF(OR(Catalogo!$C7="",Catalogo!$B7="Espacio libre",Catalogo!$B7="Espacio reservado"),0,COUNTIF($C$13:$C$42,Catalogo!$C7)+IF($E$7=Catalogo!$C7,N($K$7),0)+IF($E$8=Catalogo!$C7,N($N$8),0)+IF(Proyecto!$D$12=Catalogo!$C7,$AQ$4,0)+SUMIF($C$49:$C$58,Catalogo!$C7,$K$49:$K$58))</f>
        <v>0</v>
      </c>
    </row>
    <row r="8" spans="2:93" x14ac:dyDescent="0.45">
      <c r="B8" s="42" t="s">
        <v>79</v>
      </c>
      <c r="C8" s="43"/>
      <c r="D8" s="44"/>
      <c r="E8" s="37" t="s">
        <v>89</v>
      </c>
      <c r="F8" s="38"/>
      <c r="G8" s="38"/>
      <c r="H8" s="38"/>
      <c r="I8" s="39"/>
      <c r="J8" s="5" t="s">
        <v>5</v>
      </c>
      <c r="K8" s="53" t="s">
        <v>417</v>
      </c>
      <c r="L8" s="39"/>
      <c r="M8" s="5" t="s">
        <v>377</v>
      </c>
      <c r="N8" s="9">
        <f>IF($K$8="Ambos lados",2,IF(OR($K$8="Lado izquierdo",$K$8="Lado derecho"),1,0))*N($K$7)</f>
        <v>0</v>
      </c>
      <c r="BA8">
        <f>IF(OR(Catalogo!$C8="",Catalogo!$B8="Espacio libre",Catalogo!$B8="Espacio reservado"),0,COUNTIF($C$13:$C$42,Catalogo!$C8)+IF($E$7=Catalogo!$C8,N($K$7),0)+IF($E$8=Catalogo!$C8,N($N$8),0)+IF(Proyecto!$D$12=Catalogo!$C8,$AQ$4,0)+SUMIF($C$49:$C$58,Catalogo!$C8,$K$49:$K$58))</f>
        <v>0</v>
      </c>
    </row>
    <row r="9" spans="2:93" x14ac:dyDescent="0.45">
      <c r="B9" s="42" t="s">
        <v>380</v>
      </c>
      <c r="C9" s="43"/>
      <c r="D9" s="44"/>
      <c r="E9" s="45" t="str">
        <f>Proyecto!D12&amp;""</f>
        <v>Jack Cat 6A UTP azul (Mini-Com TX6A)</v>
      </c>
      <c r="F9" s="38"/>
      <c r="G9" s="38"/>
      <c r="H9" s="38"/>
      <c r="I9" s="39"/>
      <c r="K9" s="10" t="s">
        <v>381</v>
      </c>
      <c r="BA9">
        <f>IF(OR(Catalogo!$C9="",Catalogo!$B9="Espacio libre",Catalogo!$B9="Espacio reservado"),0,COUNTIF($C$13:$C$42,Catalogo!$C9)+IF($E$7=Catalogo!$C9,N($K$7),0)+IF($E$8=Catalogo!$C9,N($N$8),0)+IF(Proyecto!$D$12=Catalogo!$C9,$AQ$4,0)+SUMIF($C$49:$C$58,Catalogo!$C9,$K$49:$K$58))</f>
        <v>0</v>
      </c>
    </row>
    <row r="10" spans="2:93" x14ac:dyDescent="0.45">
      <c r="BA10">
        <f>IF(OR(Catalogo!$C10="",Catalogo!$B10="Espacio libre",Catalogo!$B10="Espacio reservado"),0,COUNTIF($C$13:$C$42,Catalogo!$C10)+IF($E$7=Catalogo!$C10,N($K$7),0)+IF($E$8=Catalogo!$C10,N($N$8),0)+IF(Proyecto!$D$12=Catalogo!$C10,$AQ$4,0)+SUMIF($C$49:$C$58,Catalogo!$C10,$K$49:$K$58))</f>
        <v>0</v>
      </c>
    </row>
    <row r="11" spans="2:93" ht="18" customHeight="1" x14ac:dyDescent="0.45">
      <c r="B11" s="2" t="s">
        <v>382</v>
      </c>
      <c r="C11" s="2"/>
      <c r="D11" s="2"/>
      <c r="E11" s="2" t="s">
        <v>383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 t="s">
        <v>384</v>
      </c>
      <c r="S11" s="2"/>
      <c r="T11" s="2"/>
      <c r="U11" s="2"/>
      <c r="V11" s="2"/>
      <c r="W11" s="2"/>
      <c r="X11" s="2"/>
      <c r="BA11">
        <f>IF(OR(Catalogo!$C11="",Catalogo!$B11="Espacio libre",Catalogo!$B11="Espacio reservado"),0,COUNTIF($C$13:$C$42,Catalogo!$C11)+IF($E$7=Catalogo!$C11,N($K$7),0)+IF($E$8=Catalogo!$C11,N($N$8),0)+IF(Proyecto!$D$12=Catalogo!$C11,$AQ$4,0)+SUMIF($C$49:$C$58,Catalogo!$C11,$K$49:$K$58))</f>
        <v>0</v>
      </c>
    </row>
    <row r="12" spans="2:93" ht="26.25" x14ac:dyDescent="0.45">
      <c r="B12" s="5" t="s">
        <v>385</v>
      </c>
      <c r="C12" s="42" t="s">
        <v>386</v>
      </c>
      <c r="D12" s="43"/>
      <c r="E12" s="44"/>
      <c r="F12" s="42" t="s">
        <v>61</v>
      </c>
      <c r="G12" s="44"/>
      <c r="H12" s="5" t="s">
        <v>62</v>
      </c>
      <c r="I12" s="5" t="s">
        <v>63</v>
      </c>
      <c r="J12" s="5" t="s">
        <v>387</v>
      </c>
      <c r="K12" s="5" t="s">
        <v>388</v>
      </c>
      <c r="L12" s="5" t="s">
        <v>389</v>
      </c>
      <c r="M12" s="5" t="s">
        <v>390</v>
      </c>
      <c r="N12" s="5" t="s">
        <v>391</v>
      </c>
      <c r="O12" s="5" t="s">
        <v>392</v>
      </c>
      <c r="P12" s="42" t="s">
        <v>393</v>
      </c>
      <c r="Q12" s="44"/>
      <c r="R12" s="5" t="s">
        <v>394</v>
      </c>
      <c r="S12" s="5" t="s">
        <v>62</v>
      </c>
      <c r="T12" s="42" t="s">
        <v>386</v>
      </c>
      <c r="U12" s="43"/>
      <c r="V12" s="44"/>
      <c r="W12" s="5" t="s">
        <v>62</v>
      </c>
      <c r="X12" s="5" t="s">
        <v>394</v>
      </c>
      <c r="BA12">
        <f>IF(OR(Catalogo!$C12="",Catalogo!$B12="Espacio libre",Catalogo!$B12="Espacio reservado"),0,COUNTIF($C$13:$C$42,Catalogo!$C12)+IF($E$7=Catalogo!$C12,N($K$7),0)+IF($E$8=Catalogo!$C12,N($N$8),0)+IF(Proyecto!$D$12=Catalogo!$C12,$AQ$4,0)+SUMIF($C$49:$C$58,Catalogo!$C12,$K$49:$K$58))</f>
        <v>0</v>
      </c>
      <c r="BK12">
        <f>SUM($BG$13:$BG$28)</f>
        <v>1</v>
      </c>
    </row>
    <row r="13" spans="2:93" ht="14" customHeight="1" x14ac:dyDescent="0.45">
      <c r="B13" s="9">
        <v>1</v>
      </c>
      <c r="C13" s="47" t="s">
        <v>333</v>
      </c>
      <c r="D13" s="38"/>
      <c r="E13" s="39"/>
      <c r="F13" s="48" t="str">
        <f>IF($C13="","",IFERROR(INDEX(Catalogo!$E$6:$E$125,MATCH($C13,Catalogo!$C$6:$C$125,0)),""))</f>
        <v>FMD1 + FAP12WAQDLCZ</v>
      </c>
      <c r="G13" s="39"/>
      <c r="H13" s="9">
        <f>IF($C13="","",N(IFERROR(INDEX(Catalogo!$F$6:$F$125,MATCH($C13,Catalogo!$C$6:$C$125,0)),"")))</f>
        <v>1</v>
      </c>
      <c r="I13" s="9" t="str">
        <f>IF($AD13&lt;&gt;"Patch panel cobre","",IFERROR(INDEX(Catalogo!$G$6:$G$125,MATCH($C13,Catalogo!$C$6:$C$125,0)),""))</f>
        <v/>
      </c>
      <c r="J13" s="9">
        <f>IF(OR($C13="",$H13=0),"",$AR$5-0)</f>
        <v>12</v>
      </c>
      <c r="K13" s="9">
        <f t="shared" ref="K13:K42" si="0">IF($J13="","",$J13-$H13+1)</f>
        <v>12</v>
      </c>
      <c r="L13" s="9" t="str">
        <f t="shared" ref="L13:L42" si="1">IF($AE13="","",$E$6&amp;"-"&amp;CHAR(65+INT(($AE13-1)/26))&amp;CHAR(65+MOD($AE13-1,26)))</f>
        <v/>
      </c>
      <c r="M13" s="6"/>
      <c r="N13" s="6"/>
      <c r="O13" s="12" t="str">
        <f t="shared" ref="O13:O42" si="2">IF($AE13="","",IFERROR(INDEX($BS$13:$BS$28,$AE13)/INDEX($BF$13:$BF$28,$AE13),0))</f>
        <v/>
      </c>
      <c r="P13" s="37" t="s">
        <v>395</v>
      </c>
      <c r="Q13" s="39"/>
      <c r="R13" s="50" t="str">
        <f>IF(AND(OR($K$8="Ambos lados",$K$8="Lado izquierdo"),$E$8&lt;&gt;""),"ORGANIZADOR VERTICAL  "&amp;IFERROR(INDEX(Catalogo!$E$6:$E$125,MATCH($E$8,Catalogo!$C$6:$C$125,0)),""),"")</f>
        <v/>
      </c>
      <c r="S13" s="13">
        <v>45</v>
      </c>
      <c r="T13" s="49" t="str">
        <f>IF($AM13=0,"",IF(INDEX($J$13:$J$42,$AM13)=45,INDEX($AH$13:$AH$42,$AM13),""))</f>
        <v/>
      </c>
      <c r="U13" s="38"/>
      <c r="V13" s="39"/>
      <c r="W13" s="13">
        <v>45</v>
      </c>
      <c r="X13" s="50" t="str">
        <f>IF(AND(OR($K$8="Ambos lados",$K$8="Lado derecho"),$E$8&lt;&gt;""),"ORGANIZADOR VERTICAL  "&amp;IFERROR(INDEX(Catalogo!$E$6:$E$125,MATCH($E$8,Catalogo!$C$6:$C$125,0)),""),"")</f>
        <v/>
      </c>
      <c r="AD13" t="str">
        <f>IF($C13="","",IFERROR(INDEX(Catalogo!$B$6:$B$125,MATCH($C13,Catalogo!$C$6:$C$125,0)),""))</f>
        <v>Fibra</v>
      </c>
      <c r="AE13" t="str">
        <f>IF($AD13="Patch panel cobre",COUNTIF($AD$13:$AD13,"Patch panel cobre"),"")</f>
        <v/>
      </c>
      <c r="AH13" t="str">
        <f t="shared" ref="AH13:AH42" si="3">IF($C13="","",IF($L13&lt;&gt;"","Patch panel "&amp;$L13&amp;" · "&amp;$I13&amp;" p"&amp;IF($M13&lt;&gt;""," · "&amp;$M13,""),$C13))</f>
        <v>Bandeja de fibra 1RU FMD1 + adaptador LC FAP12WAQDLCZ</v>
      </c>
      <c r="AM13">
        <f>IFERROR(MATCH(1,INDEX(($K$13:$K$42&lt;=45)*($J$13:$J$42&gt;=45),0),0),0)</f>
        <v>0</v>
      </c>
      <c r="AN13" t="str">
        <f>IF(45&gt;$AR$5,"Fuera",IF($AM13=0,"",INDEX($AD$13:$AD$42,$AM13)))</f>
        <v>Fuera</v>
      </c>
      <c r="BA13">
        <f>IF(OR(Catalogo!$C13="",Catalogo!$B13="Espacio libre",Catalogo!$B13="Espacio reservado"),0,COUNTIF($C$13:$C$42,Catalogo!$C13)+IF($E$7=Catalogo!$C13,N($K$7),0)+IF($E$8=Catalogo!$C13,N($N$8),0)+IF(Proyecto!$D$12=Catalogo!$C13,$AQ$4,0)+SUMIF($C$49:$C$58,Catalogo!$C13,$K$49:$K$58))</f>
        <v>0</v>
      </c>
      <c r="BD13">
        <f>IFERROR(MATCH(1,$AE$13:$AE$42,0),"")</f>
        <v>2</v>
      </c>
      <c r="BE13" t="str">
        <f t="shared" ref="BE13:BE28" si="4">IF($BD13="","",INDEX($L$13:$L$42,$BD13))</f>
        <v>1C-AA</v>
      </c>
      <c r="BF13">
        <f t="shared" ref="BF13:BF28" si="5">IF($BD13="",0,N(INDEX($I$13:$I$42,$BD13)))</f>
        <v>24</v>
      </c>
      <c r="BG13">
        <f t="shared" ref="BG13:BG28" si="6">IF($BF13=0,0,ROUNDUP($BF13/24,0))</f>
        <v>1</v>
      </c>
      <c r="BH13">
        <f>0</f>
        <v>0</v>
      </c>
      <c r="BI13" t="str">
        <f t="shared" ref="BI13:BI28" si="7">IF($BD13="","",INDEX($M$13:$M$42,$BD13)&amp;"")</f>
        <v>D</v>
      </c>
      <c r="BJ13" cm="1">
        <f t="array" ref="BJ13">IF($BD13="",0,IF(ISNUMBER(SEARCH(":",$BI13)),MIN($BF13,SUM(--MID(_xlfn.TEXTSPLIT($BI13,","),FIND(":",_xlfn.TEXTSPLIT($BI13,","))+1,9))),IF(INDEX($N$13:$N$42,$BD13)="",$BF13,MIN($BF13,N(INDEX($N$13:$N$42,$BD13))))))</f>
        <v>24</v>
      </c>
      <c r="BL13">
        <f>IF(1&gt;$BK$12,"",MATCH(0,$BH$13:$BH$28,1))</f>
        <v>1</v>
      </c>
      <c r="BM13">
        <f>IF($BL13="",0,(0-INDEX($BH$13:$BH$28,$BL13))*24)</f>
        <v>0</v>
      </c>
      <c r="BN13" t="str">
        <f t="shared" ref="BN13:BN28" si="8">IF($BL13="","",INDEX($BE$13:$BE$28,$BL13))</f>
        <v>1C-AA</v>
      </c>
      <c r="BO13">
        <f t="shared" ref="BO13:BO28" si="9">IF($BL13="",0,INDEX($BF$13:$BF$28,$BL13))</f>
        <v>24</v>
      </c>
      <c r="BP13" t="str">
        <f t="shared" ref="BP13:BP28" si="10">IF($BL13="","",INDEX($BI$13:$BI$28,$BL13))</f>
        <v>D</v>
      </c>
      <c r="BQ13">
        <f t="shared" ref="BQ13:BQ28" si="11">IF($BL13="",0,INDEX($BJ$13:$BJ$28,$BL13))</f>
        <v>24</v>
      </c>
      <c r="BR13">
        <f>COUNTIF($CA$72:$CA$95,"?*")</f>
        <v>24</v>
      </c>
      <c r="BS13">
        <f>SUMIF($BL$13:$BL$28,1,$BR$13:$BR$28)</f>
        <v>24</v>
      </c>
      <c r="CL13">
        <f>IF($C13="",0,N(IFERROR(INDEX(Catalogo!$N$6:$N$125,MATCH($C13,Catalogo!$C$6:$C$125,0)),0)))</f>
        <v>0</v>
      </c>
      <c r="CM13">
        <f>IF($C13="",0,N(IFERROR(INDEX(Catalogo!$P$6:$P$125,MATCH($C13,Catalogo!$C$6:$C$125,0)),0)))</f>
        <v>3</v>
      </c>
      <c r="CN13">
        <f>IF($C13="",0,N(IFERROR(INDEX(Catalogo!$Q$6:$Q$125,MATCH($C13,Catalogo!$C$6:$C$125,0)),0)))</f>
        <v>0</v>
      </c>
      <c r="CO13">
        <f>IF($C13="",0,IF(OR($AD13="Espacio libre",$AD13="Espacio reservado"),0,IF(IFERROR(INDEX(Catalogo!$N$6:$N$125,MATCH($C13,Catalogo!$C$6:$C$125,0))="",TRUE),1,0)))</f>
        <v>0</v>
      </c>
    </row>
    <row r="14" spans="2:93" ht="14" customHeight="1" x14ac:dyDescent="0.45">
      <c r="B14" s="9">
        <v>2</v>
      </c>
      <c r="C14" s="47" t="s">
        <v>109</v>
      </c>
      <c r="D14" s="38"/>
      <c r="E14" s="39"/>
      <c r="F14" s="48" t="str">
        <f>IF($C14="","",IFERROR(INDEX(Catalogo!$E$6:$E$125,MATCH($C14,Catalogo!$C$6:$C$125,0)),""))</f>
        <v>CPPA24FMWBLY</v>
      </c>
      <c r="G14" s="39"/>
      <c r="H14" s="9">
        <f>IF($C14="","",N(IFERROR(INDEX(Catalogo!$F$6:$F$125,MATCH($C14,Catalogo!$C$6:$C$125,0)),"")))</f>
        <v>1</v>
      </c>
      <c r="I14" s="9">
        <f>IF($AD14&lt;&gt;"Patch panel cobre","",IFERROR(INDEX(Catalogo!$G$6:$G$125,MATCH($C14,Catalogo!$C$6:$C$125,0)),""))</f>
        <v>24</v>
      </c>
      <c r="J14" s="9">
        <f>IF(OR($C14="",$H14=0),"",$AR$5-SUM($H$13:H13))</f>
        <v>11</v>
      </c>
      <c r="K14" s="9">
        <f t="shared" si="0"/>
        <v>11</v>
      </c>
      <c r="L14" s="9" t="str">
        <f t="shared" si="1"/>
        <v>1C-AA</v>
      </c>
      <c r="M14" s="6" t="s">
        <v>14</v>
      </c>
      <c r="N14" s="6"/>
      <c r="O14" s="12">
        <f t="shared" si="2"/>
        <v>1</v>
      </c>
      <c r="P14" s="37" t="s">
        <v>15</v>
      </c>
      <c r="Q14" s="39"/>
      <c r="R14" s="40"/>
      <c r="S14" s="13">
        <v>44</v>
      </c>
      <c r="T14" s="49" t="str">
        <f>IF($AM14=0,"",IF(INDEX($J$13:$J$42,$AM14)=44,INDEX($AH$13:$AH$42,$AM14),""))</f>
        <v/>
      </c>
      <c r="U14" s="38"/>
      <c r="V14" s="39"/>
      <c r="W14" s="13">
        <v>44</v>
      </c>
      <c r="X14" s="40"/>
      <c r="AD14" t="str">
        <f>IF($C14="","",IFERROR(INDEX(Catalogo!$B$6:$B$125,MATCH($C14,Catalogo!$C$6:$C$125,0)),""))</f>
        <v>Patch panel cobre</v>
      </c>
      <c r="AE14">
        <f>IF($AD14="Patch panel cobre",COUNTIF($AD$13:$AD14,"Patch panel cobre"),"")</f>
        <v>1</v>
      </c>
      <c r="AH14" t="str">
        <f t="shared" si="3"/>
        <v>Patch panel 1C-AA · 24 p · D</v>
      </c>
      <c r="AM14">
        <f>IFERROR(MATCH(1,INDEX(($K$13:$K$42&lt;=44)*($J$13:$J$42&gt;=44),0),0),0)</f>
        <v>0</v>
      </c>
      <c r="AN14" t="str">
        <f>IF(44&gt;$AR$5,"Fuera",IF($AM14=0,"",INDEX($AD$13:$AD$42,$AM14)))</f>
        <v>Fuera</v>
      </c>
      <c r="BA14">
        <f>IF(OR(Catalogo!$C14="",Catalogo!$B14="Espacio libre",Catalogo!$B14="Espacio reservado"),0,COUNTIF($C$13:$C$42,Catalogo!$C14)+IF($E$7=Catalogo!$C14,N($K$7),0)+IF($E$8=Catalogo!$C14,N($N$8),0)+IF(Proyecto!$D$12=Catalogo!$C14,$AQ$4,0)+SUMIF($C$49:$C$58,Catalogo!$C14,$K$49:$K$58))</f>
        <v>0</v>
      </c>
      <c r="BD14" t="str">
        <f>IFERROR(MATCH(2,$AE$13:$AE$42,0),"")</f>
        <v/>
      </c>
      <c r="BE14" t="str">
        <f t="shared" si="4"/>
        <v/>
      </c>
      <c r="BF14">
        <f t="shared" si="5"/>
        <v>0</v>
      </c>
      <c r="BG14">
        <f t="shared" si="6"/>
        <v>0</v>
      </c>
      <c r="BH14">
        <f>SUM($BG$13:$BG13)</f>
        <v>1</v>
      </c>
      <c r="BI14" t="str">
        <f t="shared" si="7"/>
        <v/>
      </c>
      <c r="BJ14" cm="1">
        <f t="array" ref="BJ14">IF($BD14="",0,IF(ISNUMBER(SEARCH(":",$BI14)),MIN($BF14,SUM(--MID(_xlfn.TEXTSPLIT($BI14,","),FIND(":",_xlfn.TEXTSPLIT($BI14,","))+1,9))),IF(INDEX($N$13:$N$42,$BD14)="",$BF14,MIN($BF14,N(INDEX($N$13:$N$42,$BD14))))))</f>
        <v>0</v>
      </c>
      <c r="BL14" t="str">
        <f>IF(2&gt;$BK$12,"",MATCH(1,$BH$13:$BH$28,1))</f>
        <v/>
      </c>
      <c r="BM14">
        <f>IF($BL14="",0,(1-INDEX($BH$13:$BH$28,$BL14))*24)</f>
        <v>0</v>
      </c>
      <c r="BN14" t="str">
        <f t="shared" si="8"/>
        <v/>
      </c>
      <c r="BO14">
        <f t="shared" si="9"/>
        <v>0</v>
      </c>
      <c r="BP14" t="str">
        <f t="shared" si="10"/>
        <v/>
      </c>
      <c r="BQ14">
        <f t="shared" si="11"/>
        <v>0</v>
      </c>
      <c r="BR14">
        <f>COUNTIF($CB$72:$CB$95,"?*")</f>
        <v>0</v>
      </c>
      <c r="BS14">
        <f>SUMIF($BL$13:$BL$28,2,$BR$13:$BR$28)</f>
        <v>0</v>
      </c>
      <c r="CL14">
        <f>IF($C14="",0,N(IFERROR(INDEX(Catalogo!$N$6:$N$125,MATCH($C14,Catalogo!$C$6:$C$125,0)),0)))</f>
        <v>0</v>
      </c>
      <c r="CM14">
        <f>IF($C14="",0,N(IFERROR(INDEX(Catalogo!$P$6:$P$125,MATCH($C14,Catalogo!$C$6:$C$125,0)),0)))</f>
        <v>1</v>
      </c>
      <c r="CN14">
        <f>IF($C14="",0,N(IFERROR(INDEX(Catalogo!$Q$6:$Q$125,MATCH($C14,Catalogo!$C$6:$C$125,0)),0)))</f>
        <v>0</v>
      </c>
      <c r="CO14">
        <f>IF($C14="",0,IF(OR($AD14="Espacio libre",$AD14="Espacio reservado"),0,IF(IFERROR(INDEX(Catalogo!$N$6:$N$125,MATCH($C14,Catalogo!$C$6:$C$125,0))="",TRUE),1,0)))</f>
        <v>0</v>
      </c>
    </row>
    <row r="15" spans="2:93" ht="14" customHeight="1" x14ac:dyDescent="0.45">
      <c r="B15" s="9">
        <v>3</v>
      </c>
      <c r="C15" s="47" t="s">
        <v>121</v>
      </c>
      <c r="D15" s="38"/>
      <c r="E15" s="39"/>
      <c r="F15" s="48" t="str">
        <f>IF($C15="","",IFERROR(INDEX(Catalogo!$E$6:$E$125,MATCH($C15,Catalogo!$C$6:$C$125,0)),""))</f>
        <v>NMF1</v>
      </c>
      <c r="G15" s="39"/>
      <c r="H15" s="9">
        <f>IF($C15="","",N(IFERROR(INDEX(Catalogo!$F$6:$F$125,MATCH($C15,Catalogo!$C$6:$C$125,0)),"")))</f>
        <v>1</v>
      </c>
      <c r="I15" s="9" t="str">
        <f>IF($AD15&lt;&gt;"Patch panel cobre","",IFERROR(INDEX(Catalogo!$G$6:$G$125,MATCH($C15,Catalogo!$C$6:$C$125,0)),""))</f>
        <v/>
      </c>
      <c r="J15" s="9">
        <f>IF(OR($C15="",$H15=0),"",$AR$5-SUM($H$13:H14))</f>
        <v>10</v>
      </c>
      <c r="K15" s="9">
        <f t="shared" si="0"/>
        <v>10</v>
      </c>
      <c r="L15" s="9" t="str">
        <f t="shared" si="1"/>
        <v/>
      </c>
      <c r="M15" s="6"/>
      <c r="N15" s="6"/>
      <c r="O15" s="12" t="str">
        <f t="shared" si="2"/>
        <v/>
      </c>
      <c r="P15" s="37" t="s">
        <v>120</v>
      </c>
      <c r="Q15" s="39"/>
      <c r="R15" s="40"/>
      <c r="S15" s="13">
        <v>43</v>
      </c>
      <c r="T15" s="49" t="str">
        <f>IF($AM15=0,"",IF(INDEX($J$13:$J$42,$AM15)=43,INDEX($AH$13:$AH$42,$AM15),""))</f>
        <v/>
      </c>
      <c r="U15" s="38"/>
      <c r="V15" s="39"/>
      <c r="W15" s="13">
        <v>43</v>
      </c>
      <c r="X15" s="40"/>
      <c r="AD15" t="str">
        <f>IF($C15="","",IFERROR(INDEX(Catalogo!$B$6:$B$125,MATCH($C15,Catalogo!$C$6:$C$125,0)),""))</f>
        <v>Organizador horizontal</v>
      </c>
      <c r="AE15" t="str">
        <f>IF($AD15="Patch panel cobre",COUNTIF($AD$13:$AD15,"Patch panel cobre"),"")</f>
        <v/>
      </c>
      <c r="AH15" t="str">
        <f t="shared" si="3"/>
        <v>Org. horizontal 1RU frontal</v>
      </c>
      <c r="AM15">
        <f>IFERROR(MATCH(1,INDEX(($K$13:$K$42&lt;=43)*($J$13:$J$42&gt;=43),0),0),0)</f>
        <v>0</v>
      </c>
      <c r="AN15" t="str">
        <f>IF(43&gt;$AR$5,"Fuera",IF($AM15=0,"",INDEX($AD$13:$AD$42,$AM15)))</f>
        <v>Fuera</v>
      </c>
      <c r="BA15">
        <f>IF(OR(Catalogo!$C15="",Catalogo!$B15="Espacio libre",Catalogo!$B15="Espacio reservado"),0,COUNTIF($C$13:$C$42,Catalogo!$C15)+IF($E$7=Catalogo!$C15,N($K$7),0)+IF($E$8=Catalogo!$C15,N($N$8),0)+IF(Proyecto!$D$12=Catalogo!$C15,$AQ$4,0)+SUMIF($C$49:$C$58,Catalogo!$C15,$K$49:$K$58))</f>
        <v>0</v>
      </c>
      <c r="BD15" t="str">
        <f>IFERROR(MATCH(3,$AE$13:$AE$42,0),"")</f>
        <v/>
      </c>
      <c r="BE15" t="str">
        <f t="shared" si="4"/>
        <v/>
      </c>
      <c r="BF15">
        <f t="shared" si="5"/>
        <v>0</v>
      </c>
      <c r="BG15">
        <f t="shared" si="6"/>
        <v>0</v>
      </c>
      <c r="BH15">
        <f>SUM($BG$13:$BG14)</f>
        <v>1</v>
      </c>
      <c r="BI15" t="str">
        <f t="shared" si="7"/>
        <v/>
      </c>
      <c r="BJ15" cm="1">
        <f t="array" ref="BJ15">IF($BD15="",0,IF(ISNUMBER(SEARCH(":",$BI15)),MIN($BF15,SUM(--MID(_xlfn.TEXTSPLIT($BI15,","),FIND(":",_xlfn.TEXTSPLIT($BI15,","))+1,9))),IF(INDEX($N$13:$N$42,$BD15)="",$BF15,MIN($BF15,N(INDEX($N$13:$N$42,$BD15))))))</f>
        <v>0</v>
      </c>
      <c r="BL15" t="str">
        <f>IF(3&gt;$BK$12,"",MATCH(2,$BH$13:$BH$28,1))</f>
        <v/>
      </c>
      <c r="BM15">
        <f>IF($BL15="",0,(2-INDEX($BH$13:$BH$28,$BL15))*24)</f>
        <v>0</v>
      </c>
      <c r="BN15" t="str">
        <f t="shared" si="8"/>
        <v/>
      </c>
      <c r="BO15">
        <f t="shared" si="9"/>
        <v>0</v>
      </c>
      <c r="BP15" t="str">
        <f t="shared" si="10"/>
        <v/>
      </c>
      <c r="BQ15">
        <f t="shared" si="11"/>
        <v>0</v>
      </c>
      <c r="BR15">
        <f>COUNTIF($CC$72:$CC$95,"?*")</f>
        <v>0</v>
      </c>
      <c r="BS15">
        <f>SUMIF($BL$13:$BL$28,3,$BR$13:$BR$28)</f>
        <v>0</v>
      </c>
      <c r="CL15">
        <f>IF($C15="",0,N(IFERROR(INDEX(Catalogo!$N$6:$N$125,MATCH($C15,Catalogo!$C$6:$C$125,0)),0)))</f>
        <v>0</v>
      </c>
      <c r="CM15">
        <f>IF($C15="",0,N(IFERROR(INDEX(Catalogo!$P$6:$P$125,MATCH($C15,Catalogo!$C$6:$C$125,0)),0)))</f>
        <v>1</v>
      </c>
      <c r="CN15">
        <f>IF($C15="",0,N(IFERROR(INDEX(Catalogo!$Q$6:$Q$125,MATCH($C15,Catalogo!$C$6:$C$125,0)),0)))</f>
        <v>0</v>
      </c>
      <c r="CO15">
        <f>IF($C15="",0,IF(OR($AD15="Espacio libre",$AD15="Espacio reservado"),0,IF(IFERROR(INDEX(Catalogo!$N$6:$N$125,MATCH($C15,Catalogo!$C$6:$C$125,0))="",TRUE),1,0)))</f>
        <v>0</v>
      </c>
    </row>
    <row r="16" spans="2:93" ht="14" customHeight="1" x14ac:dyDescent="0.45">
      <c r="B16" s="9">
        <v>4</v>
      </c>
      <c r="C16" s="47" t="s">
        <v>152</v>
      </c>
      <c r="D16" s="38"/>
      <c r="E16" s="39"/>
      <c r="F16" s="48" t="str">
        <f>IF($C16="","",IFERROR(INDEX(Catalogo!$E$6:$E$125,MATCH($C16,Catalogo!$C$6:$C$125,0)),""))</f>
        <v>C9200L-24P-4G</v>
      </c>
      <c r="G16" s="39"/>
      <c r="H16" s="9">
        <f>IF($C16="","",N(IFERROR(INDEX(Catalogo!$F$6:$F$125,MATCH($C16,Catalogo!$C$6:$C$125,0)),"")))</f>
        <v>1</v>
      </c>
      <c r="I16" s="9" t="str">
        <f>IF($AD16&lt;&gt;"Patch panel cobre","",IFERROR(INDEX(Catalogo!$G$6:$G$125,MATCH($C16,Catalogo!$C$6:$C$125,0)),""))</f>
        <v/>
      </c>
      <c r="J16" s="9">
        <f>IF(OR($C16="",$H16=0),"",$AR$5-SUM($H$13:H15))</f>
        <v>9</v>
      </c>
      <c r="K16" s="9">
        <f t="shared" si="0"/>
        <v>9</v>
      </c>
      <c r="L16" s="9" t="str">
        <f t="shared" si="1"/>
        <v/>
      </c>
      <c r="M16" s="6"/>
      <c r="N16" s="6"/>
      <c r="O16" s="12" t="str">
        <f t="shared" si="2"/>
        <v/>
      </c>
      <c r="P16" s="37" t="s">
        <v>15</v>
      </c>
      <c r="Q16" s="39"/>
      <c r="R16" s="40"/>
      <c r="S16" s="13">
        <v>42</v>
      </c>
      <c r="T16" s="49" t="str">
        <f>IF($AM16=0,"",IF(INDEX($J$13:$J$42,$AM16)=42,INDEX($AH$13:$AH$42,$AM16),""))</f>
        <v/>
      </c>
      <c r="U16" s="38"/>
      <c r="V16" s="39"/>
      <c r="W16" s="13">
        <v>42</v>
      </c>
      <c r="X16" s="40"/>
      <c r="AD16" t="str">
        <f>IF($C16="","",IFERROR(INDEX(Catalogo!$B$6:$B$125,MATCH($C16,Catalogo!$C$6:$C$125,0)),""))</f>
        <v>Switch</v>
      </c>
      <c r="AE16" t="str">
        <f>IF($AD16="Patch panel cobre",COUNTIF($AD$13:$AD16,"Patch panel cobre"),"")</f>
        <v/>
      </c>
      <c r="AH16" t="str">
        <f t="shared" si="3"/>
        <v>Switch Cisco 24p 1G PoE+ (C9200L-24P-4G)</v>
      </c>
      <c r="AM16">
        <f>IFERROR(MATCH(1,INDEX(($K$13:$K$42&lt;=42)*($J$13:$J$42&gt;=42),0),0),0)</f>
        <v>0</v>
      </c>
      <c r="AN16" t="str">
        <f>IF(42&gt;$AR$5,"Fuera",IF($AM16=0,"",INDEX($AD$13:$AD$42,$AM16)))</f>
        <v>Fuera</v>
      </c>
      <c r="AQ16">
        <f>IF(OR(Proyecto!$C16="",Proyecto!$C16="-"),0,COUNTIF($CA$72:$CA$95,Proyecto!$C16)+COUNTIF($CB$72:$CB$95,Proyecto!$C16)+COUNTIF($CC$72:$CC$95,Proyecto!$C16)+COUNTIF($CD$72:$CD$95,Proyecto!$C16)+COUNTIF($CA$100:$CA$123,Proyecto!$C16)+COUNTIF($CB$100:$CB$123,Proyecto!$C16)+COUNTIF($CC$100:$CC$123,Proyecto!$C16)+COUNTIF($CD$100:$CD$123,Proyecto!$C16)+COUNTIF($CA$128:$CA$151,Proyecto!$C16)+COUNTIF($CB$128:$CB$151,Proyecto!$C16)+COUNTIF($CC$128:$CC$151,Proyecto!$C16)+COUNTIF($CD$128:$CD$151,Proyecto!$C16)+COUNTIF($CA$156:$CA$179,Proyecto!$C16)+COUNTIF($CB$156:$CB$179,Proyecto!$C16)+COUNTIF($CC$156:$CC$179,Proyecto!$C16)+COUNTIF($CD$156:$CD$179,Proyecto!$C16))</f>
        <v>24</v>
      </c>
      <c r="BA16">
        <f>IF(OR(Catalogo!$C16="",Catalogo!$B16="Espacio libre",Catalogo!$B16="Espacio reservado"),0,COUNTIF($C$13:$C$42,Catalogo!$C16)+IF($E$7=Catalogo!$C16,N($K$7),0)+IF($E$8=Catalogo!$C16,N($N$8),0)+IF(Proyecto!$D$12=Catalogo!$C16,$AQ$4,0)+SUMIF($C$49:$C$58,Catalogo!$C16,$K$49:$K$58))</f>
        <v>0</v>
      </c>
      <c r="BD16" t="str">
        <f>IFERROR(MATCH(4,$AE$13:$AE$42,0),"")</f>
        <v/>
      </c>
      <c r="BE16" t="str">
        <f t="shared" si="4"/>
        <v/>
      </c>
      <c r="BF16">
        <f t="shared" si="5"/>
        <v>0</v>
      </c>
      <c r="BG16">
        <f t="shared" si="6"/>
        <v>0</v>
      </c>
      <c r="BH16">
        <f>SUM($BG$13:$BG15)</f>
        <v>1</v>
      </c>
      <c r="BI16" t="str">
        <f t="shared" si="7"/>
        <v/>
      </c>
      <c r="BJ16" cm="1">
        <f t="array" ref="BJ16">IF($BD16="",0,IF(ISNUMBER(SEARCH(":",$BI16)),MIN($BF16,SUM(--MID(_xlfn.TEXTSPLIT($BI16,","),FIND(":",_xlfn.TEXTSPLIT($BI16,","))+1,9))),IF(INDEX($N$13:$N$42,$BD16)="",$BF16,MIN($BF16,N(INDEX($N$13:$N$42,$BD16))))))</f>
        <v>0</v>
      </c>
      <c r="BL16" t="str">
        <f>IF(4&gt;$BK$12,"",MATCH(3,$BH$13:$BH$28,1))</f>
        <v/>
      </c>
      <c r="BM16">
        <f>IF($BL16="",0,(3-INDEX($BH$13:$BH$28,$BL16))*24)</f>
        <v>0</v>
      </c>
      <c r="BN16" t="str">
        <f t="shared" si="8"/>
        <v/>
      </c>
      <c r="BO16">
        <f t="shared" si="9"/>
        <v>0</v>
      </c>
      <c r="BP16" t="str">
        <f t="shared" si="10"/>
        <v/>
      </c>
      <c r="BQ16">
        <f t="shared" si="11"/>
        <v>0</v>
      </c>
      <c r="BR16">
        <f>COUNTIF($CD$72:$CD$95,"?*")</f>
        <v>0</v>
      </c>
      <c r="BS16">
        <f>SUMIF($BL$13:$BL$28,4,$BR$13:$BR$28)</f>
        <v>0</v>
      </c>
      <c r="CL16">
        <f>IF($C16="",0,N(IFERROR(INDEX(Catalogo!$N$6:$N$125,MATCH($C16,Catalogo!$C$6:$C$125,0)),0)))</f>
        <v>70</v>
      </c>
      <c r="CM16">
        <f>IF($C16="",0,N(IFERROR(INDEX(Catalogo!$P$6:$P$125,MATCH($C16,Catalogo!$C$6:$C$125,0)),0)))</f>
        <v>4.5</v>
      </c>
      <c r="CN16">
        <f>IF($C16="",0,N(IFERROR(INDEX(Catalogo!$Q$6:$Q$125,MATCH($C16,Catalogo!$C$6:$C$125,0)),0)))</f>
        <v>0</v>
      </c>
      <c r="CO16">
        <f>IF($C16="",0,IF(OR($AD16="Espacio libre",$AD16="Espacio reservado"),0,IF(IFERROR(INDEX(Catalogo!$N$6:$N$125,MATCH($C16,Catalogo!$C$6:$C$125,0))="",TRUE),1,0)))</f>
        <v>0</v>
      </c>
    </row>
    <row r="17" spans="2:93" ht="14" customHeight="1" x14ac:dyDescent="0.45">
      <c r="B17" s="9">
        <v>5</v>
      </c>
      <c r="C17" s="47" t="s">
        <v>327</v>
      </c>
      <c r="D17" s="38"/>
      <c r="E17" s="39"/>
      <c r="F17" s="48" t="str">
        <f>IF($C17="","",IFERROR(INDEX(Catalogo!$E$6:$E$125,MATCH($C17,Catalogo!$C$6:$C$125,0)),""))</f>
        <v>TLBP1S-V</v>
      </c>
      <c r="G17" s="39"/>
      <c r="H17" s="9">
        <f>IF($C17="","",N(IFERROR(INDEX(Catalogo!$F$6:$F$125,MATCH($C17,Catalogo!$C$6:$C$125,0)),"")))</f>
        <v>1</v>
      </c>
      <c r="I17" s="9" t="str">
        <f>IF($AD17&lt;&gt;"Patch panel cobre","",IFERROR(INDEX(Catalogo!$G$6:$G$125,MATCH($C17,Catalogo!$C$6:$C$125,0)),""))</f>
        <v/>
      </c>
      <c r="J17" s="9">
        <f>IF(OR($C17="",$H17=0),"",$AR$5-SUM($H$13:H16))</f>
        <v>8</v>
      </c>
      <c r="K17" s="9">
        <f t="shared" si="0"/>
        <v>8</v>
      </c>
      <c r="L17" s="9" t="str">
        <f t="shared" si="1"/>
        <v/>
      </c>
      <c r="M17" s="6"/>
      <c r="N17" s="6"/>
      <c r="O17" s="12" t="str">
        <f t="shared" si="2"/>
        <v/>
      </c>
      <c r="P17" s="37"/>
      <c r="Q17" s="39"/>
      <c r="R17" s="40"/>
      <c r="S17" s="13">
        <v>41</v>
      </c>
      <c r="T17" s="49" t="str">
        <f>IF($AM17=0,"",IF(INDEX($J$13:$J$42,$AM17)=41,INDEX($AH$13:$AH$42,$AM17),""))</f>
        <v/>
      </c>
      <c r="U17" s="38"/>
      <c r="V17" s="39"/>
      <c r="W17" s="13">
        <v>41</v>
      </c>
      <c r="X17" s="40"/>
      <c r="AD17" t="str">
        <f>IF($C17="","",IFERROR(INDEX(Catalogo!$B$6:$B$125,MATCH($C17,Catalogo!$C$6:$C$125,0)),""))</f>
        <v>Tapa ciega</v>
      </c>
      <c r="AE17" t="str">
        <f>IF($AD17="Patch panel cobre",COUNTIF($AD$13:$AD17,"Patch panel cobre"),"")</f>
        <v/>
      </c>
      <c r="AH17" t="str">
        <f t="shared" si="3"/>
        <v>Tapa ciega 1RU sin herramienta</v>
      </c>
      <c r="AM17">
        <f>IFERROR(MATCH(1,INDEX(($K$13:$K$42&lt;=41)*($J$13:$J$42&gt;=41),0),0),0)</f>
        <v>0</v>
      </c>
      <c r="AN17" t="str">
        <f>IF(41&gt;$AR$5,"Fuera",IF($AM17=0,"",INDEX($AD$13:$AD$42,$AM17)))</f>
        <v>Fuera</v>
      </c>
      <c r="AQ17">
        <f>IF(OR(Proyecto!$C17="",Proyecto!$C17="-"),0,COUNTIF($CA$72:$CA$95,Proyecto!$C17)+COUNTIF($CB$72:$CB$95,Proyecto!$C17)+COUNTIF($CC$72:$CC$95,Proyecto!$C17)+COUNTIF($CD$72:$CD$95,Proyecto!$C17)+COUNTIF($CA$100:$CA$123,Proyecto!$C17)+COUNTIF($CB$100:$CB$123,Proyecto!$C17)+COUNTIF($CC$100:$CC$123,Proyecto!$C17)+COUNTIF($CD$100:$CD$123,Proyecto!$C17)+COUNTIF($CA$128:$CA$151,Proyecto!$C17)+COUNTIF($CB$128:$CB$151,Proyecto!$C17)+COUNTIF($CC$128:$CC$151,Proyecto!$C17)+COUNTIF($CD$128:$CD$151,Proyecto!$C17)+COUNTIF($CA$156:$CA$179,Proyecto!$C17)+COUNTIF($CB$156:$CB$179,Proyecto!$C17)+COUNTIF($CC$156:$CC$179,Proyecto!$C17)+COUNTIF($CD$156:$CD$179,Proyecto!$C17))</f>
        <v>0</v>
      </c>
      <c r="BA17">
        <f>IF(OR(Catalogo!$C17="",Catalogo!$B17="Espacio libre",Catalogo!$B17="Espacio reservado"),0,COUNTIF($C$13:$C$42,Catalogo!$C17)+IF($E$7=Catalogo!$C17,N($K$7),0)+IF($E$8=Catalogo!$C17,N($N$8),0)+IF(Proyecto!$D$12=Catalogo!$C17,$AQ$4,0)+SUMIF($C$49:$C$58,Catalogo!$C17,$K$49:$K$58))</f>
        <v>0</v>
      </c>
      <c r="BD17" t="str">
        <f>IFERROR(MATCH(5,$AE$13:$AE$42,0),"")</f>
        <v/>
      </c>
      <c r="BE17" t="str">
        <f t="shared" si="4"/>
        <v/>
      </c>
      <c r="BF17">
        <f t="shared" si="5"/>
        <v>0</v>
      </c>
      <c r="BG17">
        <f t="shared" si="6"/>
        <v>0</v>
      </c>
      <c r="BH17">
        <f>SUM($BG$13:$BG16)</f>
        <v>1</v>
      </c>
      <c r="BI17" t="str">
        <f t="shared" si="7"/>
        <v/>
      </c>
      <c r="BJ17" cm="1">
        <f t="array" ref="BJ17">IF($BD17="",0,IF(ISNUMBER(SEARCH(":",$BI17)),MIN($BF17,SUM(--MID(_xlfn.TEXTSPLIT($BI17,","),FIND(":",_xlfn.TEXTSPLIT($BI17,","))+1,9))),IF(INDEX($N$13:$N$42,$BD17)="",$BF17,MIN($BF17,N(INDEX($N$13:$N$42,$BD17))))))</f>
        <v>0</v>
      </c>
      <c r="BL17" t="str">
        <f>IF(5&gt;$BK$12,"",MATCH(4,$BH$13:$BH$28,1))</f>
        <v/>
      </c>
      <c r="BM17">
        <f>IF($BL17="",0,(4-INDEX($BH$13:$BH$28,$BL17))*24)</f>
        <v>0</v>
      </c>
      <c r="BN17" t="str">
        <f t="shared" si="8"/>
        <v/>
      </c>
      <c r="BO17">
        <f t="shared" si="9"/>
        <v>0</v>
      </c>
      <c r="BP17" t="str">
        <f t="shared" si="10"/>
        <v/>
      </c>
      <c r="BQ17">
        <f t="shared" si="11"/>
        <v>0</v>
      </c>
      <c r="BR17">
        <f>COUNTIF($CA$100:$CA$123,"?*")</f>
        <v>0</v>
      </c>
      <c r="BS17">
        <f>SUMIF($BL$13:$BL$28,5,$BR$13:$BR$28)</f>
        <v>0</v>
      </c>
      <c r="CL17">
        <f>IF($C17="",0,N(IFERROR(INDEX(Catalogo!$N$6:$N$125,MATCH($C17,Catalogo!$C$6:$C$125,0)),0)))</f>
        <v>0</v>
      </c>
      <c r="CM17">
        <f>IF($C17="",0,N(IFERROR(INDEX(Catalogo!$P$6:$P$125,MATCH($C17,Catalogo!$C$6:$C$125,0)),0)))</f>
        <v>0</v>
      </c>
      <c r="CN17">
        <f>IF($C17="",0,N(IFERROR(INDEX(Catalogo!$Q$6:$Q$125,MATCH($C17,Catalogo!$C$6:$C$125,0)),0)))</f>
        <v>0</v>
      </c>
      <c r="CO17">
        <f>IF($C17="",0,IF(OR($AD17="Espacio libre",$AD17="Espacio reservado"),0,IF(IFERROR(INDEX(Catalogo!$N$6:$N$125,MATCH($C17,Catalogo!$C$6:$C$125,0))="",TRUE),1,0)))</f>
        <v>0</v>
      </c>
    </row>
    <row r="18" spans="2:93" ht="14" customHeight="1" x14ac:dyDescent="0.45">
      <c r="B18" s="9">
        <v>6</v>
      </c>
      <c r="C18" s="47" t="s">
        <v>317</v>
      </c>
      <c r="D18" s="38"/>
      <c r="E18" s="39"/>
      <c r="F18" s="48" t="str">
        <f>IF($C18="","",IFERROR(INDEX(Catalogo!$E$6:$E$125,MATCH($C18,Catalogo!$C$6:$C$125,0)),""))</f>
        <v>Por definir</v>
      </c>
      <c r="G18" s="39"/>
      <c r="H18" s="9">
        <f>IF($C18="","",N(IFERROR(INDEX(Catalogo!$F$6:$F$125,MATCH($C18,Catalogo!$C$6:$C$125,0)),"")))</f>
        <v>1</v>
      </c>
      <c r="I18" s="9" t="str">
        <f>IF($AD18&lt;&gt;"Patch panel cobre","",IFERROR(INDEX(Catalogo!$G$6:$G$125,MATCH($C18,Catalogo!$C$6:$C$125,0)),""))</f>
        <v/>
      </c>
      <c r="J18" s="9">
        <f>IF(OR($C18="",$H18=0),"",$AR$5-SUM($H$13:H17))</f>
        <v>7</v>
      </c>
      <c r="K18" s="9">
        <f t="shared" si="0"/>
        <v>7</v>
      </c>
      <c r="L18" s="9" t="str">
        <f t="shared" si="1"/>
        <v/>
      </c>
      <c r="M18" s="6"/>
      <c r="N18" s="6"/>
      <c r="O18" s="12" t="str">
        <f t="shared" si="2"/>
        <v/>
      </c>
      <c r="P18" s="37" t="s">
        <v>421</v>
      </c>
      <c r="Q18" s="39"/>
      <c r="R18" s="40"/>
      <c r="S18" s="13">
        <v>40</v>
      </c>
      <c r="T18" s="49" t="str">
        <f>IF($AM18=0,"",IF(INDEX($J$13:$J$42,$AM18)=40,INDEX($AH$13:$AH$42,$AM18),""))</f>
        <v/>
      </c>
      <c r="U18" s="38"/>
      <c r="V18" s="39"/>
      <c r="W18" s="13">
        <v>40</v>
      </c>
      <c r="X18" s="40"/>
      <c r="AD18" t="str">
        <f>IF($C18="","",IFERROR(INDEX(Catalogo!$B$6:$B$125,MATCH($C18,Catalogo!$C$6:$C$125,0)),""))</f>
        <v>PDU</v>
      </c>
      <c r="AE18" t="str">
        <f>IF($AD18="Patch panel cobre",COUNTIF($AD$13:$AD18,"Patch panel cobre"),"")</f>
        <v/>
      </c>
      <c r="AH18" t="str">
        <f t="shared" si="3"/>
        <v>PDU horizontal 1RU 8 tomas 120 V 15 A</v>
      </c>
      <c r="AM18">
        <f>IFERROR(MATCH(1,INDEX(($K$13:$K$42&lt;=40)*($J$13:$J$42&gt;=40),0),0),0)</f>
        <v>0</v>
      </c>
      <c r="AN18" t="str">
        <f>IF(40&gt;$AR$5,"Fuera",IF($AM18=0,"",INDEX($AD$13:$AD$42,$AM18)))</f>
        <v>Fuera</v>
      </c>
      <c r="AQ18">
        <f>IF(OR(Proyecto!$C18="",Proyecto!$C18="-"),0,COUNTIF($CA$72:$CA$95,Proyecto!$C18)+COUNTIF($CB$72:$CB$95,Proyecto!$C18)+COUNTIF($CC$72:$CC$95,Proyecto!$C18)+COUNTIF($CD$72:$CD$95,Proyecto!$C18)+COUNTIF($CA$100:$CA$123,Proyecto!$C18)+COUNTIF($CB$100:$CB$123,Proyecto!$C18)+COUNTIF($CC$100:$CC$123,Proyecto!$C18)+COUNTIF($CD$100:$CD$123,Proyecto!$C18)+COUNTIF($CA$128:$CA$151,Proyecto!$C18)+COUNTIF($CB$128:$CB$151,Proyecto!$C18)+COUNTIF($CC$128:$CC$151,Proyecto!$C18)+COUNTIF($CD$128:$CD$151,Proyecto!$C18)+COUNTIF($CA$156:$CA$179,Proyecto!$C18)+COUNTIF($CB$156:$CB$179,Proyecto!$C18)+COUNTIF($CC$156:$CC$179,Proyecto!$C18)+COUNTIF($CD$156:$CD$179,Proyecto!$C18))</f>
        <v>0</v>
      </c>
      <c r="BA18">
        <f>IF(OR(Catalogo!$C18="",Catalogo!$B18="Espacio libre",Catalogo!$B18="Espacio reservado"),0,COUNTIF($C$13:$C$42,Catalogo!$C18)+IF($E$7=Catalogo!$C18,N($K$7),0)+IF($E$8=Catalogo!$C18,N($N$8),0)+IF(Proyecto!$D$12=Catalogo!$C18,$AQ$4,0)+SUMIF($C$49:$C$58,Catalogo!$C18,$K$49:$K$58))</f>
        <v>0</v>
      </c>
      <c r="BD18" t="str">
        <f>IFERROR(MATCH(6,$AE$13:$AE$42,0),"")</f>
        <v/>
      </c>
      <c r="BE18" t="str">
        <f t="shared" si="4"/>
        <v/>
      </c>
      <c r="BF18">
        <f t="shared" si="5"/>
        <v>0</v>
      </c>
      <c r="BG18">
        <f t="shared" si="6"/>
        <v>0</v>
      </c>
      <c r="BH18">
        <f>SUM($BG$13:$BG17)</f>
        <v>1</v>
      </c>
      <c r="BI18" t="str">
        <f t="shared" si="7"/>
        <v/>
      </c>
      <c r="BJ18" cm="1">
        <f t="array" ref="BJ18">IF($BD18="",0,IF(ISNUMBER(SEARCH(":",$BI18)),MIN($BF18,SUM(--MID(_xlfn.TEXTSPLIT($BI18,","),FIND(":",_xlfn.TEXTSPLIT($BI18,","))+1,9))),IF(INDEX($N$13:$N$42,$BD18)="",$BF18,MIN($BF18,N(INDEX($N$13:$N$42,$BD18))))))</f>
        <v>0</v>
      </c>
      <c r="BL18" t="str">
        <f>IF(6&gt;$BK$12,"",MATCH(5,$BH$13:$BH$28,1))</f>
        <v/>
      </c>
      <c r="BM18">
        <f>IF($BL18="",0,(5-INDEX($BH$13:$BH$28,$BL18))*24)</f>
        <v>0</v>
      </c>
      <c r="BN18" t="str">
        <f t="shared" si="8"/>
        <v/>
      </c>
      <c r="BO18">
        <f t="shared" si="9"/>
        <v>0</v>
      </c>
      <c r="BP18" t="str">
        <f t="shared" si="10"/>
        <v/>
      </c>
      <c r="BQ18">
        <f t="shared" si="11"/>
        <v>0</v>
      </c>
      <c r="BR18">
        <f>COUNTIF($CB$100:$CB$123,"?*")</f>
        <v>0</v>
      </c>
      <c r="BS18">
        <f>SUMIF($BL$13:$BL$28,6,$BR$13:$BR$28)</f>
        <v>0</v>
      </c>
      <c r="CL18">
        <f>IF($C18="",0,N(IFERROR(INDEX(Catalogo!$N$6:$N$125,MATCH($C18,Catalogo!$C$6:$C$125,0)),0)))</f>
        <v>0</v>
      </c>
      <c r="CM18">
        <f>IF($C18="",0,N(IFERROR(INDEX(Catalogo!$P$6:$P$125,MATCH($C18,Catalogo!$C$6:$C$125,0)),0)))</f>
        <v>3</v>
      </c>
      <c r="CN18">
        <f>IF($C18="",0,N(IFERROR(INDEX(Catalogo!$Q$6:$Q$125,MATCH($C18,Catalogo!$C$6:$C$125,0)),0)))</f>
        <v>0</v>
      </c>
      <c r="CO18">
        <f>IF($C18="",0,IF(OR($AD18="Espacio libre",$AD18="Espacio reservado"),0,IF(IFERROR(INDEX(Catalogo!$N$6:$N$125,MATCH($C18,Catalogo!$C$6:$C$125,0))="",TRUE),1,0)))</f>
        <v>0</v>
      </c>
    </row>
    <row r="19" spans="2:93" ht="14" customHeight="1" x14ac:dyDescent="0.45">
      <c r="B19" s="9">
        <v>7</v>
      </c>
      <c r="C19" s="47" t="s">
        <v>323</v>
      </c>
      <c r="D19" s="38"/>
      <c r="E19" s="39"/>
      <c r="F19" s="48" t="str">
        <f>IF($C19="","",IFERROR(INDEX(Catalogo!$E$6:$E$125,MATCH($C19,Catalogo!$C$6:$C$125,0)),""))</f>
        <v>Por definir</v>
      </c>
      <c r="G19" s="39"/>
      <c r="H19" s="9">
        <f>IF($C19="","",N(IFERROR(INDEX(Catalogo!$F$6:$F$125,MATCH($C19,Catalogo!$C$6:$C$125,0)),"")))</f>
        <v>2</v>
      </c>
      <c r="I19" s="9" t="str">
        <f>IF($AD19&lt;&gt;"Patch panel cobre","",IFERROR(INDEX(Catalogo!$G$6:$G$125,MATCH($C19,Catalogo!$C$6:$C$125,0)),""))</f>
        <v/>
      </c>
      <c r="J19" s="9">
        <f>IF(OR($C19="",$H19=0),"",$AR$5-SUM($H$13:H18))</f>
        <v>6</v>
      </c>
      <c r="K19" s="9">
        <f t="shared" si="0"/>
        <v>5</v>
      </c>
      <c r="L19" s="9" t="str">
        <f t="shared" si="1"/>
        <v/>
      </c>
      <c r="M19" s="6"/>
      <c r="N19" s="6"/>
      <c r="O19" s="12" t="str">
        <f t="shared" si="2"/>
        <v/>
      </c>
      <c r="P19" s="37" t="s">
        <v>421</v>
      </c>
      <c r="Q19" s="39"/>
      <c r="R19" s="40"/>
      <c r="S19" s="13">
        <v>39</v>
      </c>
      <c r="T19" s="49" t="str">
        <f>IF($AM19=0,"",IF(INDEX($J$13:$J$42,$AM19)=39,INDEX($AH$13:$AH$42,$AM19),""))</f>
        <v/>
      </c>
      <c r="U19" s="38"/>
      <c r="V19" s="39"/>
      <c r="W19" s="13">
        <v>39</v>
      </c>
      <c r="X19" s="40"/>
      <c r="AD19" t="str">
        <f>IF($C19="","",IFERROR(INDEX(Catalogo!$B$6:$B$125,MATCH($C19,Catalogo!$C$6:$C$125,0)),""))</f>
        <v>UPS</v>
      </c>
      <c r="AE19" t="str">
        <f>IF($AD19="Patch panel cobre",COUNTIF($AD$13:$AD19,"Patch panel cobre"),"")</f>
        <v/>
      </c>
      <c r="AH19" t="str">
        <f t="shared" si="3"/>
        <v>UPS rack 2RU 1500 VA</v>
      </c>
      <c r="AM19">
        <f>IFERROR(MATCH(1,INDEX(($K$13:$K$42&lt;=39)*($J$13:$J$42&gt;=39),0),0),0)</f>
        <v>0</v>
      </c>
      <c r="AN19" t="str">
        <f>IF(39&gt;$AR$5,"Fuera",IF($AM19=0,"",INDEX($AD$13:$AD$42,$AM19)))</f>
        <v>Fuera</v>
      </c>
      <c r="AQ19">
        <f>IF(OR(Proyecto!$C19="",Proyecto!$C19="-"),0,COUNTIF($CA$72:$CA$95,Proyecto!$C19)+COUNTIF($CB$72:$CB$95,Proyecto!$C19)+COUNTIF($CC$72:$CC$95,Proyecto!$C19)+COUNTIF($CD$72:$CD$95,Proyecto!$C19)+COUNTIF($CA$100:$CA$123,Proyecto!$C19)+COUNTIF($CB$100:$CB$123,Proyecto!$C19)+COUNTIF($CC$100:$CC$123,Proyecto!$C19)+COUNTIF($CD$100:$CD$123,Proyecto!$C19)+COUNTIF($CA$128:$CA$151,Proyecto!$C19)+COUNTIF($CB$128:$CB$151,Proyecto!$C19)+COUNTIF($CC$128:$CC$151,Proyecto!$C19)+COUNTIF($CD$128:$CD$151,Proyecto!$C19)+COUNTIF($CA$156:$CA$179,Proyecto!$C19)+COUNTIF($CB$156:$CB$179,Proyecto!$C19)+COUNTIF($CC$156:$CC$179,Proyecto!$C19)+COUNTIF($CD$156:$CD$179,Proyecto!$C19))</f>
        <v>0</v>
      </c>
      <c r="BA19">
        <f>IF(OR(Catalogo!$C19="",Catalogo!$B19="Espacio libre",Catalogo!$B19="Espacio reservado"),0,COUNTIF($C$13:$C$42,Catalogo!$C19)+IF($E$7=Catalogo!$C19,N($K$7),0)+IF($E$8=Catalogo!$C19,N($N$8),0)+IF(Proyecto!$D$12=Catalogo!$C19,$AQ$4,0)+SUMIF($C$49:$C$58,Catalogo!$C19,$K$49:$K$58))</f>
        <v>0</v>
      </c>
      <c r="BD19" t="str">
        <f>IFERROR(MATCH(7,$AE$13:$AE$42,0),"")</f>
        <v/>
      </c>
      <c r="BE19" t="str">
        <f t="shared" si="4"/>
        <v/>
      </c>
      <c r="BF19">
        <f t="shared" si="5"/>
        <v>0</v>
      </c>
      <c r="BG19">
        <f t="shared" si="6"/>
        <v>0</v>
      </c>
      <c r="BH19">
        <f>SUM($BG$13:$BG18)</f>
        <v>1</v>
      </c>
      <c r="BI19" t="str">
        <f t="shared" si="7"/>
        <v/>
      </c>
      <c r="BJ19" cm="1">
        <f t="array" ref="BJ19">IF($BD19="",0,IF(ISNUMBER(SEARCH(":",$BI19)),MIN($BF19,SUM(--MID(_xlfn.TEXTSPLIT($BI19,","),FIND(":",_xlfn.TEXTSPLIT($BI19,","))+1,9))),IF(INDEX($N$13:$N$42,$BD19)="",$BF19,MIN($BF19,N(INDEX($N$13:$N$42,$BD19))))))</f>
        <v>0</v>
      </c>
      <c r="BL19" t="str">
        <f>IF(7&gt;$BK$12,"",MATCH(6,$BH$13:$BH$28,1))</f>
        <v/>
      </c>
      <c r="BM19">
        <f>IF($BL19="",0,(6-INDEX($BH$13:$BH$28,$BL19))*24)</f>
        <v>0</v>
      </c>
      <c r="BN19" t="str">
        <f t="shared" si="8"/>
        <v/>
      </c>
      <c r="BO19">
        <f t="shared" si="9"/>
        <v>0</v>
      </c>
      <c r="BP19" t="str">
        <f t="shared" si="10"/>
        <v/>
      </c>
      <c r="BQ19">
        <f t="shared" si="11"/>
        <v>0</v>
      </c>
      <c r="BR19">
        <f>COUNTIF($CC$100:$CC$123,"?*")</f>
        <v>0</v>
      </c>
      <c r="BS19">
        <f>SUMIF($BL$13:$BL$28,7,$BR$13:$BR$28)</f>
        <v>0</v>
      </c>
      <c r="CL19">
        <f>IF($C19="",0,N(IFERROR(INDEX(Catalogo!$N$6:$N$125,MATCH($C19,Catalogo!$C$6:$C$125,0)),0)))</f>
        <v>60</v>
      </c>
      <c r="CM19">
        <f>IF($C19="",0,N(IFERROR(INDEX(Catalogo!$P$6:$P$125,MATCH($C19,Catalogo!$C$6:$C$125,0)),0)))</f>
        <v>25</v>
      </c>
      <c r="CN19">
        <f>IF($C19="",0,N(IFERROR(INDEX(Catalogo!$Q$6:$Q$125,MATCH($C19,Catalogo!$C$6:$C$125,0)),0)))</f>
        <v>1200</v>
      </c>
      <c r="CO19">
        <f>IF($C19="",0,IF(OR($AD19="Espacio libre",$AD19="Espacio reservado"),0,IF(IFERROR(INDEX(Catalogo!$N$6:$N$125,MATCH($C19,Catalogo!$C$6:$C$125,0))="",TRUE),1,0)))</f>
        <v>0</v>
      </c>
    </row>
    <row r="20" spans="2:93" ht="14" customHeight="1" x14ac:dyDescent="0.45">
      <c r="B20" s="9">
        <v>8</v>
      </c>
      <c r="C20" s="47" t="s">
        <v>360</v>
      </c>
      <c r="D20" s="38"/>
      <c r="E20" s="39"/>
      <c r="F20" s="48" t="str">
        <f>IF($C20="","",IFERROR(INDEX(Catalogo!$E$6:$E$125,MATCH($C20,Catalogo!$C$6:$C$125,0)),""))</f>
        <v>RGRB19Y</v>
      </c>
      <c r="G20" s="39"/>
      <c r="H20" s="9">
        <f>IF($C20="","",N(IFERROR(INDEX(Catalogo!$F$6:$F$125,MATCH($C20,Catalogo!$C$6:$C$125,0)),"")))</f>
        <v>1</v>
      </c>
      <c r="I20" s="9" t="str">
        <f>IF($AD20&lt;&gt;"Patch panel cobre","",IFERROR(INDEX(Catalogo!$G$6:$G$125,MATCH($C20,Catalogo!$C$6:$C$125,0)),""))</f>
        <v/>
      </c>
      <c r="J20" s="9">
        <f>IF(OR($C20="",$H20=0),"",$AR$5-SUM($H$13:H19))</f>
        <v>4</v>
      </c>
      <c r="K20" s="9">
        <f t="shared" si="0"/>
        <v>4</v>
      </c>
      <c r="L20" s="9" t="str">
        <f t="shared" si="1"/>
        <v/>
      </c>
      <c r="M20" s="6"/>
      <c r="N20" s="6"/>
      <c r="O20" s="12" t="str">
        <f t="shared" si="2"/>
        <v/>
      </c>
      <c r="P20" s="37" t="s">
        <v>397</v>
      </c>
      <c r="Q20" s="39"/>
      <c r="R20" s="40"/>
      <c r="S20" s="13">
        <v>38</v>
      </c>
      <c r="T20" s="49" t="str">
        <f>IF($AM20=0,"",IF(INDEX($J$13:$J$42,$AM20)=38,INDEX($AH$13:$AH$42,$AM20),""))</f>
        <v/>
      </c>
      <c r="U20" s="38"/>
      <c r="V20" s="39"/>
      <c r="W20" s="13">
        <v>38</v>
      </c>
      <c r="X20" s="40"/>
      <c r="AD20" t="str">
        <f>IF($C20="","",IFERROR(INDEX(Catalogo!$B$6:$B$125,MATCH($C20,Catalogo!$C$6:$C$125,0)),""))</f>
        <v>Puesta a tierra</v>
      </c>
      <c r="AE20" t="str">
        <f>IF($AD20="Patch panel cobre",COUNTIF($AD$13:$AD20,"Patch panel cobre"),"")</f>
        <v/>
      </c>
      <c r="AH20" t="str">
        <f t="shared" si="3"/>
        <v>Barra de tierra para rack 19"</v>
      </c>
      <c r="AM20">
        <f>IFERROR(MATCH(1,INDEX(($K$13:$K$42&lt;=38)*($J$13:$J$42&gt;=38),0),0),0)</f>
        <v>0</v>
      </c>
      <c r="AN20" t="str">
        <f>IF(38&gt;$AR$5,"Fuera",IF($AM20=0,"",INDEX($AD$13:$AD$42,$AM20)))</f>
        <v>Fuera</v>
      </c>
      <c r="AQ20">
        <f>IF(OR(Proyecto!$C20="",Proyecto!$C20="-"),0,COUNTIF($CA$72:$CA$95,Proyecto!$C20)+COUNTIF($CB$72:$CB$95,Proyecto!$C20)+COUNTIF($CC$72:$CC$95,Proyecto!$C20)+COUNTIF($CD$72:$CD$95,Proyecto!$C20)+COUNTIF($CA$100:$CA$123,Proyecto!$C20)+COUNTIF($CB$100:$CB$123,Proyecto!$C20)+COUNTIF($CC$100:$CC$123,Proyecto!$C20)+COUNTIF($CD$100:$CD$123,Proyecto!$C20)+COUNTIF($CA$128:$CA$151,Proyecto!$C20)+COUNTIF($CB$128:$CB$151,Proyecto!$C20)+COUNTIF($CC$128:$CC$151,Proyecto!$C20)+COUNTIF($CD$128:$CD$151,Proyecto!$C20)+COUNTIF($CA$156:$CA$179,Proyecto!$C20)+COUNTIF($CB$156:$CB$179,Proyecto!$C20)+COUNTIF($CC$156:$CC$179,Proyecto!$C20)+COUNTIF($CD$156:$CD$179,Proyecto!$C20))</f>
        <v>0</v>
      </c>
      <c r="BA20">
        <f>IF(OR(Catalogo!$C20="",Catalogo!$B20="Espacio libre",Catalogo!$B20="Espacio reservado"),0,COUNTIF($C$13:$C$42,Catalogo!$C20)+IF($E$7=Catalogo!$C20,N($K$7),0)+IF($E$8=Catalogo!$C20,N($N$8),0)+IF(Proyecto!$D$12=Catalogo!$C20,$AQ$4,0)+SUMIF($C$49:$C$58,Catalogo!$C20,$K$49:$K$58))</f>
        <v>0</v>
      </c>
      <c r="BD20" t="str">
        <f>IFERROR(MATCH(8,$AE$13:$AE$42,0),"")</f>
        <v/>
      </c>
      <c r="BE20" t="str">
        <f t="shared" si="4"/>
        <v/>
      </c>
      <c r="BF20">
        <f t="shared" si="5"/>
        <v>0</v>
      </c>
      <c r="BG20">
        <f t="shared" si="6"/>
        <v>0</v>
      </c>
      <c r="BH20">
        <f>SUM($BG$13:$BG19)</f>
        <v>1</v>
      </c>
      <c r="BI20" t="str">
        <f t="shared" si="7"/>
        <v/>
      </c>
      <c r="BJ20" cm="1">
        <f t="array" ref="BJ20">IF($BD20="",0,IF(ISNUMBER(SEARCH(":",$BI20)),MIN($BF20,SUM(--MID(_xlfn.TEXTSPLIT($BI20,","),FIND(":",_xlfn.TEXTSPLIT($BI20,","))+1,9))),IF(INDEX($N$13:$N$42,$BD20)="",$BF20,MIN($BF20,N(INDEX($N$13:$N$42,$BD20))))))</f>
        <v>0</v>
      </c>
      <c r="BL20" t="str">
        <f>IF(8&gt;$BK$12,"",MATCH(7,$BH$13:$BH$28,1))</f>
        <v/>
      </c>
      <c r="BM20">
        <f>IF($BL20="",0,(7-INDEX($BH$13:$BH$28,$BL20))*24)</f>
        <v>0</v>
      </c>
      <c r="BN20" t="str">
        <f t="shared" si="8"/>
        <v/>
      </c>
      <c r="BO20">
        <f t="shared" si="9"/>
        <v>0</v>
      </c>
      <c r="BP20" t="str">
        <f t="shared" si="10"/>
        <v/>
      </c>
      <c r="BQ20">
        <f t="shared" si="11"/>
        <v>0</v>
      </c>
      <c r="BR20">
        <f>COUNTIF($CD$100:$CD$123,"?*")</f>
        <v>0</v>
      </c>
      <c r="BS20">
        <f>SUMIF($BL$13:$BL$28,8,$BR$13:$BR$28)</f>
        <v>0</v>
      </c>
      <c r="CL20">
        <f>IF($C20="",0,N(IFERROR(INDEX(Catalogo!$N$6:$N$125,MATCH($C20,Catalogo!$C$6:$C$125,0)),0)))</f>
        <v>0</v>
      </c>
      <c r="CM20">
        <f>IF($C20="",0,N(IFERROR(INDEX(Catalogo!$P$6:$P$125,MATCH($C20,Catalogo!$C$6:$C$125,0)),0)))</f>
        <v>1</v>
      </c>
      <c r="CN20">
        <f>IF($C20="",0,N(IFERROR(INDEX(Catalogo!$Q$6:$Q$125,MATCH($C20,Catalogo!$C$6:$C$125,0)),0)))</f>
        <v>0</v>
      </c>
      <c r="CO20">
        <f>IF($C20="",0,IF(OR($AD20="Espacio libre",$AD20="Espacio reservado"),0,IF(IFERROR(INDEX(Catalogo!$N$6:$N$125,MATCH($C20,Catalogo!$C$6:$C$125,0))="",TRUE),1,0)))</f>
        <v>0</v>
      </c>
    </row>
    <row r="21" spans="2:93" ht="14" customHeight="1" x14ac:dyDescent="0.45">
      <c r="B21" s="9">
        <v>9</v>
      </c>
      <c r="C21" s="47"/>
      <c r="D21" s="38"/>
      <c r="E21" s="39"/>
      <c r="F21" s="48" t="str">
        <f>IF($C21="","",IFERROR(INDEX(Catalogo!$E$6:$E$125,MATCH($C21,Catalogo!$C$6:$C$125,0)),""))</f>
        <v/>
      </c>
      <c r="G21" s="39"/>
      <c r="H21" s="9" t="str">
        <f>IF($C21="","",N(IFERROR(INDEX(Catalogo!$F$6:$F$125,MATCH($C21,Catalogo!$C$6:$C$125,0)),"")))</f>
        <v/>
      </c>
      <c r="I21" s="9" t="str">
        <f>IF($AD21&lt;&gt;"Patch panel cobre","",IFERROR(INDEX(Catalogo!$G$6:$G$125,MATCH($C21,Catalogo!$C$6:$C$125,0)),""))</f>
        <v/>
      </c>
      <c r="J21" s="9" t="str">
        <f>IF(OR($C21="",$H21=0),"",$AR$5-SUM($H$13:H20))</f>
        <v/>
      </c>
      <c r="K21" s="9" t="str">
        <f t="shared" si="0"/>
        <v/>
      </c>
      <c r="L21" s="9" t="str">
        <f t="shared" si="1"/>
        <v/>
      </c>
      <c r="M21" s="6"/>
      <c r="N21" s="6"/>
      <c r="O21" s="12" t="str">
        <f t="shared" si="2"/>
        <v/>
      </c>
      <c r="P21" s="37"/>
      <c r="Q21" s="39"/>
      <c r="R21" s="40"/>
      <c r="S21" s="13">
        <v>37</v>
      </c>
      <c r="T21" s="49" t="str">
        <f>IF($AM21=0,"",IF(INDEX($J$13:$J$42,$AM21)=37,INDEX($AH$13:$AH$42,$AM21),""))</f>
        <v/>
      </c>
      <c r="U21" s="38"/>
      <c r="V21" s="39"/>
      <c r="W21" s="13">
        <v>37</v>
      </c>
      <c r="X21" s="40"/>
      <c r="AD21" t="str">
        <f>IF($C21="","",IFERROR(INDEX(Catalogo!$B$6:$B$125,MATCH($C21,Catalogo!$C$6:$C$125,0)),""))</f>
        <v/>
      </c>
      <c r="AE21" t="str">
        <f>IF($AD21="Patch panel cobre",COUNTIF($AD$13:$AD21,"Patch panel cobre"),"")</f>
        <v/>
      </c>
      <c r="AH21" t="str">
        <f t="shared" si="3"/>
        <v/>
      </c>
      <c r="AM21">
        <f>IFERROR(MATCH(1,INDEX(($K$13:$K$42&lt;=37)*($J$13:$J$42&gt;=37),0),0),0)</f>
        <v>0</v>
      </c>
      <c r="AN21" t="str">
        <f>IF(37&gt;$AR$5,"Fuera",IF($AM21=0,"",INDEX($AD$13:$AD$42,$AM21)))</f>
        <v>Fuera</v>
      </c>
      <c r="AQ21">
        <f>IF(OR(Proyecto!$C21="",Proyecto!$C21="-"),0,COUNTIF($CA$72:$CA$95,Proyecto!$C21)+COUNTIF($CB$72:$CB$95,Proyecto!$C21)+COUNTIF($CC$72:$CC$95,Proyecto!$C21)+COUNTIF($CD$72:$CD$95,Proyecto!$C21)+COUNTIF($CA$100:$CA$123,Proyecto!$C21)+COUNTIF($CB$100:$CB$123,Proyecto!$C21)+COUNTIF($CC$100:$CC$123,Proyecto!$C21)+COUNTIF($CD$100:$CD$123,Proyecto!$C21)+COUNTIF($CA$128:$CA$151,Proyecto!$C21)+COUNTIF($CB$128:$CB$151,Proyecto!$C21)+COUNTIF($CC$128:$CC$151,Proyecto!$C21)+COUNTIF($CD$128:$CD$151,Proyecto!$C21)+COUNTIF($CA$156:$CA$179,Proyecto!$C21)+COUNTIF($CB$156:$CB$179,Proyecto!$C21)+COUNTIF($CC$156:$CC$179,Proyecto!$C21)+COUNTIF($CD$156:$CD$179,Proyecto!$C21))</f>
        <v>0</v>
      </c>
      <c r="BA21">
        <f>IF(OR(Catalogo!$C21="",Catalogo!$B21="Espacio libre",Catalogo!$B21="Espacio reservado"),0,COUNTIF($C$13:$C$42,Catalogo!$C21)+IF($E$7=Catalogo!$C21,N($K$7),0)+IF($E$8=Catalogo!$C21,N($N$8),0)+IF(Proyecto!$D$12=Catalogo!$C21,$AQ$4,0)+SUMIF($C$49:$C$58,Catalogo!$C21,$K$49:$K$58))</f>
        <v>0</v>
      </c>
      <c r="BD21" t="str">
        <f>IFERROR(MATCH(9,$AE$13:$AE$42,0),"")</f>
        <v/>
      </c>
      <c r="BE21" t="str">
        <f t="shared" si="4"/>
        <v/>
      </c>
      <c r="BF21">
        <f t="shared" si="5"/>
        <v>0</v>
      </c>
      <c r="BG21">
        <f t="shared" si="6"/>
        <v>0</v>
      </c>
      <c r="BH21">
        <f>SUM($BG$13:$BG20)</f>
        <v>1</v>
      </c>
      <c r="BI21" t="str">
        <f t="shared" si="7"/>
        <v/>
      </c>
      <c r="BJ21" cm="1">
        <f t="array" ref="BJ21">IF($BD21="",0,IF(ISNUMBER(SEARCH(":",$BI21)),MIN($BF21,SUM(--MID(_xlfn.TEXTSPLIT($BI21,","),FIND(":",_xlfn.TEXTSPLIT($BI21,","))+1,9))),IF(INDEX($N$13:$N$42,$BD21)="",$BF21,MIN($BF21,N(INDEX($N$13:$N$42,$BD21))))))</f>
        <v>0</v>
      </c>
      <c r="BL21" t="str">
        <f>IF(9&gt;$BK$12,"",MATCH(8,$BH$13:$BH$28,1))</f>
        <v/>
      </c>
      <c r="BM21">
        <f>IF($BL21="",0,(8-INDEX($BH$13:$BH$28,$BL21))*24)</f>
        <v>0</v>
      </c>
      <c r="BN21" t="str">
        <f t="shared" si="8"/>
        <v/>
      </c>
      <c r="BO21">
        <f t="shared" si="9"/>
        <v>0</v>
      </c>
      <c r="BP21" t="str">
        <f t="shared" si="10"/>
        <v/>
      </c>
      <c r="BQ21">
        <f t="shared" si="11"/>
        <v>0</v>
      </c>
      <c r="BR21">
        <f>COUNTIF($CA$128:$CA$151,"?*")</f>
        <v>0</v>
      </c>
      <c r="BS21">
        <f>SUMIF($BL$13:$BL$28,9,$BR$13:$BR$28)</f>
        <v>0</v>
      </c>
      <c r="CL21">
        <f>IF($C21="",0,N(IFERROR(INDEX(Catalogo!$N$6:$N$125,MATCH($C21,Catalogo!$C$6:$C$125,0)),0)))</f>
        <v>0</v>
      </c>
      <c r="CM21">
        <f>IF($C21="",0,N(IFERROR(INDEX(Catalogo!$P$6:$P$125,MATCH($C21,Catalogo!$C$6:$C$125,0)),0)))</f>
        <v>0</v>
      </c>
      <c r="CN21">
        <f>IF($C21="",0,N(IFERROR(INDEX(Catalogo!$Q$6:$Q$125,MATCH($C21,Catalogo!$C$6:$C$125,0)),0)))</f>
        <v>0</v>
      </c>
      <c r="CO21">
        <f>IF($C21="",0,IF(OR($AD21="Espacio libre",$AD21="Espacio reservado"),0,IF(IFERROR(INDEX(Catalogo!$N$6:$N$125,MATCH($C21,Catalogo!$C$6:$C$125,0))="",TRUE),1,0)))</f>
        <v>0</v>
      </c>
    </row>
    <row r="22" spans="2:93" ht="14" customHeight="1" x14ac:dyDescent="0.45">
      <c r="B22" s="9">
        <v>10</v>
      </c>
      <c r="C22" s="47"/>
      <c r="D22" s="38"/>
      <c r="E22" s="39"/>
      <c r="F22" s="48" t="str">
        <f>IF($C22="","",IFERROR(INDEX(Catalogo!$E$6:$E$125,MATCH($C22,Catalogo!$C$6:$C$125,0)),""))</f>
        <v/>
      </c>
      <c r="G22" s="39"/>
      <c r="H22" s="9" t="str">
        <f>IF($C22="","",N(IFERROR(INDEX(Catalogo!$F$6:$F$125,MATCH($C22,Catalogo!$C$6:$C$125,0)),"")))</f>
        <v/>
      </c>
      <c r="I22" s="9" t="str">
        <f>IF($AD22&lt;&gt;"Patch panel cobre","",IFERROR(INDEX(Catalogo!$G$6:$G$125,MATCH($C22,Catalogo!$C$6:$C$125,0)),""))</f>
        <v/>
      </c>
      <c r="J22" s="9" t="str">
        <f>IF(OR($C22="",$H22=0),"",$AR$5-SUM($H$13:H21))</f>
        <v/>
      </c>
      <c r="K22" s="9" t="str">
        <f t="shared" si="0"/>
        <v/>
      </c>
      <c r="L22" s="9" t="str">
        <f t="shared" si="1"/>
        <v/>
      </c>
      <c r="M22" s="6"/>
      <c r="N22" s="6"/>
      <c r="O22" s="12" t="str">
        <f t="shared" si="2"/>
        <v/>
      </c>
      <c r="P22" s="37"/>
      <c r="Q22" s="39"/>
      <c r="R22" s="40"/>
      <c r="S22" s="13">
        <v>36</v>
      </c>
      <c r="T22" s="49" t="str">
        <f>IF($AM22=0,"",IF(INDEX($J$13:$J$42,$AM22)=36,INDEX($AH$13:$AH$42,$AM22),""))</f>
        <v/>
      </c>
      <c r="U22" s="38"/>
      <c r="V22" s="39"/>
      <c r="W22" s="13">
        <v>36</v>
      </c>
      <c r="X22" s="40"/>
      <c r="AD22" t="str">
        <f>IF($C22="","",IFERROR(INDEX(Catalogo!$B$6:$B$125,MATCH($C22,Catalogo!$C$6:$C$125,0)),""))</f>
        <v/>
      </c>
      <c r="AE22" t="str">
        <f>IF($AD22="Patch panel cobre",COUNTIF($AD$13:$AD22,"Patch panel cobre"),"")</f>
        <v/>
      </c>
      <c r="AH22" t="str">
        <f t="shared" si="3"/>
        <v/>
      </c>
      <c r="AM22">
        <f>IFERROR(MATCH(1,INDEX(($K$13:$K$42&lt;=36)*($J$13:$J$42&gt;=36),0),0),0)</f>
        <v>0</v>
      </c>
      <c r="AN22" t="str">
        <f>IF(36&gt;$AR$5,"Fuera",IF($AM22=0,"",INDEX($AD$13:$AD$42,$AM22)))</f>
        <v>Fuera</v>
      </c>
      <c r="AQ22">
        <f>IF(OR(Proyecto!$C22="",Proyecto!$C22="-"),0,COUNTIF($CA$72:$CA$95,Proyecto!$C22)+COUNTIF($CB$72:$CB$95,Proyecto!$C22)+COUNTIF($CC$72:$CC$95,Proyecto!$C22)+COUNTIF($CD$72:$CD$95,Proyecto!$C22)+COUNTIF($CA$100:$CA$123,Proyecto!$C22)+COUNTIF($CB$100:$CB$123,Proyecto!$C22)+COUNTIF($CC$100:$CC$123,Proyecto!$C22)+COUNTIF($CD$100:$CD$123,Proyecto!$C22)+COUNTIF($CA$128:$CA$151,Proyecto!$C22)+COUNTIF($CB$128:$CB$151,Proyecto!$C22)+COUNTIF($CC$128:$CC$151,Proyecto!$C22)+COUNTIF($CD$128:$CD$151,Proyecto!$C22)+COUNTIF($CA$156:$CA$179,Proyecto!$C22)+COUNTIF($CB$156:$CB$179,Proyecto!$C22)+COUNTIF($CC$156:$CC$179,Proyecto!$C22)+COUNTIF($CD$156:$CD$179,Proyecto!$C22))</f>
        <v>0</v>
      </c>
      <c r="BA22">
        <f>IF(OR(Catalogo!$C22="",Catalogo!$B22="Espacio libre",Catalogo!$B22="Espacio reservado"),0,COUNTIF($C$13:$C$42,Catalogo!$C22)+IF($E$7=Catalogo!$C22,N($K$7),0)+IF($E$8=Catalogo!$C22,N($N$8),0)+IF(Proyecto!$D$12=Catalogo!$C22,$AQ$4,0)+SUMIF($C$49:$C$58,Catalogo!$C22,$K$49:$K$58))</f>
        <v>1</v>
      </c>
      <c r="BD22" t="str">
        <f>IFERROR(MATCH(10,$AE$13:$AE$42,0),"")</f>
        <v/>
      </c>
      <c r="BE22" t="str">
        <f t="shared" si="4"/>
        <v/>
      </c>
      <c r="BF22">
        <f t="shared" si="5"/>
        <v>0</v>
      </c>
      <c r="BG22">
        <f t="shared" si="6"/>
        <v>0</v>
      </c>
      <c r="BH22">
        <f>SUM($BG$13:$BG21)</f>
        <v>1</v>
      </c>
      <c r="BI22" t="str">
        <f t="shared" si="7"/>
        <v/>
      </c>
      <c r="BJ22" cm="1">
        <f t="array" ref="BJ22">IF($BD22="",0,IF(ISNUMBER(SEARCH(":",$BI22)),MIN($BF22,SUM(--MID(_xlfn.TEXTSPLIT($BI22,","),FIND(":",_xlfn.TEXTSPLIT($BI22,","))+1,9))),IF(INDEX($N$13:$N$42,$BD22)="",$BF22,MIN($BF22,N(INDEX($N$13:$N$42,$BD22))))))</f>
        <v>0</v>
      </c>
      <c r="BL22" t="str">
        <f>IF(10&gt;$BK$12,"",MATCH(9,$BH$13:$BH$28,1))</f>
        <v/>
      </c>
      <c r="BM22">
        <f>IF($BL22="",0,(9-INDEX($BH$13:$BH$28,$BL22))*24)</f>
        <v>0</v>
      </c>
      <c r="BN22" t="str">
        <f t="shared" si="8"/>
        <v/>
      </c>
      <c r="BO22">
        <f t="shared" si="9"/>
        <v>0</v>
      </c>
      <c r="BP22" t="str">
        <f t="shared" si="10"/>
        <v/>
      </c>
      <c r="BQ22">
        <f t="shared" si="11"/>
        <v>0</v>
      </c>
      <c r="BR22">
        <f>COUNTIF($CB$128:$CB$151,"?*")</f>
        <v>0</v>
      </c>
      <c r="BS22">
        <f>SUMIF($BL$13:$BL$28,10,$BR$13:$BR$28)</f>
        <v>0</v>
      </c>
      <c r="CL22">
        <f>IF($C22="",0,N(IFERROR(INDEX(Catalogo!$N$6:$N$125,MATCH($C22,Catalogo!$C$6:$C$125,0)),0)))</f>
        <v>0</v>
      </c>
      <c r="CM22">
        <f>IF($C22="",0,N(IFERROR(INDEX(Catalogo!$P$6:$P$125,MATCH($C22,Catalogo!$C$6:$C$125,0)),0)))</f>
        <v>0</v>
      </c>
      <c r="CN22">
        <f>IF($C22="",0,N(IFERROR(INDEX(Catalogo!$Q$6:$Q$125,MATCH($C22,Catalogo!$C$6:$C$125,0)),0)))</f>
        <v>0</v>
      </c>
      <c r="CO22">
        <f>IF($C22="",0,IF(OR($AD22="Espacio libre",$AD22="Espacio reservado"),0,IF(IFERROR(INDEX(Catalogo!$N$6:$N$125,MATCH($C22,Catalogo!$C$6:$C$125,0))="",TRUE),1,0)))</f>
        <v>0</v>
      </c>
    </row>
    <row r="23" spans="2:93" ht="14" customHeight="1" x14ac:dyDescent="0.45">
      <c r="B23" s="9">
        <v>11</v>
      </c>
      <c r="C23" s="47"/>
      <c r="D23" s="38"/>
      <c r="E23" s="39"/>
      <c r="F23" s="48" t="str">
        <f>IF($C23="","",IFERROR(INDEX(Catalogo!$E$6:$E$125,MATCH($C23,Catalogo!$C$6:$C$125,0)),""))</f>
        <v/>
      </c>
      <c r="G23" s="39"/>
      <c r="H23" s="9" t="str">
        <f>IF($C23="","",N(IFERROR(INDEX(Catalogo!$F$6:$F$125,MATCH($C23,Catalogo!$C$6:$C$125,0)),"")))</f>
        <v/>
      </c>
      <c r="I23" s="9" t="str">
        <f>IF($AD23&lt;&gt;"Patch panel cobre","",IFERROR(INDEX(Catalogo!$G$6:$G$125,MATCH($C23,Catalogo!$C$6:$C$125,0)),""))</f>
        <v/>
      </c>
      <c r="J23" s="9" t="str">
        <f>IF(OR($C23="",$H23=0),"",$AR$5-SUM($H$13:H22))</f>
        <v/>
      </c>
      <c r="K23" s="9" t="str">
        <f t="shared" si="0"/>
        <v/>
      </c>
      <c r="L23" s="9" t="str">
        <f t="shared" si="1"/>
        <v/>
      </c>
      <c r="M23" s="6"/>
      <c r="N23" s="6"/>
      <c r="O23" s="12" t="str">
        <f t="shared" si="2"/>
        <v/>
      </c>
      <c r="P23" s="37"/>
      <c r="Q23" s="39"/>
      <c r="R23" s="40"/>
      <c r="S23" s="13">
        <v>35</v>
      </c>
      <c r="T23" s="49" t="str">
        <f>IF($AM23=0,"",IF(INDEX($J$13:$J$42,$AM23)=35,INDEX($AH$13:$AH$42,$AM23),""))</f>
        <v/>
      </c>
      <c r="U23" s="38"/>
      <c r="V23" s="39"/>
      <c r="W23" s="13">
        <v>35</v>
      </c>
      <c r="X23" s="40"/>
      <c r="AD23" t="str">
        <f>IF($C23="","",IFERROR(INDEX(Catalogo!$B$6:$B$125,MATCH($C23,Catalogo!$C$6:$C$125,0)),""))</f>
        <v/>
      </c>
      <c r="AE23" t="str">
        <f>IF($AD23="Patch panel cobre",COUNTIF($AD$13:$AD23,"Patch panel cobre"),"")</f>
        <v/>
      </c>
      <c r="AH23" t="str">
        <f t="shared" si="3"/>
        <v/>
      </c>
      <c r="AM23">
        <f>IFERROR(MATCH(1,INDEX(($K$13:$K$42&lt;=35)*($J$13:$J$42&gt;=35),0),0),0)</f>
        <v>0</v>
      </c>
      <c r="AN23" t="str">
        <f>IF(35&gt;$AR$5,"Fuera",IF($AM23=0,"",INDEX($AD$13:$AD$42,$AM23)))</f>
        <v>Fuera</v>
      </c>
      <c r="AQ23">
        <f>IF(OR(Proyecto!$C23="",Proyecto!$C23="-"),0,COUNTIF($CA$72:$CA$95,Proyecto!$C23)+COUNTIF($CB$72:$CB$95,Proyecto!$C23)+COUNTIF($CC$72:$CC$95,Proyecto!$C23)+COUNTIF($CD$72:$CD$95,Proyecto!$C23)+COUNTIF($CA$100:$CA$123,Proyecto!$C23)+COUNTIF($CB$100:$CB$123,Proyecto!$C23)+COUNTIF($CC$100:$CC$123,Proyecto!$C23)+COUNTIF($CD$100:$CD$123,Proyecto!$C23)+COUNTIF($CA$128:$CA$151,Proyecto!$C23)+COUNTIF($CB$128:$CB$151,Proyecto!$C23)+COUNTIF($CC$128:$CC$151,Proyecto!$C23)+COUNTIF($CD$128:$CD$151,Proyecto!$C23)+COUNTIF($CA$156:$CA$179,Proyecto!$C23)+COUNTIF($CB$156:$CB$179,Proyecto!$C23)+COUNTIF($CC$156:$CC$179,Proyecto!$C23)+COUNTIF($CD$156:$CD$179,Proyecto!$C23))</f>
        <v>0</v>
      </c>
      <c r="BA23">
        <f>IF(OR(Catalogo!$C23="",Catalogo!$B23="Espacio libre",Catalogo!$B23="Espacio reservado"),0,COUNTIF($C$13:$C$42,Catalogo!$C23)+IF($E$7=Catalogo!$C23,N($K$7),0)+IF($E$8=Catalogo!$C23,N($N$8),0)+IF(Proyecto!$D$12=Catalogo!$C23,$AQ$4,0)+SUMIF($C$49:$C$58,Catalogo!$C23,$K$49:$K$58))</f>
        <v>0</v>
      </c>
      <c r="BD23" t="str">
        <f>IFERROR(MATCH(11,$AE$13:$AE$42,0),"")</f>
        <v/>
      </c>
      <c r="BE23" t="str">
        <f t="shared" si="4"/>
        <v/>
      </c>
      <c r="BF23">
        <f t="shared" si="5"/>
        <v>0</v>
      </c>
      <c r="BG23">
        <f t="shared" si="6"/>
        <v>0</v>
      </c>
      <c r="BH23">
        <f>SUM($BG$13:$BG22)</f>
        <v>1</v>
      </c>
      <c r="BI23" t="str">
        <f t="shared" si="7"/>
        <v/>
      </c>
      <c r="BJ23" cm="1">
        <f t="array" ref="BJ23">IF($BD23="",0,IF(ISNUMBER(SEARCH(":",$BI23)),MIN($BF23,SUM(--MID(_xlfn.TEXTSPLIT($BI23,","),FIND(":",_xlfn.TEXTSPLIT($BI23,","))+1,9))),IF(INDEX($N$13:$N$42,$BD23)="",$BF23,MIN($BF23,N(INDEX($N$13:$N$42,$BD23))))))</f>
        <v>0</v>
      </c>
      <c r="BL23" t="str">
        <f>IF(11&gt;$BK$12,"",MATCH(10,$BH$13:$BH$28,1))</f>
        <v/>
      </c>
      <c r="BM23">
        <f>IF($BL23="",0,(10-INDEX($BH$13:$BH$28,$BL23))*24)</f>
        <v>0</v>
      </c>
      <c r="BN23" t="str">
        <f t="shared" si="8"/>
        <v/>
      </c>
      <c r="BO23">
        <f t="shared" si="9"/>
        <v>0</v>
      </c>
      <c r="BP23" t="str">
        <f t="shared" si="10"/>
        <v/>
      </c>
      <c r="BQ23">
        <f t="shared" si="11"/>
        <v>0</v>
      </c>
      <c r="BR23">
        <f>COUNTIF($CC$128:$CC$151,"?*")</f>
        <v>0</v>
      </c>
      <c r="BS23">
        <f>SUMIF($BL$13:$BL$28,11,$BR$13:$BR$28)</f>
        <v>0</v>
      </c>
      <c r="CL23">
        <f>IF($C23="",0,N(IFERROR(INDEX(Catalogo!$N$6:$N$125,MATCH($C23,Catalogo!$C$6:$C$125,0)),0)))</f>
        <v>0</v>
      </c>
      <c r="CM23">
        <f>IF($C23="",0,N(IFERROR(INDEX(Catalogo!$P$6:$P$125,MATCH($C23,Catalogo!$C$6:$C$125,0)),0)))</f>
        <v>0</v>
      </c>
      <c r="CN23">
        <f>IF($C23="",0,N(IFERROR(INDEX(Catalogo!$Q$6:$Q$125,MATCH($C23,Catalogo!$C$6:$C$125,0)),0)))</f>
        <v>0</v>
      </c>
      <c r="CO23">
        <f>IF($C23="",0,IF(OR($AD23="Espacio libre",$AD23="Espacio reservado"),0,IF(IFERROR(INDEX(Catalogo!$N$6:$N$125,MATCH($C23,Catalogo!$C$6:$C$125,0))="",TRUE),1,0)))</f>
        <v>0</v>
      </c>
    </row>
    <row r="24" spans="2:93" ht="14" customHeight="1" x14ac:dyDescent="0.45">
      <c r="B24" s="9">
        <v>12</v>
      </c>
      <c r="C24" s="47"/>
      <c r="D24" s="38"/>
      <c r="E24" s="39"/>
      <c r="F24" s="48" t="str">
        <f>IF($C24="","",IFERROR(INDEX(Catalogo!$E$6:$E$125,MATCH($C24,Catalogo!$C$6:$C$125,0)),""))</f>
        <v/>
      </c>
      <c r="G24" s="39"/>
      <c r="H24" s="9" t="str">
        <f>IF($C24="","",N(IFERROR(INDEX(Catalogo!$F$6:$F$125,MATCH($C24,Catalogo!$C$6:$C$125,0)),"")))</f>
        <v/>
      </c>
      <c r="I24" s="9" t="str">
        <f>IF($AD24&lt;&gt;"Patch panel cobre","",IFERROR(INDEX(Catalogo!$G$6:$G$125,MATCH($C24,Catalogo!$C$6:$C$125,0)),""))</f>
        <v/>
      </c>
      <c r="J24" s="9" t="str">
        <f>IF(OR($C24="",$H24=0),"",$AR$5-SUM($H$13:H23))</f>
        <v/>
      </c>
      <c r="K24" s="9" t="str">
        <f t="shared" si="0"/>
        <v/>
      </c>
      <c r="L24" s="9" t="str">
        <f t="shared" si="1"/>
        <v/>
      </c>
      <c r="M24" s="6"/>
      <c r="N24" s="6"/>
      <c r="O24" s="12" t="str">
        <f t="shared" si="2"/>
        <v/>
      </c>
      <c r="P24" s="37"/>
      <c r="Q24" s="39"/>
      <c r="R24" s="40"/>
      <c r="S24" s="13">
        <v>34</v>
      </c>
      <c r="T24" s="49" t="str">
        <f>IF($AM24=0,"",IF(INDEX($J$13:$J$42,$AM24)=34,INDEX($AH$13:$AH$42,$AM24),""))</f>
        <v/>
      </c>
      <c r="U24" s="38"/>
      <c r="V24" s="39"/>
      <c r="W24" s="13">
        <v>34</v>
      </c>
      <c r="X24" s="40"/>
      <c r="AD24" t="str">
        <f>IF($C24="","",IFERROR(INDEX(Catalogo!$B$6:$B$125,MATCH($C24,Catalogo!$C$6:$C$125,0)),""))</f>
        <v/>
      </c>
      <c r="AE24" t="str">
        <f>IF($AD24="Patch panel cobre",COUNTIF($AD$13:$AD24,"Patch panel cobre"),"")</f>
        <v/>
      </c>
      <c r="AH24" t="str">
        <f t="shared" si="3"/>
        <v/>
      </c>
      <c r="AM24">
        <f>IFERROR(MATCH(1,INDEX(($K$13:$K$42&lt;=34)*($J$13:$J$42&gt;=34),0),0),0)</f>
        <v>0</v>
      </c>
      <c r="AN24" t="str">
        <f>IF(34&gt;$AR$5,"Fuera",IF($AM24=0,"",INDEX($AD$13:$AD$42,$AM24)))</f>
        <v>Fuera</v>
      </c>
      <c r="AQ24">
        <f>IF(OR(Proyecto!$C24="",Proyecto!$C24="-"),0,COUNTIF($CA$72:$CA$95,Proyecto!$C24)+COUNTIF($CB$72:$CB$95,Proyecto!$C24)+COUNTIF($CC$72:$CC$95,Proyecto!$C24)+COUNTIF($CD$72:$CD$95,Proyecto!$C24)+COUNTIF($CA$100:$CA$123,Proyecto!$C24)+COUNTIF($CB$100:$CB$123,Proyecto!$C24)+COUNTIF($CC$100:$CC$123,Proyecto!$C24)+COUNTIF($CD$100:$CD$123,Proyecto!$C24)+COUNTIF($CA$128:$CA$151,Proyecto!$C24)+COUNTIF($CB$128:$CB$151,Proyecto!$C24)+COUNTIF($CC$128:$CC$151,Proyecto!$C24)+COUNTIF($CD$128:$CD$151,Proyecto!$C24)+COUNTIF($CA$156:$CA$179,Proyecto!$C24)+COUNTIF($CB$156:$CB$179,Proyecto!$C24)+COUNTIF($CC$156:$CC$179,Proyecto!$C24)+COUNTIF($CD$156:$CD$179,Proyecto!$C24))</f>
        <v>0</v>
      </c>
      <c r="BA24">
        <f>IF(OR(Catalogo!$C24="",Catalogo!$B24="Espacio libre",Catalogo!$B24="Espacio reservado"),0,COUNTIF($C$13:$C$42,Catalogo!$C24)+IF($E$7=Catalogo!$C24,N($K$7),0)+IF($E$8=Catalogo!$C24,N($N$8),0)+IF(Proyecto!$D$12=Catalogo!$C24,$AQ$4,0)+SUMIF($C$49:$C$58,Catalogo!$C24,$K$49:$K$58))</f>
        <v>0</v>
      </c>
      <c r="BD24" t="str">
        <f>IFERROR(MATCH(12,$AE$13:$AE$42,0),"")</f>
        <v/>
      </c>
      <c r="BE24" t="str">
        <f t="shared" si="4"/>
        <v/>
      </c>
      <c r="BF24">
        <f t="shared" si="5"/>
        <v>0</v>
      </c>
      <c r="BG24">
        <f t="shared" si="6"/>
        <v>0</v>
      </c>
      <c r="BH24">
        <f>SUM($BG$13:$BG23)</f>
        <v>1</v>
      </c>
      <c r="BI24" t="str">
        <f t="shared" si="7"/>
        <v/>
      </c>
      <c r="BJ24" cm="1">
        <f t="array" ref="BJ24">IF($BD24="",0,IF(ISNUMBER(SEARCH(":",$BI24)),MIN($BF24,SUM(--MID(_xlfn.TEXTSPLIT($BI24,","),FIND(":",_xlfn.TEXTSPLIT($BI24,","))+1,9))),IF(INDEX($N$13:$N$42,$BD24)="",$BF24,MIN($BF24,N(INDEX($N$13:$N$42,$BD24))))))</f>
        <v>0</v>
      </c>
      <c r="BL24" t="str">
        <f>IF(12&gt;$BK$12,"",MATCH(11,$BH$13:$BH$28,1))</f>
        <v/>
      </c>
      <c r="BM24">
        <f>IF($BL24="",0,(11-INDEX($BH$13:$BH$28,$BL24))*24)</f>
        <v>0</v>
      </c>
      <c r="BN24" t="str">
        <f t="shared" si="8"/>
        <v/>
      </c>
      <c r="BO24">
        <f t="shared" si="9"/>
        <v>0</v>
      </c>
      <c r="BP24" t="str">
        <f t="shared" si="10"/>
        <v/>
      </c>
      <c r="BQ24">
        <f t="shared" si="11"/>
        <v>0</v>
      </c>
      <c r="BR24">
        <f>COUNTIF($CD$128:$CD$151,"?*")</f>
        <v>0</v>
      </c>
      <c r="BS24">
        <f>SUMIF($BL$13:$BL$28,12,$BR$13:$BR$28)</f>
        <v>0</v>
      </c>
      <c r="CL24">
        <f>IF($C24="",0,N(IFERROR(INDEX(Catalogo!$N$6:$N$125,MATCH($C24,Catalogo!$C$6:$C$125,0)),0)))</f>
        <v>0</v>
      </c>
      <c r="CM24">
        <f>IF($C24="",0,N(IFERROR(INDEX(Catalogo!$P$6:$P$125,MATCH($C24,Catalogo!$C$6:$C$125,0)),0)))</f>
        <v>0</v>
      </c>
      <c r="CN24">
        <f>IF($C24="",0,N(IFERROR(INDEX(Catalogo!$Q$6:$Q$125,MATCH($C24,Catalogo!$C$6:$C$125,0)),0)))</f>
        <v>0</v>
      </c>
      <c r="CO24">
        <f>IF($C24="",0,IF(OR($AD24="Espacio libre",$AD24="Espacio reservado"),0,IF(IFERROR(INDEX(Catalogo!$N$6:$N$125,MATCH($C24,Catalogo!$C$6:$C$125,0))="",TRUE),1,0)))</f>
        <v>0</v>
      </c>
    </row>
    <row r="25" spans="2:93" ht="14" customHeight="1" x14ac:dyDescent="0.45">
      <c r="B25" s="9">
        <v>13</v>
      </c>
      <c r="C25" s="47"/>
      <c r="D25" s="38"/>
      <c r="E25" s="39"/>
      <c r="F25" s="48" t="str">
        <f>IF($C25="","",IFERROR(INDEX(Catalogo!$E$6:$E$125,MATCH($C25,Catalogo!$C$6:$C$125,0)),""))</f>
        <v/>
      </c>
      <c r="G25" s="39"/>
      <c r="H25" s="9" t="str">
        <f>IF($C25="","",N(IFERROR(INDEX(Catalogo!$F$6:$F$125,MATCH($C25,Catalogo!$C$6:$C$125,0)),"")))</f>
        <v/>
      </c>
      <c r="I25" s="9" t="str">
        <f>IF($AD25&lt;&gt;"Patch panel cobre","",IFERROR(INDEX(Catalogo!$G$6:$G$125,MATCH($C25,Catalogo!$C$6:$C$125,0)),""))</f>
        <v/>
      </c>
      <c r="J25" s="9" t="str">
        <f>IF(OR($C25="",$H25=0),"",$AR$5-SUM($H$13:H24))</f>
        <v/>
      </c>
      <c r="K25" s="9" t="str">
        <f t="shared" si="0"/>
        <v/>
      </c>
      <c r="L25" s="9" t="str">
        <f t="shared" si="1"/>
        <v/>
      </c>
      <c r="M25" s="6"/>
      <c r="N25" s="6"/>
      <c r="O25" s="12" t="str">
        <f t="shared" si="2"/>
        <v/>
      </c>
      <c r="P25" s="37"/>
      <c r="Q25" s="39"/>
      <c r="R25" s="40"/>
      <c r="S25" s="13">
        <v>33</v>
      </c>
      <c r="T25" s="49" t="str">
        <f>IF($AM25=0,"",IF(INDEX($J$13:$J$42,$AM25)=33,INDEX($AH$13:$AH$42,$AM25),""))</f>
        <v/>
      </c>
      <c r="U25" s="38"/>
      <c r="V25" s="39"/>
      <c r="W25" s="13">
        <v>33</v>
      </c>
      <c r="X25" s="40"/>
      <c r="AD25" t="str">
        <f>IF($C25="","",IFERROR(INDEX(Catalogo!$B$6:$B$125,MATCH($C25,Catalogo!$C$6:$C$125,0)),""))</f>
        <v/>
      </c>
      <c r="AE25" t="str">
        <f>IF($AD25="Patch panel cobre",COUNTIF($AD$13:$AD25,"Patch panel cobre"),"")</f>
        <v/>
      </c>
      <c r="AH25" t="str">
        <f t="shared" si="3"/>
        <v/>
      </c>
      <c r="AM25">
        <f>IFERROR(MATCH(1,INDEX(($K$13:$K$42&lt;=33)*($J$13:$J$42&gt;=33),0),0),0)</f>
        <v>0</v>
      </c>
      <c r="AN25" t="str">
        <f>IF(33&gt;$AR$5,"Fuera",IF($AM25=0,"",INDEX($AD$13:$AD$42,$AM25)))</f>
        <v>Fuera</v>
      </c>
      <c r="AQ25">
        <f>IF(OR(Proyecto!$C25="",Proyecto!$C25="-"),0,COUNTIF($CA$72:$CA$95,Proyecto!$C25)+COUNTIF($CB$72:$CB$95,Proyecto!$C25)+COUNTIF($CC$72:$CC$95,Proyecto!$C25)+COUNTIF($CD$72:$CD$95,Proyecto!$C25)+COUNTIF($CA$100:$CA$123,Proyecto!$C25)+COUNTIF($CB$100:$CB$123,Proyecto!$C25)+COUNTIF($CC$100:$CC$123,Proyecto!$C25)+COUNTIF($CD$100:$CD$123,Proyecto!$C25)+COUNTIF($CA$128:$CA$151,Proyecto!$C25)+COUNTIF($CB$128:$CB$151,Proyecto!$C25)+COUNTIF($CC$128:$CC$151,Proyecto!$C25)+COUNTIF($CD$128:$CD$151,Proyecto!$C25)+COUNTIF($CA$156:$CA$179,Proyecto!$C25)+COUNTIF($CB$156:$CB$179,Proyecto!$C25)+COUNTIF($CC$156:$CC$179,Proyecto!$C25)+COUNTIF($CD$156:$CD$179,Proyecto!$C25))</f>
        <v>0</v>
      </c>
      <c r="BA25">
        <f>IF(OR(Catalogo!$C25="",Catalogo!$B25="Espacio libre",Catalogo!$B25="Espacio reservado"),0,COUNTIF($C$13:$C$42,Catalogo!$C25)+IF($E$7=Catalogo!$C25,N($K$7),0)+IF($E$8=Catalogo!$C25,N($N$8),0)+IF(Proyecto!$D$12=Catalogo!$C25,$AQ$4,0)+SUMIF($C$49:$C$58,Catalogo!$C25,$K$49:$K$58))</f>
        <v>0</v>
      </c>
      <c r="BD25" t="str">
        <f>IFERROR(MATCH(13,$AE$13:$AE$42,0),"")</f>
        <v/>
      </c>
      <c r="BE25" t="str">
        <f t="shared" si="4"/>
        <v/>
      </c>
      <c r="BF25">
        <f t="shared" si="5"/>
        <v>0</v>
      </c>
      <c r="BG25">
        <f t="shared" si="6"/>
        <v>0</v>
      </c>
      <c r="BH25">
        <f>SUM($BG$13:$BG24)</f>
        <v>1</v>
      </c>
      <c r="BI25" t="str">
        <f t="shared" si="7"/>
        <v/>
      </c>
      <c r="BJ25" cm="1">
        <f t="array" ref="BJ25">IF($BD25="",0,IF(ISNUMBER(SEARCH(":",$BI25)),MIN($BF25,SUM(--MID(_xlfn.TEXTSPLIT($BI25,","),FIND(":",_xlfn.TEXTSPLIT($BI25,","))+1,9))),IF(INDEX($N$13:$N$42,$BD25)="",$BF25,MIN($BF25,N(INDEX($N$13:$N$42,$BD25))))))</f>
        <v>0</v>
      </c>
      <c r="BL25" t="str">
        <f>IF(13&gt;$BK$12,"",MATCH(12,$BH$13:$BH$28,1))</f>
        <v/>
      </c>
      <c r="BM25">
        <f>IF($BL25="",0,(12-INDEX($BH$13:$BH$28,$BL25))*24)</f>
        <v>0</v>
      </c>
      <c r="BN25" t="str">
        <f t="shared" si="8"/>
        <v/>
      </c>
      <c r="BO25">
        <f t="shared" si="9"/>
        <v>0</v>
      </c>
      <c r="BP25" t="str">
        <f t="shared" si="10"/>
        <v/>
      </c>
      <c r="BQ25">
        <f t="shared" si="11"/>
        <v>0</v>
      </c>
      <c r="BR25">
        <f>COUNTIF($CA$156:$CA$179,"?*")</f>
        <v>0</v>
      </c>
      <c r="BS25">
        <f>SUMIF($BL$13:$BL$28,13,$BR$13:$BR$28)</f>
        <v>0</v>
      </c>
      <c r="CL25">
        <f>IF($C25="",0,N(IFERROR(INDEX(Catalogo!$N$6:$N$125,MATCH($C25,Catalogo!$C$6:$C$125,0)),0)))</f>
        <v>0</v>
      </c>
      <c r="CM25">
        <f>IF($C25="",0,N(IFERROR(INDEX(Catalogo!$P$6:$P$125,MATCH($C25,Catalogo!$C$6:$C$125,0)),0)))</f>
        <v>0</v>
      </c>
      <c r="CN25">
        <f>IF($C25="",0,N(IFERROR(INDEX(Catalogo!$Q$6:$Q$125,MATCH($C25,Catalogo!$C$6:$C$125,0)),0)))</f>
        <v>0</v>
      </c>
      <c r="CO25">
        <f>IF($C25="",0,IF(OR($AD25="Espacio libre",$AD25="Espacio reservado"),0,IF(IFERROR(INDEX(Catalogo!$N$6:$N$125,MATCH($C25,Catalogo!$C$6:$C$125,0))="",TRUE),1,0)))</f>
        <v>0</v>
      </c>
    </row>
    <row r="26" spans="2:93" ht="14" customHeight="1" x14ac:dyDescent="0.45">
      <c r="B26" s="9">
        <v>14</v>
      </c>
      <c r="C26" s="47"/>
      <c r="D26" s="38"/>
      <c r="E26" s="39"/>
      <c r="F26" s="48" t="str">
        <f>IF($C26="","",IFERROR(INDEX(Catalogo!$E$6:$E$125,MATCH($C26,Catalogo!$C$6:$C$125,0)),""))</f>
        <v/>
      </c>
      <c r="G26" s="39"/>
      <c r="H26" s="9" t="str">
        <f>IF($C26="","",N(IFERROR(INDEX(Catalogo!$F$6:$F$125,MATCH($C26,Catalogo!$C$6:$C$125,0)),"")))</f>
        <v/>
      </c>
      <c r="I26" s="9" t="str">
        <f>IF($AD26&lt;&gt;"Patch panel cobre","",IFERROR(INDEX(Catalogo!$G$6:$G$125,MATCH($C26,Catalogo!$C$6:$C$125,0)),""))</f>
        <v/>
      </c>
      <c r="J26" s="9" t="str">
        <f>IF(OR($C26="",$H26=0),"",$AR$5-SUM($H$13:H25))</f>
        <v/>
      </c>
      <c r="K26" s="9" t="str">
        <f t="shared" si="0"/>
        <v/>
      </c>
      <c r="L26" s="9" t="str">
        <f t="shared" si="1"/>
        <v/>
      </c>
      <c r="M26" s="6"/>
      <c r="N26" s="6"/>
      <c r="O26" s="12" t="str">
        <f t="shared" si="2"/>
        <v/>
      </c>
      <c r="P26" s="37"/>
      <c r="Q26" s="39"/>
      <c r="R26" s="40"/>
      <c r="S26" s="13">
        <v>32</v>
      </c>
      <c r="T26" s="49" t="str">
        <f>IF($AM26=0,"",IF(INDEX($J$13:$J$42,$AM26)=32,INDEX($AH$13:$AH$42,$AM26),""))</f>
        <v/>
      </c>
      <c r="U26" s="38"/>
      <c r="V26" s="39"/>
      <c r="W26" s="13">
        <v>32</v>
      </c>
      <c r="X26" s="40"/>
      <c r="AD26" t="str">
        <f>IF($C26="","",IFERROR(INDEX(Catalogo!$B$6:$B$125,MATCH($C26,Catalogo!$C$6:$C$125,0)),""))</f>
        <v/>
      </c>
      <c r="AE26" t="str">
        <f>IF($AD26="Patch panel cobre",COUNTIF($AD$13:$AD26,"Patch panel cobre"),"")</f>
        <v/>
      </c>
      <c r="AH26" t="str">
        <f t="shared" si="3"/>
        <v/>
      </c>
      <c r="AM26">
        <f>IFERROR(MATCH(1,INDEX(($K$13:$K$42&lt;=32)*($J$13:$J$42&gt;=32),0),0),0)</f>
        <v>0</v>
      </c>
      <c r="AN26" t="str">
        <f>IF(32&gt;$AR$5,"Fuera",IF($AM26=0,"",INDEX($AD$13:$AD$42,$AM26)))</f>
        <v>Fuera</v>
      </c>
      <c r="AQ26">
        <f>IF(OR(Proyecto!$C26="",Proyecto!$C26="-"),0,COUNTIF($CA$72:$CA$95,Proyecto!$C26)+COUNTIF($CB$72:$CB$95,Proyecto!$C26)+COUNTIF($CC$72:$CC$95,Proyecto!$C26)+COUNTIF($CD$72:$CD$95,Proyecto!$C26)+COUNTIF($CA$100:$CA$123,Proyecto!$C26)+COUNTIF($CB$100:$CB$123,Proyecto!$C26)+COUNTIF($CC$100:$CC$123,Proyecto!$C26)+COUNTIF($CD$100:$CD$123,Proyecto!$C26)+COUNTIF($CA$128:$CA$151,Proyecto!$C26)+COUNTIF($CB$128:$CB$151,Proyecto!$C26)+COUNTIF($CC$128:$CC$151,Proyecto!$C26)+COUNTIF($CD$128:$CD$151,Proyecto!$C26)+COUNTIF($CA$156:$CA$179,Proyecto!$C26)+COUNTIF($CB$156:$CB$179,Proyecto!$C26)+COUNTIF($CC$156:$CC$179,Proyecto!$C26)+COUNTIF($CD$156:$CD$179,Proyecto!$C26))</f>
        <v>0</v>
      </c>
      <c r="BA26">
        <f>IF(OR(Catalogo!$C26="",Catalogo!$B26="Espacio libre",Catalogo!$B26="Espacio reservado"),0,COUNTIF($C$13:$C$42,Catalogo!$C26)+IF($E$7=Catalogo!$C26,N($K$7),0)+IF($E$8=Catalogo!$C26,N($N$8),0)+IF(Proyecto!$D$12=Catalogo!$C26,$AQ$4,0)+SUMIF($C$49:$C$58,Catalogo!$C26,$K$49:$K$58))</f>
        <v>1</v>
      </c>
      <c r="BD26" t="str">
        <f>IFERROR(MATCH(14,$AE$13:$AE$42,0),"")</f>
        <v/>
      </c>
      <c r="BE26" t="str">
        <f t="shared" si="4"/>
        <v/>
      </c>
      <c r="BF26">
        <f t="shared" si="5"/>
        <v>0</v>
      </c>
      <c r="BG26">
        <f t="shared" si="6"/>
        <v>0</v>
      </c>
      <c r="BH26">
        <f>SUM($BG$13:$BG25)</f>
        <v>1</v>
      </c>
      <c r="BI26" t="str">
        <f t="shared" si="7"/>
        <v/>
      </c>
      <c r="BJ26" cm="1">
        <f t="array" ref="BJ26">IF($BD26="",0,IF(ISNUMBER(SEARCH(":",$BI26)),MIN($BF26,SUM(--MID(_xlfn.TEXTSPLIT($BI26,","),FIND(":",_xlfn.TEXTSPLIT($BI26,","))+1,9))),IF(INDEX($N$13:$N$42,$BD26)="",$BF26,MIN($BF26,N(INDEX($N$13:$N$42,$BD26))))))</f>
        <v>0</v>
      </c>
      <c r="BL26" t="str">
        <f>IF(14&gt;$BK$12,"",MATCH(13,$BH$13:$BH$28,1))</f>
        <v/>
      </c>
      <c r="BM26">
        <f>IF($BL26="",0,(13-INDEX($BH$13:$BH$28,$BL26))*24)</f>
        <v>0</v>
      </c>
      <c r="BN26" t="str">
        <f t="shared" si="8"/>
        <v/>
      </c>
      <c r="BO26">
        <f t="shared" si="9"/>
        <v>0</v>
      </c>
      <c r="BP26" t="str">
        <f t="shared" si="10"/>
        <v/>
      </c>
      <c r="BQ26">
        <f t="shared" si="11"/>
        <v>0</v>
      </c>
      <c r="BR26">
        <f>COUNTIF($CB$156:$CB$179,"?*")</f>
        <v>0</v>
      </c>
      <c r="BS26">
        <f>SUMIF($BL$13:$BL$28,14,$BR$13:$BR$28)</f>
        <v>0</v>
      </c>
      <c r="CL26">
        <f>IF($C26="",0,N(IFERROR(INDEX(Catalogo!$N$6:$N$125,MATCH($C26,Catalogo!$C$6:$C$125,0)),0)))</f>
        <v>0</v>
      </c>
      <c r="CM26">
        <f>IF($C26="",0,N(IFERROR(INDEX(Catalogo!$P$6:$P$125,MATCH($C26,Catalogo!$C$6:$C$125,0)),0)))</f>
        <v>0</v>
      </c>
      <c r="CN26">
        <f>IF($C26="",0,N(IFERROR(INDEX(Catalogo!$Q$6:$Q$125,MATCH($C26,Catalogo!$C$6:$C$125,0)),0)))</f>
        <v>0</v>
      </c>
      <c r="CO26">
        <f>IF($C26="",0,IF(OR($AD26="Espacio libre",$AD26="Espacio reservado"),0,IF(IFERROR(INDEX(Catalogo!$N$6:$N$125,MATCH($C26,Catalogo!$C$6:$C$125,0))="",TRUE),1,0)))</f>
        <v>0</v>
      </c>
    </row>
    <row r="27" spans="2:93" ht="14" customHeight="1" x14ac:dyDescent="0.45">
      <c r="B27" s="9">
        <v>15</v>
      </c>
      <c r="C27" s="47"/>
      <c r="D27" s="38"/>
      <c r="E27" s="39"/>
      <c r="F27" s="48" t="str">
        <f>IF($C27="","",IFERROR(INDEX(Catalogo!$E$6:$E$125,MATCH($C27,Catalogo!$C$6:$C$125,0)),""))</f>
        <v/>
      </c>
      <c r="G27" s="39"/>
      <c r="H27" s="9" t="str">
        <f>IF($C27="","",N(IFERROR(INDEX(Catalogo!$F$6:$F$125,MATCH($C27,Catalogo!$C$6:$C$125,0)),"")))</f>
        <v/>
      </c>
      <c r="I27" s="9" t="str">
        <f>IF($AD27&lt;&gt;"Patch panel cobre","",IFERROR(INDEX(Catalogo!$G$6:$G$125,MATCH($C27,Catalogo!$C$6:$C$125,0)),""))</f>
        <v/>
      </c>
      <c r="J27" s="9" t="str">
        <f>IF(OR($C27="",$H27=0),"",$AR$5-SUM($H$13:H26))</f>
        <v/>
      </c>
      <c r="K27" s="9" t="str">
        <f t="shared" si="0"/>
        <v/>
      </c>
      <c r="L27" s="9" t="str">
        <f t="shared" si="1"/>
        <v/>
      </c>
      <c r="M27" s="6"/>
      <c r="N27" s="6"/>
      <c r="O27" s="12" t="str">
        <f t="shared" si="2"/>
        <v/>
      </c>
      <c r="P27" s="37"/>
      <c r="Q27" s="39"/>
      <c r="R27" s="40"/>
      <c r="S27" s="13">
        <v>31</v>
      </c>
      <c r="T27" s="49" t="str">
        <f>IF($AM27=0,"",IF(INDEX($J$13:$J$42,$AM27)=31,INDEX($AH$13:$AH$42,$AM27),""))</f>
        <v/>
      </c>
      <c r="U27" s="38"/>
      <c r="V27" s="39"/>
      <c r="W27" s="13">
        <v>31</v>
      </c>
      <c r="X27" s="40"/>
      <c r="AD27" t="str">
        <f>IF($C27="","",IFERROR(INDEX(Catalogo!$B$6:$B$125,MATCH($C27,Catalogo!$C$6:$C$125,0)),""))</f>
        <v/>
      </c>
      <c r="AE27" t="str">
        <f>IF($AD27="Patch panel cobre",COUNTIF($AD$13:$AD27,"Patch panel cobre"),"")</f>
        <v/>
      </c>
      <c r="AH27" t="str">
        <f t="shared" si="3"/>
        <v/>
      </c>
      <c r="AM27">
        <f>IFERROR(MATCH(1,INDEX(($K$13:$K$42&lt;=31)*($J$13:$J$42&gt;=31),0),0),0)</f>
        <v>0</v>
      </c>
      <c r="AN27" t="str">
        <f>IF(31&gt;$AR$5,"Fuera",IF($AM27=0,"",INDEX($AD$13:$AD$42,$AM27)))</f>
        <v>Fuera</v>
      </c>
      <c r="AQ27">
        <f>IF(OR(Proyecto!$C27="",Proyecto!$C27="-"),0,COUNTIF($CA$72:$CA$95,Proyecto!$C27)+COUNTIF($CB$72:$CB$95,Proyecto!$C27)+COUNTIF($CC$72:$CC$95,Proyecto!$C27)+COUNTIF($CD$72:$CD$95,Proyecto!$C27)+COUNTIF($CA$100:$CA$123,Proyecto!$C27)+COUNTIF($CB$100:$CB$123,Proyecto!$C27)+COUNTIF($CC$100:$CC$123,Proyecto!$C27)+COUNTIF($CD$100:$CD$123,Proyecto!$C27)+COUNTIF($CA$128:$CA$151,Proyecto!$C27)+COUNTIF($CB$128:$CB$151,Proyecto!$C27)+COUNTIF($CC$128:$CC$151,Proyecto!$C27)+COUNTIF($CD$128:$CD$151,Proyecto!$C27)+COUNTIF($CA$156:$CA$179,Proyecto!$C27)+COUNTIF($CB$156:$CB$179,Proyecto!$C27)+COUNTIF($CC$156:$CC$179,Proyecto!$C27)+COUNTIF($CD$156:$CD$179,Proyecto!$C27))</f>
        <v>0</v>
      </c>
      <c r="BA27">
        <f>IF(OR(Catalogo!$C27="",Catalogo!$B27="Espacio libre",Catalogo!$B27="Espacio reservado"),0,COUNTIF($C$13:$C$42,Catalogo!$C27)+IF($E$7=Catalogo!$C27,N($K$7),0)+IF($E$8=Catalogo!$C27,N($N$8),0)+IF(Proyecto!$D$12=Catalogo!$C27,$AQ$4,0)+SUMIF($C$49:$C$58,Catalogo!$C27,$K$49:$K$58))</f>
        <v>0</v>
      </c>
      <c r="BD27" t="str">
        <f>IFERROR(MATCH(15,$AE$13:$AE$42,0),"")</f>
        <v/>
      </c>
      <c r="BE27" t="str">
        <f t="shared" si="4"/>
        <v/>
      </c>
      <c r="BF27">
        <f t="shared" si="5"/>
        <v>0</v>
      </c>
      <c r="BG27">
        <f t="shared" si="6"/>
        <v>0</v>
      </c>
      <c r="BH27">
        <f>SUM($BG$13:$BG26)</f>
        <v>1</v>
      </c>
      <c r="BI27" t="str">
        <f t="shared" si="7"/>
        <v/>
      </c>
      <c r="BJ27" cm="1">
        <f t="array" ref="BJ27">IF($BD27="",0,IF(ISNUMBER(SEARCH(":",$BI27)),MIN($BF27,SUM(--MID(_xlfn.TEXTSPLIT($BI27,","),FIND(":",_xlfn.TEXTSPLIT($BI27,","))+1,9))),IF(INDEX($N$13:$N$42,$BD27)="",$BF27,MIN($BF27,N(INDEX($N$13:$N$42,$BD27))))))</f>
        <v>0</v>
      </c>
      <c r="BL27" t="str">
        <f>IF(15&gt;$BK$12,"",MATCH(14,$BH$13:$BH$28,1))</f>
        <v/>
      </c>
      <c r="BM27">
        <f>IF($BL27="",0,(14-INDEX($BH$13:$BH$28,$BL27))*24)</f>
        <v>0</v>
      </c>
      <c r="BN27" t="str">
        <f t="shared" si="8"/>
        <v/>
      </c>
      <c r="BO27">
        <f t="shared" si="9"/>
        <v>0</v>
      </c>
      <c r="BP27" t="str">
        <f t="shared" si="10"/>
        <v/>
      </c>
      <c r="BQ27">
        <f t="shared" si="11"/>
        <v>0</v>
      </c>
      <c r="BR27">
        <f>COUNTIF($CC$156:$CC$179,"?*")</f>
        <v>0</v>
      </c>
      <c r="BS27">
        <f>SUMIF($BL$13:$BL$28,15,$BR$13:$BR$28)</f>
        <v>0</v>
      </c>
      <c r="CL27">
        <f>IF($C27="",0,N(IFERROR(INDEX(Catalogo!$N$6:$N$125,MATCH($C27,Catalogo!$C$6:$C$125,0)),0)))</f>
        <v>0</v>
      </c>
      <c r="CM27">
        <f>IF($C27="",0,N(IFERROR(INDEX(Catalogo!$P$6:$P$125,MATCH($C27,Catalogo!$C$6:$C$125,0)),0)))</f>
        <v>0</v>
      </c>
      <c r="CN27">
        <f>IF($C27="",0,N(IFERROR(INDEX(Catalogo!$Q$6:$Q$125,MATCH($C27,Catalogo!$C$6:$C$125,0)),0)))</f>
        <v>0</v>
      </c>
      <c r="CO27">
        <f>IF($C27="",0,IF(OR($AD27="Espacio libre",$AD27="Espacio reservado"),0,IF(IFERROR(INDEX(Catalogo!$N$6:$N$125,MATCH($C27,Catalogo!$C$6:$C$125,0))="",TRUE),1,0)))</f>
        <v>0</v>
      </c>
    </row>
    <row r="28" spans="2:93" ht="14" customHeight="1" x14ac:dyDescent="0.45">
      <c r="B28" s="9">
        <v>16</v>
      </c>
      <c r="C28" s="47"/>
      <c r="D28" s="38"/>
      <c r="E28" s="39"/>
      <c r="F28" s="48" t="str">
        <f>IF($C28="","",IFERROR(INDEX(Catalogo!$E$6:$E$125,MATCH($C28,Catalogo!$C$6:$C$125,0)),""))</f>
        <v/>
      </c>
      <c r="G28" s="39"/>
      <c r="H28" s="9" t="str">
        <f>IF($C28="","",N(IFERROR(INDEX(Catalogo!$F$6:$F$125,MATCH($C28,Catalogo!$C$6:$C$125,0)),"")))</f>
        <v/>
      </c>
      <c r="I28" s="9" t="str">
        <f>IF($AD28&lt;&gt;"Patch panel cobre","",IFERROR(INDEX(Catalogo!$G$6:$G$125,MATCH($C28,Catalogo!$C$6:$C$125,0)),""))</f>
        <v/>
      </c>
      <c r="J28" s="9" t="str">
        <f>IF(OR($C28="",$H28=0),"",$AR$5-SUM($H$13:H27))</f>
        <v/>
      </c>
      <c r="K28" s="9" t="str">
        <f t="shared" si="0"/>
        <v/>
      </c>
      <c r="L28" s="9" t="str">
        <f t="shared" si="1"/>
        <v/>
      </c>
      <c r="M28" s="6"/>
      <c r="N28" s="6"/>
      <c r="O28" s="12" t="str">
        <f t="shared" si="2"/>
        <v/>
      </c>
      <c r="P28" s="37"/>
      <c r="Q28" s="39"/>
      <c r="R28" s="40"/>
      <c r="S28" s="13">
        <v>30</v>
      </c>
      <c r="T28" s="49" t="str">
        <f>IF($AM28=0,"",IF(INDEX($J$13:$J$42,$AM28)=30,INDEX($AH$13:$AH$42,$AM28),""))</f>
        <v/>
      </c>
      <c r="U28" s="38"/>
      <c r="V28" s="39"/>
      <c r="W28" s="13">
        <v>30</v>
      </c>
      <c r="X28" s="40"/>
      <c r="AD28" t="str">
        <f>IF($C28="","",IFERROR(INDEX(Catalogo!$B$6:$B$125,MATCH($C28,Catalogo!$C$6:$C$125,0)),""))</f>
        <v/>
      </c>
      <c r="AE28" t="str">
        <f>IF($AD28="Patch panel cobre",COUNTIF($AD$13:$AD28,"Patch panel cobre"),"")</f>
        <v/>
      </c>
      <c r="AH28" t="str">
        <f t="shared" si="3"/>
        <v/>
      </c>
      <c r="AM28">
        <f>IFERROR(MATCH(1,INDEX(($K$13:$K$42&lt;=30)*($J$13:$J$42&gt;=30),0),0),0)</f>
        <v>0</v>
      </c>
      <c r="AN28" t="str">
        <f>IF(30&gt;$AR$5,"Fuera",IF($AM28=0,"",INDEX($AD$13:$AD$42,$AM28)))</f>
        <v>Fuera</v>
      </c>
      <c r="BA28">
        <f>IF(OR(Catalogo!$C28="",Catalogo!$B28="Espacio libre",Catalogo!$B28="Espacio reservado"),0,COUNTIF($C$13:$C$42,Catalogo!$C28)+IF($E$7=Catalogo!$C28,N($K$7),0)+IF($E$8=Catalogo!$C28,N($N$8),0)+IF(Proyecto!$D$12=Catalogo!$C28,$AQ$4,0)+SUMIF($C$49:$C$58,Catalogo!$C28,$K$49:$K$58))</f>
        <v>0</v>
      </c>
      <c r="BD28" t="str">
        <f>IFERROR(MATCH(16,$AE$13:$AE$42,0),"")</f>
        <v/>
      </c>
      <c r="BE28" t="str">
        <f t="shared" si="4"/>
        <v/>
      </c>
      <c r="BF28">
        <f t="shared" si="5"/>
        <v>0</v>
      </c>
      <c r="BG28">
        <f t="shared" si="6"/>
        <v>0</v>
      </c>
      <c r="BH28">
        <f>SUM($BG$13:$BG27)</f>
        <v>1</v>
      </c>
      <c r="BI28" t="str">
        <f t="shared" si="7"/>
        <v/>
      </c>
      <c r="BJ28" cm="1">
        <f t="array" ref="BJ28">IF($BD28="",0,IF(ISNUMBER(SEARCH(":",$BI28)),MIN($BF28,SUM(--MID(_xlfn.TEXTSPLIT($BI28,","),FIND(":",_xlfn.TEXTSPLIT($BI28,","))+1,9))),IF(INDEX($N$13:$N$42,$BD28)="",$BF28,MIN($BF28,N(INDEX($N$13:$N$42,$BD28))))))</f>
        <v>0</v>
      </c>
      <c r="BL28" t="str">
        <f>IF(16&gt;$BK$12,"",MATCH(15,$BH$13:$BH$28,1))</f>
        <v/>
      </c>
      <c r="BM28">
        <f>IF($BL28="",0,(15-INDEX($BH$13:$BH$28,$BL28))*24)</f>
        <v>0</v>
      </c>
      <c r="BN28" t="str">
        <f t="shared" si="8"/>
        <v/>
      </c>
      <c r="BO28">
        <f t="shared" si="9"/>
        <v>0</v>
      </c>
      <c r="BP28" t="str">
        <f t="shared" si="10"/>
        <v/>
      </c>
      <c r="BQ28">
        <f t="shared" si="11"/>
        <v>0</v>
      </c>
      <c r="BR28">
        <f>COUNTIF($CD$156:$CD$179,"?*")</f>
        <v>0</v>
      </c>
      <c r="BS28">
        <f>SUMIF($BL$13:$BL$28,16,$BR$13:$BR$28)</f>
        <v>0</v>
      </c>
      <c r="CL28">
        <f>IF($C28="",0,N(IFERROR(INDEX(Catalogo!$N$6:$N$125,MATCH($C28,Catalogo!$C$6:$C$125,0)),0)))</f>
        <v>0</v>
      </c>
      <c r="CM28">
        <f>IF($C28="",0,N(IFERROR(INDEX(Catalogo!$P$6:$P$125,MATCH($C28,Catalogo!$C$6:$C$125,0)),0)))</f>
        <v>0</v>
      </c>
      <c r="CN28">
        <f>IF($C28="",0,N(IFERROR(INDEX(Catalogo!$Q$6:$Q$125,MATCH($C28,Catalogo!$C$6:$C$125,0)),0)))</f>
        <v>0</v>
      </c>
      <c r="CO28">
        <f>IF($C28="",0,IF(OR($AD28="Espacio libre",$AD28="Espacio reservado"),0,IF(IFERROR(INDEX(Catalogo!$N$6:$N$125,MATCH($C28,Catalogo!$C$6:$C$125,0))="",TRUE),1,0)))</f>
        <v>0</v>
      </c>
    </row>
    <row r="29" spans="2:93" ht="14" customHeight="1" x14ac:dyDescent="0.45">
      <c r="B29" s="9">
        <v>17</v>
      </c>
      <c r="C29" s="47"/>
      <c r="D29" s="38"/>
      <c r="E29" s="39"/>
      <c r="F29" s="48" t="str">
        <f>IF($C29="","",IFERROR(INDEX(Catalogo!$E$6:$E$125,MATCH($C29,Catalogo!$C$6:$C$125,0)),""))</f>
        <v/>
      </c>
      <c r="G29" s="39"/>
      <c r="H29" s="9" t="str">
        <f>IF($C29="","",N(IFERROR(INDEX(Catalogo!$F$6:$F$125,MATCH($C29,Catalogo!$C$6:$C$125,0)),"")))</f>
        <v/>
      </c>
      <c r="I29" s="9" t="str">
        <f>IF($AD29&lt;&gt;"Patch panel cobre","",IFERROR(INDEX(Catalogo!$G$6:$G$125,MATCH($C29,Catalogo!$C$6:$C$125,0)),""))</f>
        <v/>
      </c>
      <c r="J29" s="9" t="str">
        <f>IF(OR($C29="",$H29=0),"",$AR$5-SUM($H$13:H28))</f>
        <v/>
      </c>
      <c r="K29" s="9" t="str">
        <f t="shared" si="0"/>
        <v/>
      </c>
      <c r="L29" s="9" t="str">
        <f t="shared" si="1"/>
        <v/>
      </c>
      <c r="M29" s="6"/>
      <c r="N29" s="6"/>
      <c r="O29" s="12" t="str">
        <f t="shared" si="2"/>
        <v/>
      </c>
      <c r="P29" s="37"/>
      <c r="Q29" s="39"/>
      <c r="R29" s="40"/>
      <c r="S29" s="13">
        <v>29</v>
      </c>
      <c r="T29" s="49" t="str">
        <f>IF($AM29=0,"",IF(INDEX($J$13:$J$42,$AM29)=29,INDEX($AH$13:$AH$42,$AM29),""))</f>
        <v/>
      </c>
      <c r="U29" s="38"/>
      <c r="V29" s="39"/>
      <c r="W29" s="13">
        <v>29</v>
      </c>
      <c r="X29" s="40"/>
      <c r="AD29" t="str">
        <f>IF($C29="","",IFERROR(INDEX(Catalogo!$B$6:$B$125,MATCH($C29,Catalogo!$C$6:$C$125,0)),""))</f>
        <v/>
      </c>
      <c r="AE29" t="str">
        <f>IF($AD29="Patch panel cobre",COUNTIF($AD$13:$AD29,"Patch panel cobre"),"")</f>
        <v/>
      </c>
      <c r="AH29" t="str">
        <f t="shared" si="3"/>
        <v/>
      </c>
      <c r="AM29">
        <f>IFERROR(MATCH(1,INDEX(($K$13:$K$42&lt;=29)*($J$13:$J$42&gt;=29),0),0),0)</f>
        <v>0</v>
      </c>
      <c r="AN29" t="str">
        <f>IF(29&gt;$AR$5,"Fuera",IF($AM29=0,"",INDEX($AD$13:$AD$42,$AM29)))</f>
        <v>Fuera</v>
      </c>
      <c r="BA29">
        <f>IF(OR(Catalogo!$C29="",Catalogo!$B29="Espacio libre",Catalogo!$B29="Espacio reservado"),0,COUNTIF($C$13:$C$42,Catalogo!$C29)+IF($E$7=Catalogo!$C29,N($K$7),0)+IF($E$8=Catalogo!$C29,N($N$8),0)+IF(Proyecto!$D$12=Catalogo!$C29,$AQ$4,0)+SUMIF($C$49:$C$58,Catalogo!$C29,$K$49:$K$58))</f>
        <v>0</v>
      </c>
      <c r="CL29">
        <f>IF($C29="",0,N(IFERROR(INDEX(Catalogo!$N$6:$N$125,MATCH($C29,Catalogo!$C$6:$C$125,0)),0)))</f>
        <v>0</v>
      </c>
      <c r="CM29">
        <f>IF($C29="",0,N(IFERROR(INDEX(Catalogo!$P$6:$P$125,MATCH($C29,Catalogo!$C$6:$C$125,0)),0)))</f>
        <v>0</v>
      </c>
      <c r="CN29">
        <f>IF($C29="",0,N(IFERROR(INDEX(Catalogo!$Q$6:$Q$125,MATCH($C29,Catalogo!$C$6:$C$125,0)),0)))</f>
        <v>0</v>
      </c>
      <c r="CO29">
        <f>IF($C29="",0,IF(OR($AD29="Espacio libre",$AD29="Espacio reservado"),0,IF(IFERROR(INDEX(Catalogo!$N$6:$N$125,MATCH($C29,Catalogo!$C$6:$C$125,0))="",TRUE),1,0)))</f>
        <v>0</v>
      </c>
    </row>
    <row r="30" spans="2:93" ht="14" customHeight="1" x14ac:dyDescent="0.45">
      <c r="B30" s="9">
        <v>18</v>
      </c>
      <c r="C30" s="47"/>
      <c r="D30" s="38"/>
      <c r="E30" s="39"/>
      <c r="F30" s="48" t="str">
        <f>IF($C30="","",IFERROR(INDEX(Catalogo!$E$6:$E$125,MATCH($C30,Catalogo!$C$6:$C$125,0)),""))</f>
        <v/>
      </c>
      <c r="G30" s="39"/>
      <c r="H30" s="9" t="str">
        <f>IF($C30="","",N(IFERROR(INDEX(Catalogo!$F$6:$F$125,MATCH($C30,Catalogo!$C$6:$C$125,0)),"")))</f>
        <v/>
      </c>
      <c r="I30" s="9" t="str">
        <f>IF($AD30&lt;&gt;"Patch panel cobre","",IFERROR(INDEX(Catalogo!$G$6:$G$125,MATCH($C30,Catalogo!$C$6:$C$125,0)),""))</f>
        <v/>
      </c>
      <c r="J30" s="9" t="str">
        <f>IF(OR($C30="",$H30=0),"",$AR$5-SUM($H$13:H29))</f>
        <v/>
      </c>
      <c r="K30" s="9" t="str">
        <f t="shared" si="0"/>
        <v/>
      </c>
      <c r="L30" s="9" t="str">
        <f t="shared" si="1"/>
        <v/>
      </c>
      <c r="M30" s="6"/>
      <c r="N30" s="6"/>
      <c r="O30" s="12" t="str">
        <f t="shared" si="2"/>
        <v/>
      </c>
      <c r="P30" s="37"/>
      <c r="Q30" s="39"/>
      <c r="R30" s="40"/>
      <c r="S30" s="13">
        <v>28</v>
      </c>
      <c r="T30" s="49" t="str">
        <f>IF($AM30=0,"",IF(INDEX($J$13:$J$42,$AM30)=28,INDEX($AH$13:$AH$42,$AM30),""))</f>
        <v/>
      </c>
      <c r="U30" s="38"/>
      <c r="V30" s="39"/>
      <c r="W30" s="13">
        <v>28</v>
      </c>
      <c r="X30" s="40"/>
      <c r="AD30" t="str">
        <f>IF($C30="","",IFERROR(INDEX(Catalogo!$B$6:$B$125,MATCH($C30,Catalogo!$C$6:$C$125,0)),""))</f>
        <v/>
      </c>
      <c r="AE30" t="str">
        <f>IF($AD30="Patch panel cobre",COUNTIF($AD$13:$AD30,"Patch panel cobre"),"")</f>
        <v/>
      </c>
      <c r="AH30" t="str">
        <f t="shared" si="3"/>
        <v/>
      </c>
      <c r="AM30">
        <f>IFERROR(MATCH(1,INDEX(($K$13:$K$42&lt;=28)*($J$13:$J$42&gt;=28),0),0),0)</f>
        <v>0</v>
      </c>
      <c r="AN30" t="str">
        <f>IF(28&gt;$AR$5,"Fuera",IF($AM30=0,"",INDEX($AD$13:$AD$42,$AM30)))</f>
        <v>Fuera</v>
      </c>
      <c r="BA30">
        <f>IF(OR(Catalogo!$C30="",Catalogo!$B30="Espacio libre",Catalogo!$B30="Espacio reservado"),0,COUNTIF($C$13:$C$42,Catalogo!$C30)+IF($E$7=Catalogo!$C30,N($K$7),0)+IF($E$8=Catalogo!$C30,N($N$8),0)+IF(Proyecto!$D$12=Catalogo!$C30,$AQ$4,0)+SUMIF($C$49:$C$58,Catalogo!$C30,$K$49:$K$58))</f>
        <v>0</v>
      </c>
      <c r="CL30">
        <f>IF($C30="",0,N(IFERROR(INDEX(Catalogo!$N$6:$N$125,MATCH($C30,Catalogo!$C$6:$C$125,0)),0)))</f>
        <v>0</v>
      </c>
      <c r="CM30">
        <f>IF($C30="",0,N(IFERROR(INDEX(Catalogo!$P$6:$P$125,MATCH($C30,Catalogo!$C$6:$C$125,0)),0)))</f>
        <v>0</v>
      </c>
      <c r="CN30">
        <f>IF($C30="",0,N(IFERROR(INDEX(Catalogo!$Q$6:$Q$125,MATCH($C30,Catalogo!$C$6:$C$125,0)),0)))</f>
        <v>0</v>
      </c>
      <c r="CO30">
        <f>IF($C30="",0,IF(OR($AD30="Espacio libre",$AD30="Espacio reservado"),0,IF(IFERROR(INDEX(Catalogo!$N$6:$N$125,MATCH($C30,Catalogo!$C$6:$C$125,0))="",TRUE),1,0)))</f>
        <v>0</v>
      </c>
    </row>
    <row r="31" spans="2:93" ht="14" customHeight="1" x14ac:dyDescent="0.45">
      <c r="B31" s="9">
        <v>19</v>
      </c>
      <c r="C31" s="47"/>
      <c r="D31" s="38"/>
      <c r="E31" s="39"/>
      <c r="F31" s="48" t="str">
        <f>IF($C31="","",IFERROR(INDEX(Catalogo!$E$6:$E$125,MATCH($C31,Catalogo!$C$6:$C$125,0)),""))</f>
        <v/>
      </c>
      <c r="G31" s="39"/>
      <c r="H31" s="9" t="str">
        <f>IF($C31="","",N(IFERROR(INDEX(Catalogo!$F$6:$F$125,MATCH($C31,Catalogo!$C$6:$C$125,0)),"")))</f>
        <v/>
      </c>
      <c r="I31" s="9" t="str">
        <f>IF($AD31&lt;&gt;"Patch panel cobre","",IFERROR(INDEX(Catalogo!$G$6:$G$125,MATCH($C31,Catalogo!$C$6:$C$125,0)),""))</f>
        <v/>
      </c>
      <c r="J31" s="9" t="str">
        <f>IF(OR($C31="",$H31=0),"",$AR$5-SUM($H$13:H30))</f>
        <v/>
      </c>
      <c r="K31" s="9" t="str">
        <f t="shared" si="0"/>
        <v/>
      </c>
      <c r="L31" s="9" t="str">
        <f t="shared" si="1"/>
        <v/>
      </c>
      <c r="M31" s="6"/>
      <c r="N31" s="6"/>
      <c r="O31" s="12" t="str">
        <f t="shared" si="2"/>
        <v/>
      </c>
      <c r="P31" s="37"/>
      <c r="Q31" s="39"/>
      <c r="R31" s="40"/>
      <c r="S31" s="13">
        <v>27</v>
      </c>
      <c r="T31" s="49" t="str">
        <f>IF($AM31=0,"",IF(INDEX($J$13:$J$42,$AM31)=27,INDEX($AH$13:$AH$42,$AM31),""))</f>
        <v/>
      </c>
      <c r="U31" s="38"/>
      <c r="V31" s="39"/>
      <c r="W31" s="13">
        <v>27</v>
      </c>
      <c r="X31" s="40"/>
      <c r="AD31" t="str">
        <f>IF($C31="","",IFERROR(INDEX(Catalogo!$B$6:$B$125,MATCH($C31,Catalogo!$C$6:$C$125,0)),""))</f>
        <v/>
      </c>
      <c r="AE31" t="str">
        <f>IF($AD31="Patch panel cobre",COUNTIF($AD$13:$AD31,"Patch panel cobre"),"")</f>
        <v/>
      </c>
      <c r="AH31" t="str">
        <f t="shared" si="3"/>
        <v/>
      </c>
      <c r="AM31">
        <f>IFERROR(MATCH(1,INDEX(($K$13:$K$42&lt;=27)*($J$13:$J$42&gt;=27),0),0),0)</f>
        <v>0</v>
      </c>
      <c r="AN31" t="str">
        <f>IF(27&gt;$AR$5,"Fuera",IF($AM31=0,"",INDEX($AD$13:$AD$42,$AM31)))</f>
        <v>Fuera</v>
      </c>
      <c r="BA31">
        <f>IF(OR(Catalogo!$C31="",Catalogo!$B31="Espacio libre",Catalogo!$B31="Espacio reservado"),0,COUNTIF($C$13:$C$42,Catalogo!$C31)+IF($E$7=Catalogo!$C31,N($K$7),0)+IF($E$8=Catalogo!$C31,N($N$8),0)+IF(Proyecto!$D$12=Catalogo!$C31,$AQ$4,0)+SUMIF($C$49:$C$58,Catalogo!$C31,$K$49:$K$58))</f>
        <v>0</v>
      </c>
      <c r="CL31">
        <f>IF($C31="",0,N(IFERROR(INDEX(Catalogo!$N$6:$N$125,MATCH($C31,Catalogo!$C$6:$C$125,0)),0)))</f>
        <v>0</v>
      </c>
      <c r="CM31">
        <f>IF($C31="",0,N(IFERROR(INDEX(Catalogo!$P$6:$P$125,MATCH($C31,Catalogo!$C$6:$C$125,0)),0)))</f>
        <v>0</v>
      </c>
      <c r="CN31">
        <f>IF($C31="",0,N(IFERROR(INDEX(Catalogo!$Q$6:$Q$125,MATCH($C31,Catalogo!$C$6:$C$125,0)),0)))</f>
        <v>0</v>
      </c>
      <c r="CO31">
        <f>IF($C31="",0,IF(OR($AD31="Espacio libre",$AD31="Espacio reservado"),0,IF(IFERROR(INDEX(Catalogo!$N$6:$N$125,MATCH($C31,Catalogo!$C$6:$C$125,0))="",TRUE),1,0)))</f>
        <v>0</v>
      </c>
    </row>
    <row r="32" spans="2:93" ht="14" customHeight="1" x14ac:dyDescent="0.45">
      <c r="B32" s="9">
        <v>20</v>
      </c>
      <c r="C32" s="47"/>
      <c r="D32" s="38"/>
      <c r="E32" s="39"/>
      <c r="F32" s="48" t="str">
        <f>IF($C32="","",IFERROR(INDEX(Catalogo!$E$6:$E$125,MATCH($C32,Catalogo!$C$6:$C$125,0)),""))</f>
        <v/>
      </c>
      <c r="G32" s="39"/>
      <c r="H32" s="9" t="str">
        <f>IF($C32="","",N(IFERROR(INDEX(Catalogo!$F$6:$F$125,MATCH($C32,Catalogo!$C$6:$C$125,0)),"")))</f>
        <v/>
      </c>
      <c r="I32" s="9" t="str">
        <f>IF($AD32&lt;&gt;"Patch panel cobre","",IFERROR(INDEX(Catalogo!$G$6:$G$125,MATCH($C32,Catalogo!$C$6:$C$125,0)),""))</f>
        <v/>
      </c>
      <c r="J32" s="9" t="str">
        <f>IF(OR($C32="",$H32=0),"",$AR$5-SUM($H$13:H31))</f>
        <v/>
      </c>
      <c r="K32" s="9" t="str">
        <f t="shared" si="0"/>
        <v/>
      </c>
      <c r="L32" s="9" t="str">
        <f t="shared" si="1"/>
        <v/>
      </c>
      <c r="M32" s="6"/>
      <c r="N32" s="6"/>
      <c r="O32" s="12" t="str">
        <f t="shared" si="2"/>
        <v/>
      </c>
      <c r="P32" s="37"/>
      <c r="Q32" s="39"/>
      <c r="R32" s="40"/>
      <c r="S32" s="13">
        <v>26</v>
      </c>
      <c r="T32" s="49" t="str">
        <f>IF($AM32=0,"",IF(INDEX($J$13:$J$42,$AM32)=26,INDEX($AH$13:$AH$42,$AM32),""))</f>
        <v/>
      </c>
      <c r="U32" s="38"/>
      <c r="V32" s="39"/>
      <c r="W32" s="13">
        <v>26</v>
      </c>
      <c r="X32" s="40"/>
      <c r="AD32" t="str">
        <f>IF($C32="","",IFERROR(INDEX(Catalogo!$B$6:$B$125,MATCH($C32,Catalogo!$C$6:$C$125,0)),""))</f>
        <v/>
      </c>
      <c r="AE32" t="str">
        <f>IF($AD32="Patch panel cobre",COUNTIF($AD$13:$AD32,"Patch panel cobre"),"")</f>
        <v/>
      </c>
      <c r="AH32" t="str">
        <f t="shared" si="3"/>
        <v/>
      </c>
      <c r="AM32">
        <f>IFERROR(MATCH(1,INDEX(($K$13:$K$42&lt;=26)*($J$13:$J$42&gt;=26),0),0),0)</f>
        <v>0</v>
      </c>
      <c r="AN32" t="str">
        <f>IF(26&gt;$AR$5,"Fuera",IF($AM32=0,"",INDEX($AD$13:$AD$42,$AM32)))</f>
        <v>Fuera</v>
      </c>
      <c r="BA32">
        <f>IF(OR(Catalogo!$C32="",Catalogo!$B32="Espacio libre",Catalogo!$B32="Espacio reservado"),0,COUNTIF($C$13:$C$42,Catalogo!$C32)+IF($E$7=Catalogo!$C32,N($K$7),0)+IF($E$8=Catalogo!$C32,N($N$8),0)+IF(Proyecto!$D$12=Catalogo!$C32,$AQ$4,0)+SUMIF($C$49:$C$58,Catalogo!$C32,$K$49:$K$58))</f>
        <v>0</v>
      </c>
      <c r="CL32">
        <f>IF($C32="",0,N(IFERROR(INDEX(Catalogo!$N$6:$N$125,MATCH($C32,Catalogo!$C$6:$C$125,0)),0)))</f>
        <v>0</v>
      </c>
      <c r="CM32">
        <f>IF($C32="",0,N(IFERROR(INDEX(Catalogo!$P$6:$P$125,MATCH($C32,Catalogo!$C$6:$C$125,0)),0)))</f>
        <v>0</v>
      </c>
      <c r="CN32">
        <f>IF($C32="",0,N(IFERROR(INDEX(Catalogo!$Q$6:$Q$125,MATCH($C32,Catalogo!$C$6:$C$125,0)),0)))</f>
        <v>0</v>
      </c>
      <c r="CO32">
        <f>IF($C32="",0,IF(OR($AD32="Espacio libre",$AD32="Espacio reservado"),0,IF(IFERROR(INDEX(Catalogo!$N$6:$N$125,MATCH($C32,Catalogo!$C$6:$C$125,0))="",TRUE),1,0)))</f>
        <v>0</v>
      </c>
    </row>
    <row r="33" spans="2:93" ht="14" customHeight="1" x14ac:dyDescent="0.45">
      <c r="B33" s="9">
        <v>21</v>
      </c>
      <c r="C33" s="47"/>
      <c r="D33" s="38"/>
      <c r="E33" s="39"/>
      <c r="F33" s="48" t="str">
        <f>IF($C33="","",IFERROR(INDEX(Catalogo!$E$6:$E$125,MATCH($C33,Catalogo!$C$6:$C$125,0)),""))</f>
        <v/>
      </c>
      <c r="G33" s="39"/>
      <c r="H33" s="9" t="str">
        <f>IF($C33="","",N(IFERROR(INDEX(Catalogo!$F$6:$F$125,MATCH($C33,Catalogo!$C$6:$C$125,0)),"")))</f>
        <v/>
      </c>
      <c r="I33" s="9" t="str">
        <f>IF($AD33&lt;&gt;"Patch panel cobre","",IFERROR(INDEX(Catalogo!$G$6:$G$125,MATCH($C33,Catalogo!$C$6:$C$125,0)),""))</f>
        <v/>
      </c>
      <c r="J33" s="9" t="str">
        <f>IF(OR($C33="",$H33=0),"",$AR$5-SUM($H$13:H32))</f>
        <v/>
      </c>
      <c r="K33" s="9" t="str">
        <f t="shared" si="0"/>
        <v/>
      </c>
      <c r="L33" s="9" t="str">
        <f t="shared" si="1"/>
        <v/>
      </c>
      <c r="M33" s="6"/>
      <c r="N33" s="6"/>
      <c r="O33" s="12" t="str">
        <f t="shared" si="2"/>
        <v/>
      </c>
      <c r="P33" s="37"/>
      <c r="Q33" s="39"/>
      <c r="R33" s="40"/>
      <c r="S33" s="13">
        <v>25</v>
      </c>
      <c r="T33" s="49" t="str">
        <f>IF($AM33=0,"",IF(INDEX($J$13:$J$42,$AM33)=25,INDEX($AH$13:$AH$42,$AM33),""))</f>
        <v/>
      </c>
      <c r="U33" s="38"/>
      <c r="V33" s="39"/>
      <c r="W33" s="13">
        <v>25</v>
      </c>
      <c r="X33" s="40"/>
      <c r="AD33" t="str">
        <f>IF($C33="","",IFERROR(INDEX(Catalogo!$B$6:$B$125,MATCH($C33,Catalogo!$C$6:$C$125,0)),""))</f>
        <v/>
      </c>
      <c r="AE33" t="str">
        <f>IF($AD33="Patch panel cobre",COUNTIF($AD$13:$AD33,"Patch panel cobre"),"")</f>
        <v/>
      </c>
      <c r="AH33" t="str">
        <f t="shared" si="3"/>
        <v/>
      </c>
      <c r="AM33">
        <f>IFERROR(MATCH(1,INDEX(($K$13:$K$42&lt;=25)*($J$13:$J$42&gt;=25),0),0),0)</f>
        <v>0</v>
      </c>
      <c r="AN33" t="str">
        <f>IF(25&gt;$AR$5,"Fuera",IF($AM33=0,"",INDEX($AD$13:$AD$42,$AM33)))</f>
        <v>Fuera</v>
      </c>
      <c r="BA33">
        <f>IF(OR(Catalogo!$C33="",Catalogo!$B33="Espacio libre",Catalogo!$B33="Espacio reservado"),0,COUNTIF($C$13:$C$42,Catalogo!$C33)+IF($E$7=Catalogo!$C33,N($K$7),0)+IF($E$8=Catalogo!$C33,N($N$8),0)+IF(Proyecto!$D$12=Catalogo!$C33,$AQ$4,0)+SUMIF($C$49:$C$58,Catalogo!$C33,$K$49:$K$58))</f>
        <v>0</v>
      </c>
      <c r="CL33">
        <f>IF($C33="",0,N(IFERROR(INDEX(Catalogo!$N$6:$N$125,MATCH($C33,Catalogo!$C$6:$C$125,0)),0)))</f>
        <v>0</v>
      </c>
      <c r="CM33">
        <f>IF($C33="",0,N(IFERROR(INDEX(Catalogo!$P$6:$P$125,MATCH($C33,Catalogo!$C$6:$C$125,0)),0)))</f>
        <v>0</v>
      </c>
      <c r="CN33">
        <f>IF($C33="",0,N(IFERROR(INDEX(Catalogo!$Q$6:$Q$125,MATCH($C33,Catalogo!$C$6:$C$125,0)),0)))</f>
        <v>0</v>
      </c>
      <c r="CO33">
        <f>IF($C33="",0,IF(OR($AD33="Espacio libre",$AD33="Espacio reservado"),0,IF(IFERROR(INDEX(Catalogo!$N$6:$N$125,MATCH($C33,Catalogo!$C$6:$C$125,0))="",TRUE),1,0)))</f>
        <v>0</v>
      </c>
    </row>
    <row r="34" spans="2:93" ht="14" customHeight="1" x14ac:dyDescent="0.45">
      <c r="B34" s="9">
        <v>22</v>
      </c>
      <c r="C34" s="47"/>
      <c r="D34" s="38"/>
      <c r="E34" s="39"/>
      <c r="F34" s="48" t="str">
        <f>IF($C34="","",IFERROR(INDEX(Catalogo!$E$6:$E$125,MATCH($C34,Catalogo!$C$6:$C$125,0)),""))</f>
        <v/>
      </c>
      <c r="G34" s="39"/>
      <c r="H34" s="9" t="str">
        <f>IF($C34="","",N(IFERROR(INDEX(Catalogo!$F$6:$F$125,MATCH($C34,Catalogo!$C$6:$C$125,0)),"")))</f>
        <v/>
      </c>
      <c r="I34" s="9" t="str">
        <f>IF($AD34&lt;&gt;"Patch panel cobre","",IFERROR(INDEX(Catalogo!$G$6:$G$125,MATCH($C34,Catalogo!$C$6:$C$125,0)),""))</f>
        <v/>
      </c>
      <c r="J34" s="9" t="str">
        <f>IF(OR($C34="",$H34=0),"",$AR$5-SUM($H$13:H33))</f>
        <v/>
      </c>
      <c r="K34" s="9" t="str">
        <f t="shared" si="0"/>
        <v/>
      </c>
      <c r="L34" s="9" t="str">
        <f t="shared" si="1"/>
        <v/>
      </c>
      <c r="M34" s="6"/>
      <c r="N34" s="6"/>
      <c r="O34" s="12" t="str">
        <f t="shared" si="2"/>
        <v/>
      </c>
      <c r="P34" s="37"/>
      <c r="Q34" s="39"/>
      <c r="R34" s="40"/>
      <c r="S34" s="13">
        <v>24</v>
      </c>
      <c r="T34" s="49" t="str">
        <f>IF($AM34=0,"",IF(INDEX($J$13:$J$42,$AM34)=24,INDEX($AH$13:$AH$42,$AM34),""))</f>
        <v/>
      </c>
      <c r="U34" s="38"/>
      <c r="V34" s="39"/>
      <c r="W34" s="13">
        <v>24</v>
      </c>
      <c r="X34" s="40"/>
      <c r="AD34" t="str">
        <f>IF($C34="","",IFERROR(INDEX(Catalogo!$B$6:$B$125,MATCH($C34,Catalogo!$C$6:$C$125,0)),""))</f>
        <v/>
      </c>
      <c r="AE34" t="str">
        <f>IF($AD34="Patch panel cobre",COUNTIF($AD$13:$AD34,"Patch panel cobre"),"")</f>
        <v/>
      </c>
      <c r="AH34" t="str">
        <f t="shared" si="3"/>
        <v/>
      </c>
      <c r="AM34">
        <f>IFERROR(MATCH(1,INDEX(($K$13:$K$42&lt;=24)*($J$13:$J$42&gt;=24),0),0),0)</f>
        <v>0</v>
      </c>
      <c r="AN34" t="str">
        <f>IF(24&gt;$AR$5,"Fuera",IF($AM34=0,"",INDEX($AD$13:$AD$42,$AM34)))</f>
        <v>Fuera</v>
      </c>
      <c r="BA34">
        <f>IF(OR(Catalogo!$C34="",Catalogo!$B34="Espacio libre",Catalogo!$B34="Espacio reservado"),0,COUNTIF($C$13:$C$42,Catalogo!$C34)+IF($E$7=Catalogo!$C34,N($K$7),0)+IF($E$8=Catalogo!$C34,N($N$8),0)+IF(Proyecto!$D$12=Catalogo!$C34,$AQ$4,0)+SUMIF($C$49:$C$58,Catalogo!$C34,$K$49:$K$58))</f>
        <v>0</v>
      </c>
      <c r="CL34">
        <f>IF($C34="",0,N(IFERROR(INDEX(Catalogo!$N$6:$N$125,MATCH($C34,Catalogo!$C$6:$C$125,0)),0)))</f>
        <v>0</v>
      </c>
      <c r="CM34">
        <f>IF($C34="",0,N(IFERROR(INDEX(Catalogo!$P$6:$P$125,MATCH($C34,Catalogo!$C$6:$C$125,0)),0)))</f>
        <v>0</v>
      </c>
      <c r="CN34">
        <f>IF($C34="",0,N(IFERROR(INDEX(Catalogo!$Q$6:$Q$125,MATCH($C34,Catalogo!$C$6:$C$125,0)),0)))</f>
        <v>0</v>
      </c>
      <c r="CO34">
        <f>IF($C34="",0,IF(OR($AD34="Espacio libre",$AD34="Espacio reservado"),0,IF(IFERROR(INDEX(Catalogo!$N$6:$N$125,MATCH($C34,Catalogo!$C$6:$C$125,0))="",TRUE),1,0)))</f>
        <v>0</v>
      </c>
    </row>
    <row r="35" spans="2:93" ht="14" customHeight="1" x14ac:dyDescent="0.45">
      <c r="B35" s="9">
        <v>23</v>
      </c>
      <c r="C35" s="47"/>
      <c r="D35" s="38"/>
      <c r="E35" s="39"/>
      <c r="F35" s="48" t="str">
        <f>IF($C35="","",IFERROR(INDEX(Catalogo!$E$6:$E$125,MATCH($C35,Catalogo!$C$6:$C$125,0)),""))</f>
        <v/>
      </c>
      <c r="G35" s="39"/>
      <c r="H35" s="9" t="str">
        <f>IF($C35="","",N(IFERROR(INDEX(Catalogo!$F$6:$F$125,MATCH($C35,Catalogo!$C$6:$C$125,0)),"")))</f>
        <v/>
      </c>
      <c r="I35" s="9" t="str">
        <f>IF($AD35&lt;&gt;"Patch panel cobre","",IFERROR(INDEX(Catalogo!$G$6:$G$125,MATCH($C35,Catalogo!$C$6:$C$125,0)),""))</f>
        <v/>
      </c>
      <c r="J35" s="9" t="str">
        <f>IF(OR($C35="",$H35=0),"",$AR$5-SUM($H$13:H34))</f>
        <v/>
      </c>
      <c r="K35" s="9" t="str">
        <f t="shared" si="0"/>
        <v/>
      </c>
      <c r="L35" s="9" t="str">
        <f t="shared" si="1"/>
        <v/>
      </c>
      <c r="M35" s="6"/>
      <c r="N35" s="6"/>
      <c r="O35" s="12" t="str">
        <f t="shared" si="2"/>
        <v/>
      </c>
      <c r="P35" s="37"/>
      <c r="Q35" s="39"/>
      <c r="R35" s="40"/>
      <c r="S35" s="13">
        <v>23</v>
      </c>
      <c r="T35" s="49" t="str">
        <f>IF($AM35=0,"",IF(INDEX($J$13:$J$42,$AM35)=23,INDEX($AH$13:$AH$42,$AM35),""))</f>
        <v/>
      </c>
      <c r="U35" s="38"/>
      <c r="V35" s="39"/>
      <c r="W35" s="13">
        <v>23</v>
      </c>
      <c r="X35" s="40"/>
      <c r="AD35" t="str">
        <f>IF($C35="","",IFERROR(INDEX(Catalogo!$B$6:$B$125,MATCH($C35,Catalogo!$C$6:$C$125,0)),""))</f>
        <v/>
      </c>
      <c r="AE35" t="str">
        <f>IF($AD35="Patch panel cobre",COUNTIF($AD$13:$AD35,"Patch panel cobre"),"")</f>
        <v/>
      </c>
      <c r="AH35" t="str">
        <f t="shared" si="3"/>
        <v/>
      </c>
      <c r="AM35">
        <f>IFERROR(MATCH(1,INDEX(($K$13:$K$42&lt;=23)*($J$13:$J$42&gt;=23),0),0),0)</f>
        <v>0</v>
      </c>
      <c r="AN35" t="str">
        <f>IF(23&gt;$AR$5,"Fuera",IF($AM35=0,"",INDEX($AD$13:$AD$42,$AM35)))</f>
        <v>Fuera</v>
      </c>
      <c r="BA35">
        <f>IF(OR(Catalogo!$C35="",Catalogo!$B35="Espacio libre",Catalogo!$B35="Espacio reservado"),0,COUNTIF($C$13:$C$42,Catalogo!$C35)+IF($E$7=Catalogo!$C35,N($K$7),0)+IF($E$8=Catalogo!$C35,N($N$8),0)+IF(Proyecto!$D$12=Catalogo!$C35,$AQ$4,0)+SUMIF($C$49:$C$58,Catalogo!$C35,$K$49:$K$58))</f>
        <v>0</v>
      </c>
      <c r="CL35">
        <f>IF($C35="",0,N(IFERROR(INDEX(Catalogo!$N$6:$N$125,MATCH($C35,Catalogo!$C$6:$C$125,0)),0)))</f>
        <v>0</v>
      </c>
      <c r="CM35">
        <f>IF($C35="",0,N(IFERROR(INDEX(Catalogo!$P$6:$P$125,MATCH($C35,Catalogo!$C$6:$C$125,0)),0)))</f>
        <v>0</v>
      </c>
      <c r="CN35">
        <f>IF($C35="",0,N(IFERROR(INDEX(Catalogo!$Q$6:$Q$125,MATCH($C35,Catalogo!$C$6:$C$125,0)),0)))</f>
        <v>0</v>
      </c>
      <c r="CO35">
        <f>IF($C35="",0,IF(OR($AD35="Espacio libre",$AD35="Espacio reservado"),0,IF(IFERROR(INDEX(Catalogo!$N$6:$N$125,MATCH($C35,Catalogo!$C$6:$C$125,0))="",TRUE),1,0)))</f>
        <v>0</v>
      </c>
    </row>
    <row r="36" spans="2:93" ht="14" customHeight="1" x14ac:dyDescent="0.45">
      <c r="B36" s="9">
        <v>24</v>
      </c>
      <c r="C36" s="47"/>
      <c r="D36" s="38"/>
      <c r="E36" s="39"/>
      <c r="F36" s="48" t="str">
        <f>IF($C36="","",IFERROR(INDEX(Catalogo!$E$6:$E$125,MATCH($C36,Catalogo!$C$6:$C$125,0)),""))</f>
        <v/>
      </c>
      <c r="G36" s="39"/>
      <c r="H36" s="9" t="str">
        <f>IF($C36="","",N(IFERROR(INDEX(Catalogo!$F$6:$F$125,MATCH($C36,Catalogo!$C$6:$C$125,0)),"")))</f>
        <v/>
      </c>
      <c r="I36" s="9" t="str">
        <f>IF($AD36&lt;&gt;"Patch panel cobre","",IFERROR(INDEX(Catalogo!$G$6:$G$125,MATCH($C36,Catalogo!$C$6:$C$125,0)),""))</f>
        <v/>
      </c>
      <c r="J36" s="9" t="str">
        <f>IF(OR($C36="",$H36=0),"",$AR$5-SUM($H$13:H35))</f>
        <v/>
      </c>
      <c r="K36" s="9" t="str">
        <f t="shared" si="0"/>
        <v/>
      </c>
      <c r="L36" s="9" t="str">
        <f t="shared" si="1"/>
        <v/>
      </c>
      <c r="M36" s="6"/>
      <c r="N36" s="6"/>
      <c r="O36" s="12" t="str">
        <f t="shared" si="2"/>
        <v/>
      </c>
      <c r="P36" s="37"/>
      <c r="Q36" s="39"/>
      <c r="R36" s="40"/>
      <c r="S36" s="13">
        <v>22</v>
      </c>
      <c r="T36" s="49" t="str">
        <f>IF($AM36=0,"",IF(INDEX($J$13:$J$42,$AM36)=22,INDEX($AH$13:$AH$42,$AM36),""))</f>
        <v/>
      </c>
      <c r="U36" s="38"/>
      <c r="V36" s="39"/>
      <c r="W36" s="13">
        <v>22</v>
      </c>
      <c r="X36" s="40"/>
      <c r="AD36" t="str">
        <f>IF($C36="","",IFERROR(INDEX(Catalogo!$B$6:$B$125,MATCH($C36,Catalogo!$C$6:$C$125,0)),""))</f>
        <v/>
      </c>
      <c r="AE36" t="str">
        <f>IF($AD36="Patch panel cobre",COUNTIF($AD$13:$AD36,"Patch panel cobre"),"")</f>
        <v/>
      </c>
      <c r="AH36" t="str">
        <f t="shared" si="3"/>
        <v/>
      </c>
      <c r="AM36">
        <f>IFERROR(MATCH(1,INDEX(($K$13:$K$42&lt;=22)*($J$13:$J$42&gt;=22),0),0),0)</f>
        <v>0</v>
      </c>
      <c r="AN36" t="str">
        <f>IF(22&gt;$AR$5,"Fuera",IF($AM36=0,"",INDEX($AD$13:$AD$42,$AM36)))</f>
        <v>Fuera</v>
      </c>
      <c r="BA36">
        <f>IF(OR(Catalogo!$C36="",Catalogo!$B36="Espacio libre",Catalogo!$B36="Espacio reservado"),0,COUNTIF($C$13:$C$42,Catalogo!$C36)+IF($E$7=Catalogo!$C36,N($K$7),0)+IF($E$8=Catalogo!$C36,N($N$8),0)+IF(Proyecto!$D$12=Catalogo!$C36,$AQ$4,0)+SUMIF($C$49:$C$58,Catalogo!$C36,$K$49:$K$58))</f>
        <v>0</v>
      </c>
      <c r="CL36">
        <f>IF($C36="",0,N(IFERROR(INDEX(Catalogo!$N$6:$N$125,MATCH($C36,Catalogo!$C$6:$C$125,0)),0)))</f>
        <v>0</v>
      </c>
      <c r="CM36">
        <f>IF($C36="",0,N(IFERROR(INDEX(Catalogo!$P$6:$P$125,MATCH($C36,Catalogo!$C$6:$C$125,0)),0)))</f>
        <v>0</v>
      </c>
      <c r="CN36">
        <f>IF($C36="",0,N(IFERROR(INDEX(Catalogo!$Q$6:$Q$125,MATCH($C36,Catalogo!$C$6:$C$125,0)),0)))</f>
        <v>0</v>
      </c>
      <c r="CO36">
        <f>IF($C36="",0,IF(OR($AD36="Espacio libre",$AD36="Espacio reservado"),0,IF(IFERROR(INDEX(Catalogo!$N$6:$N$125,MATCH($C36,Catalogo!$C$6:$C$125,0))="",TRUE),1,0)))</f>
        <v>0</v>
      </c>
    </row>
    <row r="37" spans="2:93" ht="14" customHeight="1" x14ac:dyDescent="0.45">
      <c r="B37" s="9">
        <v>25</v>
      </c>
      <c r="C37" s="47"/>
      <c r="D37" s="38"/>
      <c r="E37" s="39"/>
      <c r="F37" s="48" t="str">
        <f>IF($C37="","",IFERROR(INDEX(Catalogo!$E$6:$E$125,MATCH($C37,Catalogo!$C$6:$C$125,0)),""))</f>
        <v/>
      </c>
      <c r="G37" s="39"/>
      <c r="H37" s="9" t="str">
        <f>IF($C37="","",N(IFERROR(INDEX(Catalogo!$F$6:$F$125,MATCH($C37,Catalogo!$C$6:$C$125,0)),"")))</f>
        <v/>
      </c>
      <c r="I37" s="9" t="str">
        <f>IF($AD37&lt;&gt;"Patch panel cobre","",IFERROR(INDEX(Catalogo!$G$6:$G$125,MATCH($C37,Catalogo!$C$6:$C$125,0)),""))</f>
        <v/>
      </c>
      <c r="J37" s="9" t="str">
        <f>IF(OR($C37="",$H37=0),"",$AR$5-SUM($H$13:H36))</f>
        <v/>
      </c>
      <c r="K37" s="9" t="str">
        <f t="shared" si="0"/>
        <v/>
      </c>
      <c r="L37" s="9" t="str">
        <f t="shared" si="1"/>
        <v/>
      </c>
      <c r="M37" s="6"/>
      <c r="N37" s="6"/>
      <c r="O37" s="12" t="str">
        <f t="shared" si="2"/>
        <v/>
      </c>
      <c r="P37" s="37"/>
      <c r="Q37" s="39"/>
      <c r="R37" s="40"/>
      <c r="S37" s="13">
        <v>21</v>
      </c>
      <c r="T37" s="49" t="str">
        <f>IF($AM37=0,"",IF(INDEX($J$13:$J$42,$AM37)=21,INDEX($AH$13:$AH$42,$AM37),""))</f>
        <v/>
      </c>
      <c r="U37" s="38"/>
      <c r="V37" s="39"/>
      <c r="W37" s="13">
        <v>21</v>
      </c>
      <c r="X37" s="40"/>
      <c r="AD37" t="str">
        <f>IF($C37="","",IFERROR(INDEX(Catalogo!$B$6:$B$125,MATCH($C37,Catalogo!$C$6:$C$125,0)),""))</f>
        <v/>
      </c>
      <c r="AE37" t="str">
        <f>IF($AD37="Patch panel cobre",COUNTIF($AD$13:$AD37,"Patch panel cobre"),"")</f>
        <v/>
      </c>
      <c r="AH37" t="str">
        <f t="shared" si="3"/>
        <v/>
      </c>
      <c r="AM37">
        <f>IFERROR(MATCH(1,INDEX(($K$13:$K$42&lt;=21)*($J$13:$J$42&gt;=21),0),0),0)</f>
        <v>0</v>
      </c>
      <c r="AN37" t="str">
        <f>IF(21&gt;$AR$5,"Fuera",IF($AM37=0,"",INDEX($AD$13:$AD$42,$AM37)))</f>
        <v>Fuera</v>
      </c>
      <c r="BA37">
        <f>IF(OR(Catalogo!$C37="",Catalogo!$B37="Espacio libre",Catalogo!$B37="Espacio reservado"),0,COUNTIF($C$13:$C$42,Catalogo!$C37)+IF($E$7=Catalogo!$C37,N($K$7),0)+IF($E$8=Catalogo!$C37,N($N$8),0)+IF(Proyecto!$D$12=Catalogo!$C37,$AQ$4,0)+SUMIF($C$49:$C$58,Catalogo!$C37,$K$49:$K$58))</f>
        <v>0</v>
      </c>
      <c r="CL37">
        <f>IF($C37="",0,N(IFERROR(INDEX(Catalogo!$N$6:$N$125,MATCH($C37,Catalogo!$C$6:$C$125,0)),0)))</f>
        <v>0</v>
      </c>
      <c r="CM37">
        <f>IF($C37="",0,N(IFERROR(INDEX(Catalogo!$P$6:$P$125,MATCH($C37,Catalogo!$C$6:$C$125,0)),0)))</f>
        <v>0</v>
      </c>
      <c r="CN37">
        <f>IF($C37="",0,N(IFERROR(INDEX(Catalogo!$Q$6:$Q$125,MATCH($C37,Catalogo!$C$6:$C$125,0)),0)))</f>
        <v>0</v>
      </c>
      <c r="CO37">
        <f>IF($C37="",0,IF(OR($AD37="Espacio libre",$AD37="Espacio reservado"),0,IF(IFERROR(INDEX(Catalogo!$N$6:$N$125,MATCH($C37,Catalogo!$C$6:$C$125,0))="",TRUE),1,0)))</f>
        <v>0</v>
      </c>
    </row>
    <row r="38" spans="2:93" ht="14" customHeight="1" x14ac:dyDescent="0.45">
      <c r="B38" s="9">
        <v>26</v>
      </c>
      <c r="C38" s="47"/>
      <c r="D38" s="38"/>
      <c r="E38" s="39"/>
      <c r="F38" s="48" t="str">
        <f>IF($C38="","",IFERROR(INDEX(Catalogo!$E$6:$E$125,MATCH($C38,Catalogo!$C$6:$C$125,0)),""))</f>
        <v/>
      </c>
      <c r="G38" s="39"/>
      <c r="H38" s="9" t="str">
        <f>IF($C38="","",N(IFERROR(INDEX(Catalogo!$F$6:$F$125,MATCH($C38,Catalogo!$C$6:$C$125,0)),"")))</f>
        <v/>
      </c>
      <c r="I38" s="9" t="str">
        <f>IF($AD38&lt;&gt;"Patch panel cobre","",IFERROR(INDEX(Catalogo!$G$6:$G$125,MATCH($C38,Catalogo!$C$6:$C$125,0)),""))</f>
        <v/>
      </c>
      <c r="J38" s="9" t="str">
        <f>IF(OR($C38="",$H38=0),"",$AR$5-SUM($H$13:H37))</f>
        <v/>
      </c>
      <c r="K38" s="9" t="str">
        <f t="shared" si="0"/>
        <v/>
      </c>
      <c r="L38" s="9" t="str">
        <f t="shared" si="1"/>
        <v/>
      </c>
      <c r="M38" s="6"/>
      <c r="N38" s="6"/>
      <c r="O38" s="12" t="str">
        <f t="shared" si="2"/>
        <v/>
      </c>
      <c r="P38" s="37"/>
      <c r="Q38" s="39"/>
      <c r="R38" s="40"/>
      <c r="S38" s="13">
        <v>20</v>
      </c>
      <c r="T38" s="49" t="str">
        <f>IF($AM38=0,"",IF(INDEX($J$13:$J$42,$AM38)=20,INDEX($AH$13:$AH$42,$AM38),""))</f>
        <v/>
      </c>
      <c r="U38" s="38"/>
      <c r="V38" s="39"/>
      <c r="W38" s="13">
        <v>20</v>
      </c>
      <c r="X38" s="40"/>
      <c r="AD38" t="str">
        <f>IF($C38="","",IFERROR(INDEX(Catalogo!$B$6:$B$125,MATCH($C38,Catalogo!$C$6:$C$125,0)),""))</f>
        <v/>
      </c>
      <c r="AE38" t="str">
        <f>IF($AD38="Patch panel cobre",COUNTIF($AD$13:$AD38,"Patch panel cobre"),"")</f>
        <v/>
      </c>
      <c r="AH38" t="str">
        <f t="shared" si="3"/>
        <v/>
      </c>
      <c r="AM38">
        <f>IFERROR(MATCH(1,INDEX(($K$13:$K$42&lt;=20)*($J$13:$J$42&gt;=20),0),0),0)</f>
        <v>0</v>
      </c>
      <c r="AN38" t="str">
        <f>IF(20&gt;$AR$5,"Fuera",IF($AM38=0,"",INDEX($AD$13:$AD$42,$AM38)))</f>
        <v>Fuera</v>
      </c>
      <c r="BA38">
        <f>IF(OR(Catalogo!$C38="",Catalogo!$B38="Espacio libre",Catalogo!$B38="Espacio reservado"),0,COUNTIF($C$13:$C$42,Catalogo!$C38)+IF($E$7=Catalogo!$C38,N($K$7),0)+IF($E$8=Catalogo!$C38,N($N$8),0)+IF(Proyecto!$D$12=Catalogo!$C38,$AQ$4,0)+SUMIF($C$49:$C$58,Catalogo!$C38,$K$49:$K$58))</f>
        <v>1</v>
      </c>
      <c r="CL38">
        <f>IF($C38="",0,N(IFERROR(INDEX(Catalogo!$N$6:$N$125,MATCH($C38,Catalogo!$C$6:$C$125,0)),0)))</f>
        <v>0</v>
      </c>
      <c r="CM38">
        <f>IF($C38="",0,N(IFERROR(INDEX(Catalogo!$P$6:$P$125,MATCH($C38,Catalogo!$C$6:$C$125,0)),0)))</f>
        <v>0</v>
      </c>
      <c r="CN38">
        <f>IF($C38="",0,N(IFERROR(INDEX(Catalogo!$Q$6:$Q$125,MATCH($C38,Catalogo!$C$6:$C$125,0)),0)))</f>
        <v>0</v>
      </c>
      <c r="CO38">
        <f>IF($C38="",0,IF(OR($AD38="Espacio libre",$AD38="Espacio reservado"),0,IF(IFERROR(INDEX(Catalogo!$N$6:$N$125,MATCH($C38,Catalogo!$C$6:$C$125,0))="",TRUE),1,0)))</f>
        <v>0</v>
      </c>
    </row>
    <row r="39" spans="2:93" ht="14" customHeight="1" x14ac:dyDescent="0.45">
      <c r="B39" s="9">
        <v>27</v>
      </c>
      <c r="C39" s="47"/>
      <c r="D39" s="38"/>
      <c r="E39" s="39"/>
      <c r="F39" s="48" t="str">
        <f>IF($C39="","",IFERROR(INDEX(Catalogo!$E$6:$E$125,MATCH($C39,Catalogo!$C$6:$C$125,0)),""))</f>
        <v/>
      </c>
      <c r="G39" s="39"/>
      <c r="H39" s="9" t="str">
        <f>IF($C39="","",N(IFERROR(INDEX(Catalogo!$F$6:$F$125,MATCH($C39,Catalogo!$C$6:$C$125,0)),"")))</f>
        <v/>
      </c>
      <c r="I39" s="9" t="str">
        <f>IF($AD39&lt;&gt;"Patch panel cobre","",IFERROR(INDEX(Catalogo!$G$6:$G$125,MATCH($C39,Catalogo!$C$6:$C$125,0)),""))</f>
        <v/>
      </c>
      <c r="J39" s="9" t="str">
        <f>IF(OR($C39="",$H39=0),"",$AR$5-SUM($H$13:H38))</f>
        <v/>
      </c>
      <c r="K39" s="9" t="str">
        <f t="shared" si="0"/>
        <v/>
      </c>
      <c r="L39" s="9" t="str">
        <f t="shared" si="1"/>
        <v/>
      </c>
      <c r="M39" s="6"/>
      <c r="N39" s="6"/>
      <c r="O39" s="12" t="str">
        <f t="shared" si="2"/>
        <v/>
      </c>
      <c r="P39" s="37"/>
      <c r="Q39" s="39"/>
      <c r="R39" s="40"/>
      <c r="S39" s="13">
        <v>19</v>
      </c>
      <c r="T39" s="49" t="str">
        <f>IF($AM39=0,"",IF(INDEX($J$13:$J$42,$AM39)=19,INDEX($AH$13:$AH$42,$AM39),""))</f>
        <v/>
      </c>
      <c r="U39" s="38"/>
      <c r="V39" s="39"/>
      <c r="W39" s="13">
        <v>19</v>
      </c>
      <c r="X39" s="40"/>
      <c r="AD39" t="str">
        <f>IF($C39="","",IFERROR(INDEX(Catalogo!$B$6:$B$125,MATCH($C39,Catalogo!$C$6:$C$125,0)),""))</f>
        <v/>
      </c>
      <c r="AE39" t="str">
        <f>IF($AD39="Patch panel cobre",COUNTIF($AD$13:$AD39,"Patch panel cobre"),"")</f>
        <v/>
      </c>
      <c r="AH39" t="str">
        <f t="shared" si="3"/>
        <v/>
      </c>
      <c r="AM39">
        <f>IFERROR(MATCH(1,INDEX(($K$13:$K$42&lt;=19)*($J$13:$J$42&gt;=19),0),0),0)</f>
        <v>0</v>
      </c>
      <c r="AN39" t="str">
        <f>IF(19&gt;$AR$5,"Fuera",IF($AM39=0,"",INDEX($AD$13:$AD$42,$AM39)))</f>
        <v>Fuera</v>
      </c>
      <c r="BA39">
        <f>IF(OR(Catalogo!$C39="",Catalogo!$B39="Espacio libre",Catalogo!$B39="Espacio reservado"),0,COUNTIF($C$13:$C$42,Catalogo!$C39)+IF($E$7=Catalogo!$C39,N($K$7),0)+IF($E$8=Catalogo!$C39,N($N$8),0)+IF(Proyecto!$D$12=Catalogo!$C39,$AQ$4,0)+SUMIF($C$49:$C$58,Catalogo!$C39,$K$49:$K$58))</f>
        <v>0</v>
      </c>
      <c r="CL39">
        <f>IF($C39="",0,N(IFERROR(INDEX(Catalogo!$N$6:$N$125,MATCH($C39,Catalogo!$C$6:$C$125,0)),0)))</f>
        <v>0</v>
      </c>
      <c r="CM39">
        <f>IF($C39="",0,N(IFERROR(INDEX(Catalogo!$P$6:$P$125,MATCH($C39,Catalogo!$C$6:$C$125,0)),0)))</f>
        <v>0</v>
      </c>
      <c r="CN39">
        <f>IF($C39="",0,N(IFERROR(INDEX(Catalogo!$Q$6:$Q$125,MATCH($C39,Catalogo!$C$6:$C$125,0)),0)))</f>
        <v>0</v>
      </c>
      <c r="CO39">
        <f>IF($C39="",0,IF(OR($AD39="Espacio libre",$AD39="Espacio reservado"),0,IF(IFERROR(INDEX(Catalogo!$N$6:$N$125,MATCH($C39,Catalogo!$C$6:$C$125,0))="",TRUE),1,0)))</f>
        <v>0</v>
      </c>
    </row>
    <row r="40" spans="2:93" ht="14" customHeight="1" x14ac:dyDescent="0.45">
      <c r="B40" s="9">
        <v>28</v>
      </c>
      <c r="C40" s="47"/>
      <c r="D40" s="38"/>
      <c r="E40" s="39"/>
      <c r="F40" s="48" t="str">
        <f>IF($C40="","",IFERROR(INDEX(Catalogo!$E$6:$E$125,MATCH($C40,Catalogo!$C$6:$C$125,0)),""))</f>
        <v/>
      </c>
      <c r="G40" s="39"/>
      <c r="H40" s="9" t="str">
        <f>IF($C40="","",N(IFERROR(INDEX(Catalogo!$F$6:$F$125,MATCH($C40,Catalogo!$C$6:$C$125,0)),"")))</f>
        <v/>
      </c>
      <c r="I40" s="9" t="str">
        <f>IF($AD40&lt;&gt;"Patch panel cobre","",IFERROR(INDEX(Catalogo!$G$6:$G$125,MATCH($C40,Catalogo!$C$6:$C$125,0)),""))</f>
        <v/>
      </c>
      <c r="J40" s="9" t="str">
        <f>IF(OR($C40="",$H40=0),"",$AR$5-SUM($H$13:H39))</f>
        <v/>
      </c>
      <c r="K40" s="9" t="str">
        <f t="shared" si="0"/>
        <v/>
      </c>
      <c r="L40" s="9" t="str">
        <f t="shared" si="1"/>
        <v/>
      </c>
      <c r="M40" s="6"/>
      <c r="N40" s="6"/>
      <c r="O40" s="12" t="str">
        <f t="shared" si="2"/>
        <v/>
      </c>
      <c r="P40" s="37"/>
      <c r="Q40" s="39"/>
      <c r="R40" s="40"/>
      <c r="S40" s="13">
        <v>18</v>
      </c>
      <c r="T40" s="49" t="str">
        <f>IF($AM40=0,"",IF(INDEX($J$13:$J$42,$AM40)=18,INDEX($AH$13:$AH$42,$AM40),""))</f>
        <v/>
      </c>
      <c r="U40" s="38"/>
      <c r="V40" s="39"/>
      <c r="W40" s="13">
        <v>18</v>
      </c>
      <c r="X40" s="40"/>
      <c r="AD40" t="str">
        <f>IF($C40="","",IFERROR(INDEX(Catalogo!$B$6:$B$125,MATCH($C40,Catalogo!$C$6:$C$125,0)),""))</f>
        <v/>
      </c>
      <c r="AE40" t="str">
        <f>IF($AD40="Patch panel cobre",COUNTIF($AD$13:$AD40,"Patch panel cobre"),"")</f>
        <v/>
      </c>
      <c r="AH40" t="str">
        <f t="shared" si="3"/>
        <v/>
      </c>
      <c r="AM40">
        <f>IFERROR(MATCH(1,INDEX(($K$13:$K$42&lt;=18)*($J$13:$J$42&gt;=18),0),0),0)</f>
        <v>0</v>
      </c>
      <c r="AN40" t="str">
        <f>IF(18&gt;$AR$5,"Fuera",IF($AM40=0,"",INDEX($AD$13:$AD$42,$AM40)))</f>
        <v>Fuera</v>
      </c>
      <c r="BA40">
        <f>IF(OR(Catalogo!$C40="",Catalogo!$B40="Espacio libre",Catalogo!$B40="Espacio reservado"),0,COUNTIF($C$13:$C$42,Catalogo!$C40)+IF($E$7=Catalogo!$C40,N($K$7),0)+IF($E$8=Catalogo!$C40,N($N$8),0)+IF(Proyecto!$D$12=Catalogo!$C40,$AQ$4,0)+SUMIF($C$49:$C$58,Catalogo!$C40,$K$49:$K$58))</f>
        <v>0</v>
      </c>
      <c r="CL40">
        <f>IF($C40="",0,N(IFERROR(INDEX(Catalogo!$N$6:$N$125,MATCH($C40,Catalogo!$C$6:$C$125,0)),0)))</f>
        <v>0</v>
      </c>
      <c r="CM40">
        <f>IF($C40="",0,N(IFERROR(INDEX(Catalogo!$P$6:$P$125,MATCH($C40,Catalogo!$C$6:$C$125,0)),0)))</f>
        <v>0</v>
      </c>
      <c r="CN40">
        <f>IF($C40="",0,N(IFERROR(INDEX(Catalogo!$Q$6:$Q$125,MATCH($C40,Catalogo!$C$6:$C$125,0)),0)))</f>
        <v>0</v>
      </c>
      <c r="CO40">
        <f>IF($C40="",0,IF(OR($AD40="Espacio libre",$AD40="Espacio reservado"),0,IF(IFERROR(INDEX(Catalogo!$N$6:$N$125,MATCH($C40,Catalogo!$C$6:$C$125,0))="",TRUE),1,0)))</f>
        <v>0</v>
      </c>
    </row>
    <row r="41" spans="2:93" ht="14" customHeight="1" x14ac:dyDescent="0.45">
      <c r="B41" s="9">
        <v>29</v>
      </c>
      <c r="C41" s="47"/>
      <c r="D41" s="38"/>
      <c r="E41" s="39"/>
      <c r="F41" s="48" t="str">
        <f>IF($C41="","",IFERROR(INDEX(Catalogo!$E$6:$E$125,MATCH($C41,Catalogo!$C$6:$C$125,0)),""))</f>
        <v/>
      </c>
      <c r="G41" s="39"/>
      <c r="H41" s="9" t="str">
        <f>IF($C41="","",N(IFERROR(INDEX(Catalogo!$F$6:$F$125,MATCH($C41,Catalogo!$C$6:$C$125,0)),"")))</f>
        <v/>
      </c>
      <c r="I41" s="9" t="str">
        <f>IF($AD41&lt;&gt;"Patch panel cobre","",IFERROR(INDEX(Catalogo!$G$6:$G$125,MATCH($C41,Catalogo!$C$6:$C$125,0)),""))</f>
        <v/>
      </c>
      <c r="J41" s="9" t="str">
        <f>IF(OR($C41="",$H41=0),"",$AR$5-SUM($H$13:H40))</f>
        <v/>
      </c>
      <c r="K41" s="9" t="str">
        <f t="shared" si="0"/>
        <v/>
      </c>
      <c r="L41" s="9" t="str">
        <f t="shared" si="1"/>
        <v/>
      </c>
      <c r="M41" s="6"/>
      <c r="N41" s="6"/>
      <c r="O41" s="12" t="str">
        <f t="shared" si="2"/>
        <v/>
      </c>
      <c r="P41" s="37"/>
      <c r="Q41" s="39"/>
      <c r="R41" s="40"/>
      <c r="S41" s="13">
        <v>17</v>
      </c>
      <c r="T41" s="49" t="str">
        <f>IF($AM41=0,"",IF(INDEX($J$13:$J$42,$AM41)=17,INDEX($AH$13:$AH$42,$AM41),""))</f>
        <v/>
      </c>
      <c r="U41" s="38"/>
      <c r="V41" s="39"/>
      <c r="W41" s="13">
        <v>17</v>
      </c>
      <c r="X41" s="40"/>
      <c r="AD41" t="str">
        <f>IF($C41="","",IFERROR(INDEX(Catalogo!$B$6:$B$125,MATCH($C41,Catalogo!$C$6:$C$125,0)),""))</f>
        <v/>
      </c>
      <c r="AE41" t="str">
        <f>IF($AD41="Patch panel cobre",COUNTIF($AD$13:$AD41,"Patch panel cobre"),"")</f>
        <v/>
      </c>
      <c r="AH41" t="str">
        <f t="shared" si="3"/>
        <v/>
      </c>
      <c r="AM41">
        <f>IFERROR(MATCH(1,INDEX(($K$13:$K$42&lt;=17)*($J$13:$J$42&gt;=17),0),0),0)</f>
        <v>0</v>
      </c>
      <c r="AN41" t="str">
        <f>IF(17&gt;$AR$5,"Fuera",IF($AM41=0,"",INDEX($AD$13:$AD$42,$AM41)))</f>
        <v>Fuera</v>
      </c>
      <c r="BA41">
        <f>IF(OR(Catalogo!$C41="",Catalogo!$B41="Espacio libre",Catalogo!$B41="Espacio reservado"),0,COUNTIF($C$13:$C$42,Catalogo!$C41)+IF($E$7=Catalogo!$C41,N($K$7),0)+IF($E$8=Catalogo!$C41,N($N$8),0)+IF(Proyecto!$D$12=Catalogo!$C41,$AQ$4,0)+SUMIF($C$49:$C$58,Catalogo!$C41,$K$49:$K$58))</f>
        <v>0</v>
      </c>
      <c r="CL41">
        <f>IF($C41="",0,N(IFERROR(INDEX(Catalogo!$N$6:$N$125,MATCH($C41,Catalogo!$C$6:$C$125,0)),0)))</f>
        <v>0</v>
      </c>
      <c r="CM41">
        <f>IF($C41="",0,N(IFERROR(INDEX(Catalogo!$P$6:$P$125,MATCH($C41,Catalogo!$C$6:$C$125,0)),0)))</f>
        <v>0</v>
      </c>
      <c r="CN41">
        <f>IF($C41="",0,N(IFERROR(INDEX(Catalogo!$Q$6:$Q$125,MATCH($C41,Catalogo!$C$6:$C$125,0)),0)))</f>
        <v>0</v>
      </c>
      <c r="CO41">
        <f>IF($C41="",0,IF(OR($AD41="Espacio libre",$AD41="Espacio reservado"),0,IF(IFERROR(INDEX(Catalogo!$N$6:$N$125,MATCH($C41,Catalogo!$C$6:$C$125,0))="",TRUE),1,0)))</f>
        <v>0</v>
      </c>
    </row>
    <row r="42" spans="2:93" ht="14" customHeight="1" x14ac:dyDescent="0.45">
      <c r="B42" s="9">
        <v>30</v>
      </c>
      <c r="C42" s="47"/>
      <c r="D42" s="38"/>
      <c r="E42" s="39"/>
      <c r="F42" s="48" t="str">
        <f>IF($C42="","",IFERROR(INDEX(Catalogo!$E$6:$E$125,MATCH($C42,Catalogo!$C$6:$C$125,0)),""))</f>
        <v/>
      </c>
      <c r="G42" s="39"/>
      <c r="H42" s="9" t="str">
        <f>IF($C42="","",N(IFERROR(INDEX(Catalogo!$F$6:$F$125,MATCH($C42,Catalogo!$C$6:$C$125,0)),"")))</f>
        <v/>
      </c>
      <c r="I42" s="9" t="str">
        <f>IF($AD42&lt;&gt;"Patch panel cobre","",IFERROR(INDEX(Catalogo!$G$6:$G$125,MATCH($C42,Catalogo!$C$6:$C$125,0)),""))</f>
        <v/>
      </c>
      <c r="J42" s="9" t="str">
        <f>IF(OR($C42="",$H42=0),"",$AR$5-SUM($H$13:H41))</f>
        <v/>
      </c>
      <c r="K42" s="9" t="str">
        <f t="shared" si="0"/>
        <v/>
      </c>
      <c r="L42" s="9" t="str">
        <f t="shared" si="1"/>
        <v/>
      </c>
      <c r="M42" s="6"/>
      <c r="N42" s="6"/>
      <c r="O42" s="12" t="str">
        <f t="shared" si="2"/>
        <v/>
      </c>
      <c r="P42" s="37"/>
      <c r="Q42" s="39"/>
      <c r="R42" s="40"/>
      <c r="S42" s="13">
        <v>16</v>
      </c>
      <c r="T42" s="49" t="str">
        <f>IF($AM42=0,"",IF(INDEX($J$13:$J$42,$AM42)=16,INDEX($AH$13:$AH$42,$AM42),""))</f>
        <v/>
      </c>
      <c r="U42" s="38"/>
      <c r="V42" s="39"/>
      <c r="W42" s="13">
        <v>16</v>
      </c>
      <c r="X42" s="40"/>
      <c r="AD42" t="str">
        <f>IF($C42="","",IFERROR(INDEX(Catalogo!$B$6:$B$125,MATCH($C42,Catalogo!$C$6:$C$125,0)),""))</f>
        <v/>
      </c>
      <c r="AE42" t="str">
        <f>IF($AD42="Patch panel cobre",COUNTIF($AD$13:$AD42,"Patch panel cobre"),"")</f>
        <v/>
      </c>
      <c r="AH42" t="str">
        <f t="shared" si="3"/>
        <v/>
      </c>
      <c r="AM42">
        <f>IFERROR(MATCH(1,INDEX(($K$13:$K$42&lt;=16)*($J$13:$J$42&gt;=16),0),0),0)</f>
        <v>0</v>
      </c>
      <c r="AN42" t="str">
        <f>IF(16&gt;$AR$5,"Fuera",IF($AM42=0,"",INDEX($AD$13:$AD$42,$AM42)))</f>
        <v>Fuera</v>
      </c>
      <c r="BA42">
        <f>IF(OR(Catalogo!$C42="",Catalogo!$B42="Espacio libre",Catalogo!$B42="Espacio reservado"),0,COUNTIF($C$13:$C$42,Catalogo!$C42)+IF($E$7=Catalogo!$C42,N($K$7),0)+IF($E$8=Catalogo!$C42,N($N$8),0)+IF(Proyecto!$D$12=Catalogo!$C42,$AQ$4,0)+SUMIF($C$49:$C$58,Catalogo!$C42,$K$49:$K$58))</f>
        <v>0</v>
      </c>
      <c r="CL42">
        <f>IF($C42="",0,N(IFERROR(INDEX(Catalogo!$N$6:$N$125,MATCH($C42,Catalogo!$C$6:$C$125,0)),0)))</f>
        <v>0</v>
      </c>
      <c r="CM42">
        <f>IF($C42="",0,N(IFERROR(INDEX(Catalogo!$P$6:$P$125,MATCH($C42,Catalogo!$C$6:$C$125,0)),0)))</f>
        <v>0</v>
      </c>
      <c r="CN42">
        <f>IF($C42="",0,N(IFERROR(INDEX(Catalogo!$Q$6:$Q$125,MATCH($C42,Catalogo!$C$6:$C$125,0)),0)))</f>
        <v>0</v>
      </c>
      <c r="CO42">
        <f>IF($C42="",0,IF(OR($AD42="Espacio libre",$AD42="Espacio reservado"),0,IF(IFERROR(INDEX(Catalogo!$N$6:$N$125,MATCH($C42,Catalogo!$C$6:$C$125,0))="",TRUE),1,0)))</f>
        <v>0</v>
      </c>
    </row>
    <row r="43" spans="2:93" ht="14" customHeight="1" x14ac:dyDescent="0.45">
      <c r="B43" s="42" t="s">
        <v>398</v>
      </c>
      <c r="C43" s="43"/>
      <c r="D43" s="43"/>
      <c r="E43" s="43"/>
      <c r="F43" s="43"/>
      <c r="G43" s="44"/>
      <c r="H43" s="9">
        <f>AR6-SUMIF($AD$13:$AD$42,"Espacio libre",$H$13:$H$42)</f>
        <v>9</v>
      </c>
      <c r="I43" s="9">
        <f>IF($AR$6&gt;$AR$5,$AR$5-$AR$6,$AR$5-H43)</f>
        <v>3</v>
      </c>
      <c r="J43" s="12">
        <f>H43/$AR$5</f>
        <v>0.75</v>
      </c>
      <c r="K43" s="52" t="str">
        <f>IF(OR($AR$6&gt;$AR$5,COUNTIF(K13:K42,"&lt;1")&gt;0),"❌ EXCEDE: "&amp;$AR$6&amp;" de "&amp;$AR$5&amp;" RU (sobran "&amp;($AR$6-$AR$5)&amp;")","✓ OK: cabe en el rack")</f>
        <v>✓ OK: cabe en el rack</v>
      </c>
      <c r="L43" s="38"/>
      <c r="M43" s="38"/>
      <c r="N43" s="39"/>
      <c r="O43" s="12">
        <f>IFERROR(SUM($BS$13:$BS$28)/SUM($BF$13:$BF$28),"")</f>
        <v>1</v>
      </c>
      <c r="P43" s="45" t="s">
        <v>399</v>
      </c>
      <c r="Q43" s="39"/>
      <c r="R43" s="40"/>
      <c r="S43" s="13">
        <v>15</v>
      </c>
      <c r="T43" s="49" t="str">
        <f>IF($AM43=0,"",IF(INDEX($J$13:$J$42,$AM43)=15,INDEX($AH$13:$AH$42,$AM43),""))</f>
        <v/>
      </c>
      <c r="U43" s="38"/>
      <c r="V43" s="39"/>
      <c r="W43" s="13">
        <v>15</v>
      </c>
      <c r="X43" s="40"/>
      <c r="AM43">
        <f>IFERROR(MATCH(1,INDEX(($K$13:$K$42&lt;=15)*($J$13:$J$42&gt;=15),0),0),0)</f>
        <v>0</v>
      </c>
      <c r="AN43" t="str">
        <f>IF(15&gt;$AR$5,"Fuera",IF($AM43=0,"",INDEX($AD$13:$AD$42,$AM43)))</f>
        <v>Fuera</v>
      </c>
      <c r="BA43">
        <f>IF(OR(Catalogo!$C43="",Catalogo!$B43="Espacio libre",Catalogo!$B43="Espacio reservado"),0,COUNTIF($C$13:$C$42,Catalogo!$C43)+IF($E$7=Catalogo!$C43,N($K$7),0)+IF($E$8=Catalogo!$C43,N($N$8),0)+IF(Proyecto!$D$12=Catalogo!$C43,$AQ$4,0)+SUMIF($C$49:$C$58,Catalogo!$C43,$K$49:$K$58))</f>
        <v>0</v>
      </c>
    </row>
    <row r="44" spans="2:93" ht="14" customHeight="1" x14ac:dyDescent="0.45">
      <c r="B44" s="10" t="s">
        <v>400</v>
      </c>
      <c r="R44" s="40"/>
      <c r="S44" s="13">
        <v>14</v>
      </c>
      <c r="T44" s="49" t="str">
        <f>IF($AM44=0,"",IF(INDEX($J$13:$J$42,$AM44)=14,INDEX($AH$13:$AH$42,$AM44),""))</f>
        <v/>
      </c>
      <c r="U44" s="38"/>
      <c r="V44" s="39"/>
      <c r="W44" s="13">
        <v>14</v>
      </c>
      <c r="X44" s="40"/>
      <c r="AM44">
        <f>IFERROR(MATCH(1,INDEX(($K$13:$K$42&lt;=14)*($J$13:$J$42&gt;=14),0),0),0)</f>
        <v>0</v>
      </c>
      <c r="AN44" t="str">
        <f>IF(14&gt;$AR$5,"Fuera",IF($AM44=0,"",INDEX($AD$13:$AD$42,$AM44)))</f>
        <v>Fuera</v>
      </c>
      <c r="BA44">
        <f>IF(OR(Catalogo!$C44="",Catalogo!$B44="Espacio libre",Catalogo!$B44="Espacio reservado"),0,COUNTIF($C$13:$C$42,Catalogo!$C44)+IF($E$7=Catalogo!$C44,N($K$7),0)+IF($E$8=Catalogo!$C44,N($N$8),0)+IF(Proyecto!$D$12=Catalogo!$C44,$AQ$4,0)+SUMIF($C$49:$C$58,Catalogo!$C44,$K$49:$K$58))</f>
        <v>0</v>
      </c>
    </row>
    <row r="45" spans="2:93" ht="14" customHeight="1" x14ac:dyDescent="0.45">
      <c r="B45" s="10" t="s">
        <v>460</v>
      </c>
      <c r="R45" s="40"/>
      <c r="S45" s="13">
        <v>13</v>
      </c>
      <c r="T45" s="49" t="str">
        <f>IF($AM45=0,"",IF(INDEX($J$13:$J$42,$AM45)=13,INDEX($AH$13:$AH$42,$AM45),""))</f>
        <v/>
      </c>
      <c r="U45" s="38"/>
      <c r="V45" s="39"/>
      <c r="W45" s="13">
        <v>13</v>
      </c>
      <c r="X45" s="40"/>
      <c r="AM45">
        <f>IFERROR(MATCH(1,INDEX(($K$13:$K$42&lt;=13)*($J$13:$J$42&gt;=13),0),0),0)</f>
        <v>0</v>
      </c>
      <c r="AN45" t="str">
        <f>IF(13&gt;$AR$5,"Fuera",IF($AM45=0,"",INDEX($AD$13:$AD$42,$AM45)))</f>
        <v>Fuera</v>
      </c>
      <c r="BA45">
        <f>IF(OR(Catalogo!$C45="",Catalogo!$B45="Espacio libre",Catalogo!$B45="Espacio reservado"),0,COUNTIF($C$13:$C$42,Catalogo!$C45)+IF($E$7=Catalogo!$C45,N($K$7),0)+IF($E$8=Catalogo!$C45,N($N$8),0)+IF(Proyecto!$D$12=Catalogo!$C45,$AQ$4,0)+SUMIF($C$49:$C$58,Catalogo!$C45,$K$49:$K$58))</f>
        <v>0</v>
      </c>
    </row>
    <row r="46" spans="2:93" ht="14" customHeight="1" x14ac:dyDescent="0.45">
      <c r="R46" s="40"/>
      <c r="S46" s="13">
        <v>12</v>
      </c>
      <c r="T46" s="49" t="str">
        <f>IF($AM46=0,"",IF(INDEX($J$13:$J$42,$AM46)=12,INDEX($AH$13:$AH$42,$AM46),""))</f>
        <v>Bandeja de fibra 1RU FMD1 + adaptador LC FAP12WAQDLCZ</v>
      </c>
      <c r="U46" s="38"/>
      <c r="V46" s="39"/>
      <c r="W46" s="13">
        <v>12</v>
      </c>
      <c r="X46" s="40"/>
      <c r="AM46">
        <f>IFERROR(MATCH(1,INDEX(($K$13:$K$42&lt;=12)*($J$13:$J$42&gt;=12),0),0),0)</f>
        <v>1</v>
      </c>
      <c r="AN46" t="str">
        <f>IF(12&gt;$AR$5,"Fuera",IF($AM46=0,"",INDEX($AD$13:$AD$42,$AM46)))</f>
        <v>Fibra</v>
      </c>
      <c r="BA46">
        <f>IF(OR(Catalogo!$C46="",Catalogo!$B46="Espacio libre",Catalogo!$B46="Espacio reservado"),0,COUNTIF($C$13:$C$42,Catalogo!$C46)+IF($E$7=Catalogo!$C46,N($K$7),0)+IF($E$8=Catalogo!$C46,N($N$8),0)+IF(Proyecto!$D$12=Catalogo!$C46,$AQ$4,0)+SUMIF($C$49:$C$58,Catalogo!$C46,$K$49:$K$58))</f>
        <v>0</v>
      </c>
    </row>
    <row r="47" spans="2:93" ht="14" customHeight="1" x14ac:dyDescent="0.45">
      <c r="B47" s="2" t="s">
        <v>401</v>
      </c>
      <c r="C47" s="2"/>
      <c r="D47" s="2"/>
      <c r="E47" s="2" t="s">
        <v>402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40"/>
      <c r="S47" s="13">
        <v>11</v>
      </c>
      <c r="T47" s="49" t="str">
        <f>IF($AM47=0,"",IF(INDEX($J$13:$J$42,$AM47)=11,INDEX($AH$13:$AH$42,$AM47),""))</f>
        <v>Patch panel 1C-AA · 24 p · D</v>
      </c>
      <c r="U47" s="38"/>
      <c r="V47" s="39"/>
      <c r="W47" s="13">
        <v>11</v>
      </c>
      <c r="X47" s="40"/>
      <c r="AM47">
        <f>IFERROR(MATCH(1,INDEX(($K$13:$K$42&lt;=11)*($J$13:$J$42&gt;=11),0),0),0)</f>
        <v>2</v>
      </c>
      <c r="AN47" t="str">
        <f>IF(11&gt;$AR$5,"Fuera",IF($AM47=0,"",INDEX($AD$13:$AD$42,$AM47)))</f>
        <v>Patch panel cobre</v>
      </c>
      <c r="BA47">
        <f>IF(OR(Catalogo!$C47="",Catalogo!$B47="Espacio libre",Catalogo!$B47="Espacio reservado"),0,COUNTIF($C$13:$C$42,Catalogo!$C47)+IF($E$7=Catalogo!$C47,N($K$7),0)+IF($E$8=Catalogo!$C47,N($N$8),0)+IF(Proyecto!$D$12=Catalogo!$C47,$AQ$4,0)+SUMIF($C$49:$C$58,Catalogo!$C47,$K$49:$K$58))</f>
        <v>0</v>
      </c>
    </row>
    <row r="48" spans="2:93" ht="14" customHeight="1" x14ac:dyDescent="0.45">
      <c r="B48" s="5" t="s">
        <v>385</v>
      </c>
      <c r="C48" s="42" t="s">
        <v>386</v>
      </c>
      <c r="D48" s="43"/>
      <c r="E48" s="43"/>
      <c r="F48" s="43"/>
      <c r="G48" s="43"/>
      <c r="H48" s="44"/>
      <c r="I48" s="42" t="s">
        <v>61</v>
      </c>
      <c r="J48" s="44"/>
      <c r="K48" s="5" t="s">
        <v>377</v>
      </c>
      <c r="L48" s="42" t="s">
        <v>403</v>
      </c>
      <c r="M48" s="43"/>
      <c r="N48" s="43"/>
      <c r="O48" s="43"/>
      <c r="P48" s="43"/>
      <c r="Q48" s="44"/>
      <c r="R48" s="40"/>
      <c r="S48" s="13">
        <v>10</v>
      </c>
      <c r="T48" s="49" t="str">
        <f>IF($AM48=0,"",IF(INDEX($J$13:$J$42,$AM48)=10,INDEX($AH$13:$AH$42,$AM48),""))</f>
        <v>Org. horizontal 1RU frontal</v>
      </c>
      <c r="U48" s="38"/>
      <c r="V48" s="39"/>
      <c r="W48" s="13">
        <v>10</v>
      </c>
      <c r="X48" s="40"/>
      <c r="AM48">
        <f>IFERROR(MATCH(1,INDEX(($K$13:$K$42&lt;=10)*($J$13:$J$42&gt;=10),0),0),0)</f>
        <v>3</v>
      </c>
      <c r="AN48" t="str">
        <f>IF(10&gt;$AR$5,"Fuera",IF($AM48=0,"",INDEX($AD$13:$AD$42,$AM48)))</f>
        <v>Organizador horizontal</v>
      </c>
      <c r="BA48">
        <f>IF(OR(Catalogo!$C48="",Catalogo!$B48="Espacio libre",Catalogo!$B48="Espacio reservado"),0,COUNTIF($C$13:$C$42,Catalogo!$C48)+IF($E$7=Catalogo!$C48,N($K$7),0)+IF($E$8=Catalogo!$C48,N($N$8),0)+IF(Proyecto!$D$12=Catalogo!$C48,$AQ$4,0)+SUMIF($C$49:$C$58,Catalogo!$C48,$K$49:$K$58))</f>
        <v>0</v>
      </c>
    </row>
    <row r="49" spans="2:53" ht="14" customHeight="1" x14ac:dyDescent="0.45">
      <c r="B49" s="9">
        <v>1</v>
      </c>
      <c r="C49" s="37"/>
      <c r="D49" s="38"/>
      <c r="E49" s="38"/>
      <c r="F49" s="38"/>
      <c r="G49" s="38"/>
      <c r="H49" s="39"/>
      <c r="I49" s="45" t="str">
        <f>IF($C49="","",IFERROR(INDEX(Catalogo!$E$6:$E$125,MATCH($C49,Catalogo!$C$6:$C$125,0)),""))</f>
        <v/>
      </c>
      <c r="J49" s="39"/>
      <c r="K49" s="6"/>
      <c r="L49" s="37"/>
      <c r="M49" s="38"/>
      <c r="N49" s="38"/>
      <c r="O49" s="38"/>
      <c r="P49" s="38"/>
      <c r="Q49" s="39"/>
      <c r="R49" s="40"/>
      <c r="S49" s="13">
        <v>9</v>
      </c>
      <c r="T49" s="49" t="str">
        <f>IF($AM49=0,"",IF(INDEX($J$13:$J$42,$AM49)=9,INDEX($AH$13:$AH$42,$AM49),""))</f>
        <v>Switch Cisco 24p 1G PoE+ (C9200L-24P-4G)</v>
      </c>
      <c r="U49" s="38"/>
      <c r="V49" s="39"/>
      <c r="W49" s="13">
        <v>9</v>
      </c>
      <c r="X49" s="40"/>
      <c r="AM49">
        <f>IFERROR(MATCH(1,INDEX(($K$13:$K$42&lt;=9)*($J$13:$J$42&gt;=9),0),0),0)</f>
        <v>4</v>
      </c>
      <c r="AN49" t="str">
        <f>IF(9&gt;$AR$5,"Fuera",IF($AM49=0,"",INDEX($AD$13:$AD$42,$AM49)))</f>
        <v>Switch</v>
      </c>
      <c r="BA49">
        <f>IF(OR(Catalogo!$C49="",Catalogo!$B49="Espacio libre",Catalogo!$B49="Espacio reservado"),0,COUNTIF($C$13:$C$42,Catalogo!$C49)+IF($E$7=Catalogo!$C49,N($K$7),0)+IF($E$8=Catalogo!$C49,N($N$8),0)+IF(Proyecto!$D$12=Catalogo!$C49,$AQ$4,0)+SUMIF($C$49:$C$58,Catalogo!$C49,$K$49:$K$58))</f>
        <v>0</v>
      </c>
    </row>
    <row r="50" spans="2:53" ht="14" customHeight="1" x14ac:dyDescent="0.45">
      <c r="B50" s="9">
        <v>2</v>
      </c>
      <c r="C50" s="37"/>
      <c r="D50" s="38"/>
      <c r="E50" s="38"/>
      <c r="F50" s="38"/>
      <c r="G50" s="38"/>
      <c r="H50" s="39"/>
      <c r="I50" s="45" t="str">
        <f>IF($C50="","",IFERROR(INDEX(Catalogo!$E$6:$E$125,MATCH($C50,Catalogo!$C$6:$C$125,0)),""))</f>
        <v/>
      </c>
      <c r="J50" s="39"/>
      <c r="K50" s="6"/>
      <c r="L50" s="37"/>
      <c r="M50" s="38"/>
      <c r="N50" s="38"/>
      <c r="O50" s="38"/>
      <c r="P50" s="38"/>
      <c r="Q50" s="39"/>
      <c r="R50" s="40"/>
      <c r="S50" s="13">
        <v>8</v>
      </c>
      <c r="T50" s="49" t="str">
        <f>IF($AM50=0,"",IF(INDEX($J$13:$J$42,$AM50)=8,INDEX($AH$13:$AH$42,$AM50),""))</f>
        <v>Tapa ciega 1RU sin herramienta</v>
      </c>
      <c r="U50" s="38"/>
      <c r="V50" s="39"/>
      <c r="W50" s="13">
        <v>8</v>
      </c>
      <c r="X50" s="40"/>
      <c r="AM50">
        <f>IFERROR(MATCH(1,INDEX(($K$13:$K$42&lt;=8)*($J$13:$J$42&gt;=8),0),0),0)</f>
        <v>5</v>
      </c>
      <c r="AN50" t="str">
        <f>IF(8&gt;$AR$5,"Fuera",IF($AM50=0,"",INDEX($AD$13:$AD$42,$AM50)))</f>
        <v>Tapa ciega</v>
      </c>
      <c r="BA50">
        <f>IF(OR(Catalogo!$C50="",Catalogo!$B50="Espacio libre",Catalogo!$B50="Espacio reservado"),0,COUNTIF($C$13:$C$42,Catalogo!$C50)+IF($E$7=Catalogo!$C50,N($K$7),0)+IF($E$8=Catalogo!$C50,N($N$8),0)+IF(Proyecto!$D$12=Catalogo!$C50,$AQ$4,0)+SUMIF($C$49:$C$58,Catalogo!$C50,$K$49:$K$58))</f>
        <v>0</v>
      </c>
    </row>
    <row r="51" spans="2:53" ht="14" customHeight="1" x14ac:dyDescent="0.45">
      <c r="B51" s="9">
        <v>3</v>
      </c>
      <c r="C51" s="37"/>
      <c r="D51" s="38"/>
      <c r="E51" s="38"/>
      <c r="F51" s="38"/>
      <c r="G51" s="38"/>
      <c r="H51" s="39"/>
      <c r="I51" s="45" t="str">
        <f>IF($C51="","",IFERROR(INDEX(Catalogo!$E$6:$E$125,MATCH($C51,Catalogo!$C$6:$C$125,0)),""))</f>
        <v/>
      </c>
      <c r="J51" s="39"/>
      <c r="K51" s="6"/>
      <c r="L51" s="37"/>
      <c r="M51" s="38"/>
      <c r="N51" s="38"/>
      <c r="O51" s="38"/>
      <c r="P51" s="38"/>
      <c r="Q51" s="39"/>
      <c r="R51" s="40"/>
      <c r="S51" s="13">
        <v>7</v>
      </c>
      <c r="T51" s="49" t="str">
        <f>IF($AM51=0,"",IF(INDEX($J$13:$J$42,$AM51)=7,INDEX($AH$13:$AH$42,$AM51),""))</f>
        <v>PDU horizontal 1RU 8 tomas 120 V 15 A</v>
      </c>
      <c r="U51" s="38"/>
      <c r="V51" s="39"/>
      <c r="W51" s="13">
        <v>7</v>
      </c>
      <c r="X51" s="40"/>
      <c r="AM51">
        <f>IFERROR(MATCH(1,INDEX(($K$13:$K$42&lt;=7)*($J$13:$J$42&gt;=7),0),0),0)</f>
        <v>6</v>
      </c>
      <c r="AN51" t="str">
        <f>IF(7&gt;$AR$5,"Fuera",IF($AM51=0,"",INDEX($AD$13:$AD$42,$AM51)))</f>
        <v>PDU</v>
      </c>
      <c r="BA51">
        <f>IF(OR(Catalogo!$C51="",Catalogo!$B51="Espacio libre",Catalogo!$B51="Espacio reservado"),0,COUNTIF($C$13:$C$42,Catalogo!$C51)+IF($E$7=Catalogo!$C51,N($K$7),0)+IF($E$8=Catalogo!$C51,N($N$8),0)+IF(Proyecto!$D$12=Catalogo!$C51,$AQ$4,0)+SUMIF($C$49:$C$58,Catalogo!$C51,$K$49:$K$58))</f>
        <v>0</v>
      </c>
    </row>
    <row r="52" spans="2:53" ht="14" customHeight="1" x14ac:dyDescent="0.45">
      <c r="B52" s="9">
        <v>4</v>
      </c>
      <c r="C52" s="37"/>
      <c r="D52" s="38"/>
      <c r="E52" s="38"/>
      <c r="F52" s="38"/>
      <c r="G52" s="38"/>
      <c r="H52" s="39"/>
      <c r="I52" s="45" t="str">
        <f>IF($C52="","",IFERROR(INDEX(Catalogo!$E$6:$E$125,MATCH($C52,Catalogo!$C$6:$C$125,0)),""))</f>
        <v/>
      </c>
      <c r="J52" s="39"/>
      <c r="K52" s="6"/>
      <c r="L52" s="37"/>
      <c r="M52" s="38"/>
      <c r="N52" s="38"/>
      <c r="O52" s="38"/>
      <c r="P52" s="38"/>
      <c r="Q52" s="39"/>
      <c r="R52" s="40"/>
      <c r="S52" s="13">
        <v>6</v>
      </c>
      <c r="T52" s="49" t="str">
        <f>IF($AM52=0,"",IF(INDEX($J$13:$J$42,$AM52)=6,INDEX($AH$13:$AH$42,$AM52),""))</f>
        <v>UPS rack 2RU 1500 VA</v>
      </c>
      <c r="U52" s="38"/>
      <c r="V52" s="39"/>
      <c r="W52" s="13">
        <v>6</v>
      </c>
      <c r="X52" s="40"/>
      <c r="AM52">
        <f>IFERROR(MATCH(1,INDEX(($K$13:$K$42&lt;=6)*($J$13:$J$42&gt;=6),0),0),0)</f>
        <v>7</v>
      </c>
      <c r="AN52" t="str">
        <f>IF(6&gt;$AR$5,"Fuera",IF($AM52=0,"",INDEX($AD$13:$AD$42,$AM52)))</f>
        <v>UPS</v>
      </c>
      <c r="BA52">
        <f>IF(OR(Catalogo!$C52="",Catalogo!$B52="Espacio libre",Catalogo!$B52="Espacio reservado"),0,COUNTIF($C$13:$C$42,Catalogo!$C52)+IF($E$7=Catalogo!$C52,N($K$7),0)+IF($E$8=Catalogo!$C52,N($N$8),0)+IF(Proyecto!$D$12=Catalogo!$C52,$AQ$4,0)+SUMIF($C$49:$C$58,Catalogo!$C52,$K$49:$K$58))</f>
        <v>0</v>
      </c>
    </row>
    <row r="53" spans="2:53" ht="14" customHeight="1" x14ac:dyDescent="0.45">
      <c r="B53" s="9">
        <v>5</v>
      </c>
      <c r="C53" s="37"/>
      <c r="D53" s="38"/>
      <c r="E53" s="38"/>
      <c r="F53" s="38"/>
      <c r="G53" s="38"/>
      <c r="H53" s="39"/>
      <c r="I53" s="45" t="str">
        <f>IF($C53="","",IFERROR(INDEX(Catalogo!$E$6:$E$125,MATCH($C53,Catalogo!$C$6:$C$125,0)),""))</f>
        <v/>
      </c>
      <c r="J53" s="39"/>
      <c r="K53" s="6"/>
      <c r="L53" s="37"/>
      <c r="M53" s="38"/>
      <c r="N53" s="38"/>
      <c r="O53" s="38"/>
      <c r="P53" s="38"/>
      <c r="Q53" s="39"/>
      <c r="R53" s="40"/>
      <c r="S53" s="13">
        <v>5</v>
      </c>
      <c r="T53" s="49" t="str">
        <f>IF($AM53=0,"",IF(INDEX($J$13:$J$42,$AM53)=5,INDEX($AH$13:$AH$42,$AM53),""))</f>
        <v/>
      </c>
      <c r="U53" s="38"/>
      <c r="V53" s="39"/>
      <c r="W53" s="13">
        <v>5</v>
      </c>
      <c r="X53" s="40"/>
      <c r="AM53">
        <f>IFERROR(MATCH(1,INDEX(($K$13:$K$42&lt;=5)*($J$13:$J$42&gt;=5),0),0),0)</f>
        <v>7</v>
      </c>
      <c r="AN53" t="str">
        <f>IF(5&gt;$AR$5,"Fuera",IF($AM53=0,"",INDEX($AD$13:$AD$42,$AM53)))</f>
        <v>UPS</v>
      </c>
      <c r="BA53">
        <f>IF(OR(Catalogo!$C53="",Catalogo!$B53="Espacio libre",Catalogo!$B53="Espacio reservado"),0,COUNTIF($C$13:$C$42,Catalogo!$C53)+IF($E$7=Catalogo!$C53,N($K$7),0)+IF($E$8=Catalogo!$C53,N($N$8),0)+IF(Proyecto!$D$12=Catalogo!$C53,$AQ$4,0)+SUMIF($C$49:$C$58,Catalogo!$C53,$K$49:$K$58))</f>
        <v>0</v>
      </c>
    </row>
    <row r="54" spans="2:53" ht="14" customHeight="1" x14ac:dyDescent="0.45">
      <c r="B54" s="9">
        <v>6</v>
      </c>
      <c r="C54" s="37"/>
      <c r="D54" s="38"/>
      <c r="E54" s="38"/>
      <c r="F54" s="38"/>
      <c r="G54" s="38"/>
      <c r="H54" s="39"/>
      <c r="I54" s="45" t="str">
        <f>IF($C54="","",IFERROR(INDEX(Catalogo!$E$6:$E$125,MATCH($C54,Catalogo!$C$6:$C$125,0)),""))</f>
        <v/>
      </c>
      <c r="J54" s="39"/>
      <c r="K54" s="6"/>
      <c r="L54" s="37"/>
      <c r="M54" s="38"/>
      <c r="N54" s="38"/>
      <c r="O54" s="38"/>
      <c r="P54" s="38"/>
      <c r="Q54" s="39"/>
      <c r="R54" s="40"/>
      <c r="S54" s="13">
        <v>4</v>
      </c>
      <c r="T54" s="49" t="str">
        <f>IF($AM54=0,"",IF(INDEX($J$13:$J$42,$AM54)=4,INDEX($AH$13:$AH$42,$AM54),""))</f>
        <v>Barra de tierra para rack 19"</v>
      </c>
      <c r="U54" s="38"/>
      <c r="V54" s="39"/>
      <c r="W54" s="13">
        <v>4</v>
      </c>
      <c r="X54" s="40"/>
      <c r="AM54">
        <f>IFERROR(MATCH(1,INDEX(($K$13:$K$42&lt;=4)*($J$13:$J$42&gt;=4),0),0),0)</f>
        <v>8</v>
      </c>
      <c r="AN54" t="str">
        <f>IF(4&gt;$AR$5,"Fuera",IF($AM54=0,"",INDEX($AD$13:$AD$42,$AM54)))</f>
        <v>Puesta a tierra</v>
      </c>
      <c r="BA54">
        <f>IF(OR(Catalogo!$C54="",Catalogo!$B54="Espacio libre",Catalogo!$B54="Espacio reservado"),0,COUNTIF($C$13:$C$42,Catalogo!$C54)+IF($E$7=Catalogo!$C54,N($K$7),0)+IF($E$8=Catalogo!$C54,N($N$8),0)+IF(Proyecto!$D$12=Catalogo!$C54,$AQ$4,0)+SUMIF($C$49:$C$58,Catalogo!$C54,$K$49:$K$58))</f>
        <v>0</v>
      </c>
    </row>
    <row r="55" spans="2:53" ht="14" customHeight="1" x14ac:dyDescent="0.45">
      <c r="B55" s="9">
        <v>7</v>
      </c>
      <c r="C55" s="37"/>
      <c r="D55" s="38"/>
      <c r="E55" s="38"/>
      <c r="F55" s="38"/>
      <c r="G55" s="38"/>
      <c r="H55" s="39"/>
      <c r="I55" s="45" t="str">
        <f>IF($C55="","",IFERROR(INDEX(Catalogo!$E$6:$E$125,MATCH($C55,Catalogo!$C$6:$C$125,0)),""))</f>
        <v/>
      </c>
      <c r="J55" s="39"/>
      <c r="K55" s="6"/>
      <c r="L55" s="37"/>
      <c r="M55" s="38"/>
      <c r="N55" s="38"/>
      <c r="O55" s="38"/>
      <c r="P55" s="38"/>
      <c r="Q55" s="39"/>
      <c r="R55" s="40"/>
      <c r="S55" s="13">
        <v>3</v>
      </c>
      <c r="T55" s="49" t="str">
        <f>IF($AM55=0,"",IF(INDEX($J$13:$J$42,$AM55)=3,INDEX($AH$13:$AH$42,$AM55),""))</f>
        <v/>
      </c>
      <c r="U55" s="38"/>
      <c r="V55" s="39"/>
      <c r="W55" s="13">
        <v>3</v>
      </c>
      <c r="X55" s="40"/>
      <c r="AM55">
        <f>IFERROR(MATCH(1,INDEX(($K$13:$K$42&lt;=3)*($J$13:$J$42&gt;=3),0),0),0)</f>
        <v>0</v>
      </c>
      <c r="AN55" t="str">
        <f>IF(3&gt;$AR$5,"Fuera",IF($AM55=0,"",INDEX($AD$13:$AD$42,$AM55)))</f>
        <v/>
      </c>
      <c r="BA55">
        <f>IF(OR(Catalogo!$C55="",Catalogo!$B55="Espacio libre",Catalogo!$B55="Espacio reservado"),0,COUNTIF($C$13:$C$42,Catalogo!$C55)+IF($E$7=Catalogo!$C55,N($K$7),0)+IF($E$8=Catalogo!$C55,N($N$8),0)+IF(Proyecto!$D$12=Catalogo!$C55,$AQ$4,0)+SUMIF($C$49:$C$58,Catalogo!$C55,$K$49:$K$58))</f>
        <v>0</v>
      </c>
    </row>
    <row r="56" spans="2:53" ht="14" customHeight="1" x14ac:dyDescent="0.45">
      <c r="B56" s="9">
        <v>8</v>
      </c>
      <c r="C56" s="37"/>
      <c r="D56" s="38"/>
      <c r="E56" s="38"/>
      <c r="F56" s="38"/>
      <c r="G56" s="38"/>
      <c r="H56" s="39"/>
      <c r="I56" s="45" t="str">
        <f>IF($C56="","",IFERROR(INDEX(Catalogo!$E$6:$E$125,MATCH($C56,Catalogo!$C$6:$C$125,0)),""))</f>
        <v/>
      </c>
      <c r="J56" s="39"/>
      <c r="K56" s="6"/>
      <c r="L56" s="37"/>
      <c r="M56" s="38"/>
      <c r="N56" s="38"/>
      <c r="O56" s="38"/>
      <c r="P56" s="38"/>
      <c r="Q56" s="39"/>
      <c r="R56" s="40"/>
      <c r="S56" s="13">
        <v>2</v>
      </c>
      <c r="T56" s="49" t="str">
        <f>IF($AM56=0,"",IF(INDEX($J$13:$J$42,$AM56)=2,INDEX($AH$13:$AH$42,$AM56),""))</f>
        <v/>
      </c>
      <c r="U56" s="38"/>
      <c r="V56" s="39"/>
      <c r="W56" s="13">
        <v>2</v>
      </c>
      <c r="X56" s="40"/>
      <c r="AM56">
        <f>IFERROR(MATCH(1,INDEX(($K$13:$K$42&lt;=2)*($J$13:$J$42&gt;=2),0),0),0)</f>
        <v>0</v>
      </c>
      <c r="AN56" t="str">
        <f>IF(2&gt;$AR$5,"Fuera",IF($AM56=0,"",INDEX($AD$13:$AD$42,$AM56)))</f>
        <v/>
      </c>
      <c r="BA56">
        <f>IF(OR(Catalogo!$C56="",Catalogo!$B56="Espacio libre",Catalogo!$B56="Espacio reservado"),0,COUNTIF($C$13:$C$42,Catalogo!$C56)+IF($E$7=Catalogo!$C56,N($K$7),0)+IF($E$8=Catalogo!$C56,N($N$8),0)+IF(Proyecto!$D$12=Catalogo!$C56,$AQ$4,0)+SUMIF($C$49:$C$58,Catalogo!$C56,$K$49:$K$58))</f>
        <v>0</v>
      </c>
    </row>
    <row r="57" spans="2:53" ht="14" customHeight="1" x14ac:dyDescent="0.45">
      <c r="B57" s="9">
        <v>9</v>
      </c>
      <c r="C57" s="37"/>
      <c r="D57" s="38"/>
      <c r="E57" s="38"/>
      <c r="F57" s="38"/>
      <c r="G57" s="38"/>
      <c r="H57" s="39"/>
      <c r="I57" s="45" t="str">
        <f>IF($C57="","",IFERROR(INDEX(Catalogo!$E$6:$E$125,MATCH($C57,Catalogo!$C$6:$C$125,0)),""))</f>
        <v/>
      </c>
      <c r="J57" s="39"/>
      <c r="K57" s="6"/>
      <c r="L57" s="37"/>
      <c r="M57" s="38"/>
      <c r="N57" s="38"/>
      <c r="O57" s="38"/>
      <c r="P57" s="38"/>
      <c r="Q57" s="39"/>
      <c r="R57" s="40"/>
      <c r="S57" s="13">
        <v>1</v>
      </c>
      <c r="T57" s="49" t="str">
        <f>IF($AM57=0,"",IF(INDEX($J$13:$J$42,$AM57)=1,INDEX($AH$13:$AH$42,$AM57),""))</f>
        <v/>
      </c>
      <c r="U57" s="38"/>
      <c r="V57" s="39"/>
      <c r="W57" s="13">
        <v>1</v>
      </c>
      <c r="X57" s="40"/>
      <c r="AM57">
        <f>IFERROR(MATCH(1,INDEX(($K$13:$K$42&lt;=1)*($J$13:$J$42&gt;=1),0),0),0)</f>
        <v>0</v>
      </c>
      <c r="AN57" t="str">
        <f>IF(1&gt;$AR$5,"Fuera",IF($AM57=0,"",INDEX($AD$13:$AD$42,$AM57)))</f>
        <v/>
      </c>
      <c r="BA57">
        <f>IF(OR(Catalogo!$C57="",Catalogo!$B57="Espacio libre",Catalogo!$B57="Espacio reservado"),0,COUNTIF($C$13:$C$42,Catalogo!$C57)+IF($E$7=Catalogo!$C57,N($K$7),0)+IF($E$8=Catalogo!$C57,N($N$8),0)+IF(Proyecto!$D$12=Catalogo!$C57,$AQ$4,0)+SUMIF($C$49:$C$58,Catalogo!$C57,$K$49:$K$58))</f>
        <v>0</v>
      </c>
    </row>
    <row r="58" spans="2:53" x14ac:dyDescent="0.45">
      <c r="B58" s="9">
        <v>10</v>
      </c>
      <c r="C58" s="37"/>
      <c r="D58" s="38"/>
      <c r="E58" s="38"/>
      <c r="F58" s="38"/>
      <c r="G58" s="38"/>
      <c r="H58" s="39"/>
      <c r="I58" s="45" t="str">
        <f>IF($C58="","",IFERROR(INDEX(Catalogo!$E$6:$E$125,MATCH($C58,Catalogo!$C$6:$C$125,0)),""))</f>
        <v/>
      </c>
      <c r="J58" s="39"/>
      <c r="K58" s="6"/>
      <c r="L58" s="37"/>
      <c r="M58" s="38"/>
      <c r="N58" s="38"/>
      <c r="O58" s="38"/>
      <c r="P58" s="38"/>
      <c r="Q58" s="39"/>
      <c r="BA58">
        <f>IF(OR(Catalogo!$C58="",Catalogo!$B58="Espacio libre",Catalogo!$B58="Espacio reservado"),0,COUNTIF($C$13:$C$42,Catalogo!$C58)+IF($E$7=Catalogo!$C58,N($K$7),0)+IF($E$8=Catalogo!$C58,N($N$8),0)+IF(Proyecto!$D$12=Catalogo!$C58,$AQ$4,0)+SUMIF($C$49:$C$58,Catalogo!$C58,$K$49:$K$58))</f>
        <v>0</v>
      </c>
    </row>
    <row r="59" spans="2:53" x14ac:dyDescent="0.45">
      <c r="B59" s="2" t="s">
        <v>442</v>
      </c>
      <c r="C59" s="2"/>
      <c r="D59" s="2"/>
      <c r="E59" s="2" t="s">
        <v>443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S59" s="14" t="s">
        <v>404</v>
      </c>
      <c r="W59" s="15" t="s">
        <v>405</v>
      </c>
      <c r="BA59">
        <f>IF(OR(Catalogo!$C59="",Catalogo!$B59="Espacio libre",Catalogo!$B59="Espacio reservado"),0,COUNTIF($C$13:$C$42,Catalogo!$C59)+IF($E$7=Catalogo!$C59,N($K$7),0)+IF($E$8=Catalogo!$C59,N($N$8),0)+IF(Proyecto!$D$12=Catalogo!$C59,$AQ$4,0)+SUMIF($C$49:$C$58,Catalogo!$C59,$K$49:$K$58))</f>
        <v>0</v>
      </c>
    </row>
    <row r="60" spans="2:53" x14ac:dyDescent="0.45">
      <c r="B60" s="42" t="s">
        <v>444</v>
      </c>
      <c r="C60" s="43"/>
      <c r="D60" s="43"/>
      <c r="E60" s="43"/>
      <c r="F60" s="43"/>
      <c r="G60" s="44"/>
      <c r="H60" s="9">
        <f>ROUND(SUM($CL$13:$CL$42),0)</f>
        <v>130</v>
      </c>
      <c r="I60" s="9" t="s">
        <v>22</v>
      </c>
      <c r="J60" s="45" t="str">
        <f>IF(SUM($CO$13:$CO$42)&gt;0,"⚠ "&amp;SUM($CO$13:$CO$42)&amp;" equipo(s) sin dato de consumo en el Catálogo","✓ Todos los equipos tienen dato de consumo")</f>
        <v>✓ Todos los equipos tienen dato de consumo</v>
      </c>
      <c r="K60" s="38"/>
      <c r="L60" s="38"/>
      <c r="M60" s="38"/>
      <c r="N60" s="38"/>
      <c r="O60" s="38"/>
      <c r="P60" s="38"/>
      <c r="Q60" s="39"/>
      <c r="T60" s="16" t="s">
        <v>103</v>
      </c>
      <c r="V60" s="17" t="s">
        <v>19</v>
      </c>
      <c r="BA60">
        <f>IF(OR(Catalogo!$C60="",Catalogo!$B60="Espacio libre",Catalogo!$B60="Espacio reservado"),0,COUNTIF($C$13:$C$42,Catalogo!$C60)+IF($E$7=Catalogo!$C60,N($K$7),0)+IF($E$8=Catalogo!$C60,N($N$8),0)+IF(Proyecto!$D$12=Catalogo!$C60,$AQ$4,0)+SUMIF($C$49:$C$58,Catalogo!$C60,$K$49:$K$58))</f>
        <v>1</v>
      </c>
    </row>
    <row r="61" spans="2:53" x14ac:dyDescent="0.45">
      <c r="B61" s="42" t="s">
        <v>445</v>
      </c>
      <c r="C61" s="43"/>
      <c r="D61" s="43"/>
      <c r="E61" s="43"/>
      <c r="F61" s="43"/>
      <c r="G61" s="44"/>
      <c r="H61" s="6"/>
      <c r="I61" s="9" t="s">
        <v>22</v>
      </c>
      <c r="J61" s="45" t="s">
        <v>446</v>
      </c>
      <c r="K61" s="38"/>
      <c r="L61" s="38"/>
      <c r="M61" s="38"/>
      <c r="N61" s="38"/>
      <c r="O61" s="38"/>
      <c r="P61" s="38"/>
      <c r="Q61" s="39"/>
      <c r="T61" s="18" t="s">
        <v>27</v>
      </c>
      <c r="V61" s="19" t="s">
        <v>120</v>
      </c>
      <c r="BA61">
        <f>IF(OR(Catalogo!$C61="",Catalogo!$B61="Espacio libre",Catalogo!$B61="Espacio reservado"),0,COUNTIF($C$13:$C$42,Catalogo!$C61)+IF($E$7=Catalogo!$C61,N($K$7),0)+IF($E$8=Catalogo!$C61,N($N$8),0)+IF(Proyecto!$D$12=Catalogo!$C61,$AQ$4,0)+SUMIF($C$49:$C$58,Catalogo!$C61,$K$49:$K$58))</f>
        <v>0</v>
      </c>
    </row>
    <row r="62" spans="2:53" x14ac:dyDescent="0.45">
      <c r="B62" s="42" t="s">
        <v>447</v>
      </c>
      <c r="C62" s="43"/>
      <c r="D62" s="43"/>
      <c r="E62" s="43"/>
      <c r="F62" s="43"/>
      <c r="G62" s="44"/>
      <c r="H62" s="9">
        <f>H60+N(H61)</f>
        <v>130</v>
      </c>
      <c r="I62" s="9" t="s">
        <v>22</v>
      </c>
      <c r="J62" s="45" t="s">
        <v>448</v>
      </c>
      <c r="K62" s="38"/>
      <c r="L62" s="38"/>
      <c r="M62" s="38"/>
      <c r="N62" s="38"/>
      <c r="O62" s="38"/>
      <c r="P62" s="38"/>
      <c r="Q62" s="39"/>
      <c r="T62" s="20" t="s">
        <v>147</v>
      </c>
      <c r="V62" s="21" t="s">
        <v>139</v>
      </c>
      <c r="BA62">
        <f>IF(OR(Catalogo!$C62="",Catalogo!$B62="Espacio libre",Catalogo!$B62="Espacio reservado"),0,COUNTIF($C$13:$C$42,Catalogo!$C62)+IF($E$7=Catalogo!$C62,N($K$7),0)+IF($E$8=Catalogo!$C62,N($N$8),0)+IF(Proyecto!$D$12=Catalogo!$C62,$AQ$4,0)+SUMIF($C$49:$C$58,Catalogo!$C62,$K$49:$K$58))</f>
        <v>0</v>
      </c>
    </row>
    <row r="63" spans="2:53" x14ac:dyDescent="0.45">
      <c r="B63" s="42" t="s">
        <v>449</v>
      </c>
      <c r="C63" s="43"/>
      <c r="D63" s="43"/>
      <c r="E63" s="43"/>
      <c r="F63" s="43"/>
      <c r="G63" s="44"/>
      <c r="H63" s="9">
        <f>ROUND(H60*3.412,0)</f>
        <v>444</v>
      </c>
      <c r="I63" s="9" t="s">
        <v>450</v>
      </c>
      <c r="J63" s="45" t="str">
        <f>"≈ "&amp;TEXT(H63/12000,"0.00")&amp;" t.r. · dato para la hoja de cargas térmicas"</f>
        <v>≈ 0.00 t.r. · dato para la hoja de cargas térmicas</v>
      </c>
      <c r="K63" s="38"/>
      <c r="L63" s="38"/>
      <c r="M63" s="38"/>
      <c r="N63" s="38"/>
      <c r="O63" s="38"/>
      <c r="P63" s="38"/>
      <c r="Q63" s="39"/>
      <c r="T63" s="22" t="s">
        <v>343</v>
      </c>
      <c r="V63" s="23" t="s">
        <v>339</v>
      </c>
      <c r="BA63">
        <f>IF(OR(Catalogo!$C63="",Catalogo!$B63="Espacio libre",Catalogo!$B63="Espacio reservado"),0,COUNTIF($C$13:$C$42,Catalogo!$C63)+IF($E$7=Catalogo!$C63,N($K$7),0)+IF($E$8=Catalogo!$C63,N($N$8),0)+IF(Proyecto!$D$12=Catalogo!$C63,$AQ$4,0)+SUMIF($C$49:$C$58,Catalogo!$C63,$K$49:$K$58))</f>
        <v>0</v>
      </c>
    </row>
    <row r="64" spans="2:53" x14ac:dyDescent="0.45">
      <c r="B64" s="42" t="s">
        <v>451</v>
      </c>
      <c r="C64" s="43"/>
      <c r="D64" s="43"/>
      <c r="E64" s="43"/>
      <c r="F64" s="43"/>
      <c r="G64" s="44"/>
      <c r="H64" s="9">
        <f>ROUND(SUM($CM$13:$CM$42),0)</f>
        <v>39</v>
      </c>
      <c r="I64" s="9" t="s">
        <v>452</v>
      </c>
      <c r="J64" s="45" t="s">
        <v>453</v>
      </c>
      <c r="K64" s="38"/>
      <c r="L64" s="38"/>
      <c r="M64" s="38"/>
      <c r="N64" s="38"/>
      <c r="O64" s="38"/>
      <c r="P64" s="38"/>
      <c r="Q64" s="39"/>
      <c r="T64" s="24" t="s">
        <v>352</v>
      </c>
      <c r="V64" s="25" t="s">
        <v>349</v>
      </c>
      <c r="BA64">
        <f>IF(OR(Catalogo!$C64="",Catalogo!$B64="Espacio libre",Catalogo!$B64="Espacio reservado"),0,COUNTIF($C$13:$C$42,Catalogo!$C64)+IF($E$7=Catalogo!$C64,N($K$7),0)+IF($E$8=Catalogo!$C64,N($N$8),0)+IF(Proyecto!$D$12=Catalogo!$C64,$AQ$4,0)+SUMIF($C$49:$C$58,Catalogo!$C64,$K$49:$K$58))</f>
        <v>0</v>
      </c>
    </row>
    <row r="65" spans="2:82" x14ac:dyDescent="0.45">
      <c r="B65" s="42" t="s">
        <v>454</v>
      </c>
      <c r="C65" s="43"/>
      <c r="D65" s="43"/>
      <c r="E65" s="43"/>
      <c r="F65" s="43"/>
      <c r="G65" s="44"/>
      <c r="H65" s="9">
        <f>SUM($CN$13:$CN$42)</f>
        <v>1200</v>
      </c>
      <c r="I65" s="9" t="s">
        <v>22</v>
      </c>
      <c r="J65" s="45" t="str">
        <f>IF(H65=0,"Sin UPS en la lista de equipos",COUNTIF($AD$13:$AD$42,"UPS")&amp;" UPS en el rack")</f>
        <v>1 UPS en el rack</v>
      </c>
      <c r="K65" s="38"/>
      <c r="L65" s="38"/>
      <c r="M65" s="38"/>
      <c r="N65" s="38"/>
      <c r="O65" s="38"/>
      <c r="P65" s="38"/>
      <c r="Q65" s="39"/>
      <c r="T65" s="26" t="s">
        <v>322</v>
      </c>
      <c r="V65" s="27" t="s">
        <v>316</v>
      </c>
      <c r="BA65">
        <f>IF(OR(Catalogo!$C65="",Catalogo!$B65="Espacio libre",Catalogo!$B65="Espacio reservado"),0,COUNTIF($C$13:$C$42,Catalogo!$C65)+IF($E$7=Catalogo!$C65,N($K$7),0)+IF($E$8=Catalogo!$C65,N($N$8),0)+IF(Proyecto!$D$12=Catalogo!$C65,$AQ$4,0)+SUMIF($C$49:$C$58,Catalogo!$C65,$K$49:$K$58))</f>
        <v>0</v>
      </c>
    </row>
    <row r="66" spans="2:82" x14ac:dyDescent="0.45">
      <c r="B66" s="42" t="s">
        <v>455</v>
      </c>
      <c r="C66" s="43"/>
      <c r="D66" s="43"/>
      <c r="E66" s="43"/>
      <c r="F66" s="43"/>
      <c r="G66" s="44"/>
      <c r="H66" s="12">
        <f>IF($H$65=0,"",$H$62/$H$65)</f>
        <v>0.10833333333333334</v>
      </c>
      <c r="I66" s="9" t="s">
        <v>456</v>
      </c>
      <c r="J66" s="45" t="str">
        <f>IF(H66="","",IF(H66&gt;0.8,"⚠ Más del 80 % de la capacidad","✓ Dentro del 80 % de la capacidad"))</f>
        <v>✓ Dentro del 80 % de la capacidad</v>
      </c>
      <c r="K66" s="38"/>
      <c r="L66" s="38"/>
      <c r="M66" s="38"/>
      <c r="N66" s="38"/>
      <c r="O66" s="38"/>
      <c r="P66" s="38"/>
      <c r="Q66" s="39"/>
      <c r="T66" s="28" t="s">
        <v>359</v>
      </c>
      <c r="V66" s="29" t="s">
        <v>51</v>
      </c>
      <c r="BA66">
        <f>IF(OR(Catalogo!$C66="",Catalogo!$B66="Espacio libre",Catalogo!$B66="Espacio reservado"),0,COUNTIF($C$13:$C$42,Catalogo!$C66)+IF($E$7=Catalogo!$C66,N($K$7),0)+IF($E$8=Catalogo!$C66,N($N$8),0)+IF(Proyecto!$D$12=Catalogo!$C66,$AQ$4,0)+SUMIF($C$49:$C$58,Catalogo!$C66,$K$49:$K$58))</f>
        <v>0</v>
      </c>
    </row>
    <row r="67" spans="2:82" x14ac:dyDescent="0.45">
      <c r="B67" s="42" t="s">
        <v>457</v>
      </c>
      <c r="C67" s="43"/>
      <c r="D67" s="43"/>
      <c r="E67" s="43"/>
      <c r="F67" s="43"/>
      <c r="G67" s="44"/>
      <c r="H67" s="12">
        <f>IF(MAX($CN$13:$CN$42)=0,"",$H$62/MAX($CN$13:$CN$42))</f>
        <v>0.10833333333333334</v>
      </c>
      <c r="I67" s="9" t="s">
        <v>456</v>
      </c>
      <c r="J67" s="45" t="str">
        <f>IF(H67="","",IF(COUNTIF($AD$13:$AD$42,"UPS")&lt;2,"Un solo UPS: sin redundancia",IF(H67&gt;0.8,"⚠ Un UPS no soporta la carga","✓ Un UPS soporta la carga")))</f>
        <v>Un solo UPS: sin redundancia</v>
      </c>
      <c r="K67" s="38"/>
      <c r="L67" s="38"/>
      <c r="M67" s="38"/>
      <c r="N67" s="38"/>
      <c r="O67" s="38"/>
      <c r="P67" s="38"/>
      <c r="Q67" s="39"/>
      <c r="T67" s="30" t="s">
        <v>233</v>
      </c>
      <c r="V67" s="31" t="s">
        <v>326</v>
      </c>
      <c r="BA67">
        <f>IF(OR(Catalogo!$C67="",Catalogo!$B67="Espacio libre",Catalogo!$B67="Espacio reservado"),0,COUNTIF($C$13:$C$42,Catalogo!$C67)+IF($E$7=Catalogo!$C67,N($K$7),0)+IF($E$8=Catalogo!$C67,N($N$8),0)+IF(Proyecto!$D$12=Catalogo!$C67,$AQ$4,0)+SUMIF($C$49:$C$58,Catalogo!$C67,$K$49:$K$58))</f>
        <v>0</v>
      </c>
    </row>
    <row r="68" spans="2:82" ht="18" hidden="1" customHeight="1" x14ac:dyDescent="0.45">
      <c r="B68" s="2" t="s">
        <v>406</v>
      </c>
      <c r="C68" s="2"/>
      <c r="D68" s="2"/>
      <c r="E68" s="2" t="s">
        <v>407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32" t="s">
        <v>330</v>
      </c>
      <c r="U68" s="2"/>
      <c r="V68" s="32" t="s">
        <v>408</v>
      </c>
      <c r="W68" s="2"/>
      <c r="X68" s="2"/>
      <c r="BA68">
        <f>IF(OR(Catalogo!$C68="",Catalogo!$B68="Espacio libre",Catalogo!$B68="Espacio reservado"),0,COUNTIF($C$13:$C$42,Catalogo!$C68)+IF($E$7=Catalogo!$C68,N($K$7),0)+IF($E$8=Catalogo!$C68,N($N$8),0)+IF(Proyecto!$D$12=Catalogo!$C68,$AQ$4,0)+SUMIF($C$49:$C$58,Catalogo!$C68,$K$49:$K$58))</f>
        <v>0</v>
      </c>
    </row>
    <row r="69" spans="2:82" hidden="1" x14ac:dyDescent="0.45">
      <c r="B69" s="10" t="s">
        <v>409</v>
      </c>
      <c r="BA69">
        <f>IF(OR(Catalogo!$C69="",Catalogo!$B69="Espacio libre",Catalogo!$B69="Espacio reservado"),0,COUNTIF($C$13:$C$42,Catalogo!$C69)+IF($E$7=Catalogo!$C69,N($K$7),0)+IF($E$8=Catalogo!$C69,N($N$8),0)+IF(Proyecto!$D$12=Catalogo!$C69,$AQ$4,0)+SUMIF($C$49:$C$58,Catalogo!$C69,$K$49:$K$58))</f>
        <v>0</v>
      </c>
    </row>
    <row r="70" spans="2:82" hidden="1" x14ac:dyDescent="0.45">
      <c r="B70" s="51" t="str">
        <f>IF($BN$13="","Bloque 1 — sin panel","Panel "&amp;$BN$13&amp;"  (puertos "&amp;($BM$13+1)&amp;"-"&amp;MIN($BM$13+24,$BO$13)&amp;")"&amp;IF($BP$13&lt;&gt;"","  · "&amp;$BP$13,"")&amp;"  · "&amp;TEXT(IFERROR(INDEX($BS$13:$BS$28,$BL$13)/$BO$13,0),"0%"))</f>
        <v>Panel 1C-AA  (puertos 1-24)  · D  · 100%</v>
      </c>
      <c r="C70" s="40"/>
      <c r="D70" s="40"/>
      <c r="E70" s="40"/>
      <c r="F70" s="40"/>
      <c r="H70" s="51" t="str">
        <f>IF($BN$14="","Bloque 2 — sin panel","Panel "&amp;$BN$14&amp;"  (puertos "&amp;($BM$14+1)&amp;"-"&amp;MIN($BM$14+24,$BO$14)&amp;")"&amp;IF($BP$14&lt;&gt;"","  · "&amp;$BP$14,"")&amp;"  · "&amp;TEXT(IFERROR(INDEX($BS$13:$BS$28,$BL$14)/$BO$14,0),"0%"))</f>
        <v>Bloque 2 — sin panel</v>
      </c>
      <c r="I70" s="40"/>
      <c r="J70" s="40"/>
      <c r="K70" s="40"/>
      <c r="L70" s="40"/>
      <c r="N70" s="51" t="str">
        <f>IF($BN$15="","Bloque 3 — sin panel","Panel "&amp;$BN$15&amp;"  (puertos "&amp;($BM$15+1)&amp;"-"&amp;MIN($BM$15+24,$BO$15)&amp;")"&amp;IF($BP$15&lt;&gt;"","  · "&amp;$BP$15,"")&amp;"  · "&amp;TEXT(IFERROR(INDEX($BS$13:$BS$28,$BL$15)/$BO$15,0),"0%"))</f>
        <v>Bloque 3 — sin panel</v>
      </c>
      <c r="O70" s="40"/>
      <c r="P70" s="40"/>
      <c r="Q70" s="40"/>
      <c r="R70" s="40"/>
      <c r="T70" s="51" t="str">
        <f>IF($BN$16="","Bloque 4 — sin panel","Panel "&amp;$BN$16&amp;"  (puertos "&amp;($BM$16+1)&amp;"-"&amp;MIN($BM$16+24,$BO$16)&amp;")"&amp;IF($BP$16&lt;&gt;"","  · "&amp;$BP$16,"")&amp;"  · "&amp;TEXT(IFERROR(INDEX($BS$13:$BS$28,$BL$16)/$BO$16,0),"0%"))</f>
        <v>Bloque 4 — sin panel</v>
      </c>
      <c r="U70" s="40"/>
      <c r="V70" s="40"/>
      <c r="W70" s="40"/>
      <c r="X70" s="40"/>
      <c r="BA70">
        <f>IF(OR(Catalogo!$C70="",Catalogo!$B70="Espacio libre",Catalogo!$B70="Espacio reservado"),0,COUNTIF($C$13:$C$42,Catalogo!$C70)+IF($E$7=Catalogo!$C70,N($K$7),0)+IF($E$8=Catalogo!$C70,N($N$8),0)+IF(Proyecto!$D$12=Catalogo!$C70,$AQ$4,0)+SUMIF($C$49:$C$58,Catalogo!$C70,$K$49:$K$58))</f>
        <v>0</v>
      </c>
    </row>
    <row r="71" spans="2:82" hidden="1" x14ac:dyDescent="0.45">
      <c r="B71" s="5" t="s">
        <v>410</v>
      </c>
      <c r="C71" s="5" t="s">
        <v>411</v>
      </c>
      <c r="D71" s="5" t="s">
        <v>389</v>
      </c>
      <c r="E71" s="5" t="s">
        <v>412</v>
      </c>
      <c r="F71" s="5" t="s">
        <v>413</v>
      </c>
      <c r="H71" s="5" t="s">
        <v>410</v>
      </c>
      <c r="I71" s="5" t="s">
        <v>411</v>
      </c>
      <c r="J71" s="5" t="s">
        <v>389</v>
      </c>
      <c r="K71" s="5" t="s">
        <v>412</v>
      </c>
      <c r="L71" s="5" t="s">
        <v>413</v>
      </c>
      <c r="N71" s="5" t="s">
        <v>410</v>
      </c>
      <c r="O71" s="5" t="s">
        <v>411</v>
      </c>
      <c r="P71" s="5" t="s">
        <v>389</v>
      </c>
      <c r="Q71" s="5" t="s">
        <v>412</v>
      </c>
      <c r="R71" s="5" t="s">
        <v>413</v>
      </c>
      <c r="T71" s="5" t="s">
        <v>410</v>
      </c>
      <c r="U71" s="5" t="s">
        <v>411</v>
      </c>
      <c r="V71" s="5" t="s">
        <v>389</v>
      </c>
      <c r="W71" s="5" t="s">
        <v>412</v>
      </c>
      <c r="X71" s="5" t="s">
        <v>413</v>
      </c>
      <c r="BA71">
        <f>IF(OR(Catalogo!$C71="",Catalogo!$B71="Espacio libre",Catalogo!$B71="Espacio reservado"),0,COUNTIF($C$13:$C$42,Catalogo!$C71)+IF($E$7=Catalogo!$C71,N($K$7),0)+IF($E$8=Catalogo!$C71,N($N$8),0)+IF(Proyecto!$D$12=Catalogo!$C71,$AQ$4,0)+SUMIF($C$49:$C$58,Catalogo!$C71,$K$49:$K$58))</f>
        <v>0</v>
      </c>
    </row>
    <row r="72" spans="2:82" hidden="1" x14ac:dyDescent="0.45">
      <c r="B72" s="6"/>
      <c r="C72" s="9" t="str">
        <f>IF(CA72="","",CA72&amp;"-"&amp;TEXT(0+COUNTIF($CA$72:CA72,CA72),"000"))</f>
        <v>D-001</v>
      </c>
      <c r="D72" s="9" t="str">
        <f>IF(AND($BN$13&lt;&gt;"",($BM$13+1)&lt;=$BO$13),$BN$13,"")</f>
        <v>1C-AA</v>
      </c>
      <c r="E72" s="9" t="str">
        <f>IF(AND($BN$13&lt;&gt;"",($BM$13+1)&lt;=$BO$13),TEXT(($BM$13+1),"00"),"")</f>
        <v>01</v>
      </c>
      <c r="F72" s="9" t="str">
        <f>IF(AND($BN$13&lt;&gt;"",($BM$13+1)&lt;=$BO$13),$BN$13&amp;"-"&amp;TEXT(($BM$13+1),"00"),"")</f>
        <v>1C-AA-01</v>
      </c>
      <c r="H72" s="6"/>
      <c r="I72" s="9" t="str">
        <f>IF(CB72="","",CB72&amp;"-"&amp;TEXT(COUNTIF($CA$72:$CA$95,CB72)+COUNTIF($CB$72:CB72,CB72),"000"))</f>
        <v/>
      </c>
      <c r="J72" s="9" t="str">
        <f>IF(AND($BN$14&lt;&gt;"",($BM$14+1)&lt;=$BO$14),$BN$14,"")</f>
        <v/>
      </c>
      <c r="K72" s="9" t="str">
        <f>IF(AND($BN$14&lt;&gt;"",($BM$14+1)&lt;=$BO$14),TEXT(($BM$14+1),"00"),"")</f>
        <v/>
      </c>
      <c r="L72" s="9" t="str">
        <f>IF(AND($BN$14&lt;&gt;"",($BM$14+1)&lt;=$BO$14),$BN$14&amp;"-"&amp;TEXT(($BM$14+1),"00"),"")</f>
        <v/>
      </c>
      <c r="N72" s="6"/>
      <c r="O72" s="9" t="str">
        <f>IF(CC72="","",CC72&amp;"-"&amp;TEXT(COUNTIF($CA$72:$CA$95,CC72)+COUNTIF($CB$72:$CB$95,CC72)+COUNTIF($CC$72:CC72,CC72),"000"))</f>
        <v/>
      </c>
      <c r="P72" s="9" t="str">
        <f>IF(AND($BN$15&lt;&gt;"",($BM$15+1)&lt;=$BO$15),$BN$15,"")</f>
        <v/>
      </c>
      <c r="Q72" s="9" t="str">
        <f>IF(AND($BN$15&lt;&gt;"",($BM$15+1)&lt;=$BO$15),TEXT(($BM$15+1),"00"),"")</f>
        <v/>
      </c>
      <c r="R72" s="9" t="str">
        <f>IF(AND($BN$15&lt;&gt;"",($BM$15+1)&lt;=$BO$15),$BN$15&amp;"-"&amp;TEXT(($BM$15+1),"00"),"")</f>
        <v/>
      </c>
      <c r="T72" s="6"/>
      <c r="U72" s="9" t="str">
        <f>IF(CD72="","",CD72&amp;"-"&amp;TEXT(COUNTIF($CA$72:$CA$95,CD72)+COUNTIF($CB$72:$CB$95,CD72)+COUNTIF($CC$72:$CC$95,CD72)+COUNTIF($CD$72:CD72,CD72),"000"))</f>
        <v/>
      </c>
      <c r="V72" s="9" t="str">
        <f>IF(AND($BN$16&lt;&gt;"",($BM$16+1)&lt;=$BO$16),$BN$16,"")</f>
        <v/>
      </c>
      <c r="W72" s="9" t="str">
        <f>IF(AND($BN$16&lt;&gt;"",($BM$16+1)&lt;=$BO$16),TEXT(($BM$16+1),"00"),"")</f>
        <v/>
      </c>
      <c r="X72" s="9" t="str">
        <f>IF(AND($BN$16&lt;&gt;"",($BM$16+1)&lt;=$BO$16),$BN$16&amp;"-"&amp;TEXT(($BM$16+1),"00"),"")</f>
        <v/>
      </c>
      <c r="BA72">
        <f>IF(OR(Catalogo!$C72="",Catalogo!$B72="Espacio libre",Catalogo!$B72="Espacio reservado"),0,COUNTIF($C$13:$C$42,Catalogo!$C72)+IF($E$7=Catalogo!$C72,N($K$7),0)+IF($E$8=Catalogo!$C72,N($N$8),0)+IF(Proyecto!$D$12=Catalogo!$C72,$AQ$4,0)+SUMIF($C$49:$C$58,Catalogo!$C72,$K$49:$K$58))</f>
        <v>0</v>
      </c>
      <c r="CA72" t="str" cm="1">
        <f t="array" ref="CA72">IF(NOT(AND($BN$13&lt;&gt;"",($BM$13+1)&lt;=$BO$13)),"",IF(B72&lt;&gt;"",IF(B72="-","",B72),IF(ISNUMBER(SEARCH(":",$BP$13)),IFERROR(_xlfn.LET(_xlpm.s,_xlfn.TEXTSPLIT($BP$13,","),_xlpm.k,FIND(":",_xlpm.s),INDEX(TRIM(LEFT(_xlpm.s,_xlpm.k-1)),_xlfn.XMATCH(($BM$13+1),_xlfn.SCAN(0,--MID(_xlpm.s,_xlpm.k+1,9),_xlfn.LAMBDA(_xlpm.a,_xlpm.v,_xlpm.a+_xlpm.v)),1))),""),IF(($BM$13+1)&lt;=$BQ$13,$BP$13,""))))</f>
        <v>D</v>
      </c>
      <c r="CB72" t="str" cm="1">
        <f t="array" ref="CB72">IF(NOT(AND($BN$14&lt;&gt;"",($BM$14+1)&lt;=$BO$14)),"",IF(H72&lt;&gt;"",IF(H72="-","",H72),IF(ISNUMBER(SEARCH(":",$BP$14)),IFERROR(_xlfn.LET(_xlpm.s,_xlfn.TEXTSPLIT($BP$14,","),_xlpm.k,FIND(":",_xlpm.s),INDEX(TRIM(LEFT(_xlpm.s,_xlpm.k-1)),_xlfn.XMATCH(($BM$14+1),_xlfn.SCAN(0,--MID(_xlpm.s,_xlpm.k+1,9),_xlfn.LAMBDA(_xlpm.a,_xlpm.v,_xlpm.a+_xlpm.v)),1))),""),IF(($BM$14+1)&lt;=$BQ$14,$BP$14,""))))</f>
        <v/>
      </c>
      <c r="CC72" t="str" cm="1">
        <f t="array" ref="CC72">IF(NOT(AND($BN$15&lt;&gt;"",($BM$15+1)&lt;=$BO$15)),"",IF(N72&lt;&gt;"",IF(N72="-","",N72),IF(ISNUMBER(SEARCH(":",$BP$15)),IFERROR(_xlfn.LET(_xlpm.s,_xlfn.TEXTSPLIT($BP$15,","),_xlpm.k,FIND(":",_xlpm.s),INDEX(TRIM(LEFT(_xlpm.s,_xlpm.k-1)),_xlfn.XMATCH(($BM$15+1),_xlfn.SCAN(0,--MID(_xlpm.s,_xlpm.k+1,9),_xlfn.LAMBDA(_xlpm.a,_xlpm.v,_xlpm.a+_xlpm.v)),1))),""),IF(($BM$15+1)&lt;=$BQ$15,$BP$15,""))))</f>
        <v/>
      </c>
      <c r="CD72" t="str" cm="1">
        <f t="array" ref="CD72">IF(NOT(AND($BN$16&lt;&gt;"",($BM$16+1)&lt;=$BO$16)),"",IF(T72&lt;&gt;"",IF(T72="-","",T72),IF(ISNUMBER(SEARCH(":",$BP$16)),IFERROR(_xlfn.LET(_xlpm.s,_xlfn.TEXTSPLIT($BP$16,","),_xlpm.k,FIND(":",_xlpm.s),INDEX(TRIM(LEFT(_xlpm.s,_xlpm.k-1)),_xlfn.XMATCH(($BM$16+1),_xlfn.SCAN(0,--MID(_xlpm.s,_xlpm.k+1,9),_xlfn.LAMBDA(_xlpm.a,_xlpm.v,_xlpm.a+_xlpm.v)),1))),""),IF(($BM$16+1)&lt;=$BQ$16,$BP$16,""))))</f>
        <v/>
      </c>
    </row>
    <row r="73" spans="2:82" hidden="1" x14ac:dyDescent="0.45">
      <c r="B73" s="6"/>
      <c r="C73" s="9" t="str">
        <f>IF(CA73="","",CA73&amp;"-"&amp;TEXT(0+COUNTIF($CA$72:CA73,CA73),"000"))</f>
        <v>D-002</v>
      </c>
      <c r="D73" s="9" t="str">
        <f>IF(AND($BN$13&lt;&gt;"",($BM$13+2)&lt;=$BO$13),$BN$13,"")</f>
        <v>1C-AA</v>
      </c>
      <c r="E73" s="9" t="str">
        <f>IF(AND($BN$13&lt;&gt;"",($BM$13+2)&lt;=$BO$13),TEXT(($BM$13+2),"00"),"")</f>
        <v>02</v>
      </c>
      <c r="F73" s="9" t="str">
        <f>IF(AND($BN$13&lt;&gt;"",($BM$13+2)&lt;=$BO$13),$BN$13&amp;"-"&amp;TEXT(($BM$13+2),"00"),"")</f>
        <v>1C-AA-02</v>
      </c>
      <c r="H73" s="6"/>
      <c r="I73" s="9" t="str">
        <f>IF(CB73="","",CB73&amp;"-"&amp;TEXT(COUNTIF($CA$72:$CA$95,CB73)+COUNTIF($CB$72:CB73,CB73),"000"))</f>
        <v/>
      </c>
      <c r="J73" s="9" t="str">
        <f>IF(AND($BN$14&lt;&gt;"",($BM$14+2)&lt;=$BO$14),$BN$14,"")</f>
        <v/>
      </c>
      <c r="K73" s="9" t="str">
        <f>IF(AND($BN$14&lt;&gt;"",($BM$14+2)&lt;=$BO$14),TEXT(($BM$14+2),"00"),"")</f>
        <v/>
      </c>
      <c r="L73" s="9" t="str">
        <f>IF(AND($BN$14&lt;&gt;"",($BM$14+2)&lt;=$BO$14),$BN$14&amp;"-"&amp;TEXT(($BM$14+2),"00"),"")</f>
        <v/>
      </c>
      <c r="N73" s="6"/>
      <c r="O73" s="9" t="str">
        <f>IF(CC73="","",CC73&amp;"-"&amp;TEXT(COUNTIF($CA$72:$CA$95,CC73)+COUNTIF($CB$72:$CB$95,CC73)+COUNTIF($CC$72:CC73,CC73),"000"))</f>
        <v/>
      </c>
      <c r="P73" s="9" t="str">
        <f>IF(AND($BN$15&lt;&gt;"",($BM$15+2)&lt;=$BO$15),$BN$15,"")</f>
        <v/>
      </c>
      <c r="Q73" s="9" t="str">
        <f>IF(AND($BN$15&lt;&gt;"",($BM$15+2)&lt;=$BO$15),TEXT(($BM$15+2),"00"),"")</f>
        <v/>
      </c>
      <c r="R73" s="9" t="str">
        <f>IF(AND($BN$15&lt;&gt;"",($BM$15+2)&lt;=$BO$15),$BN$15&amp;"-"&amp;TEXT(($BM$15+2),"00"),"")</f>
        <v/>
      </c>
      <c r="T73" s="6"/>
      <c r="U73" s="9" t="str">
        <f>IF(CD73="","",CD73&amp;"-"&amp;TEXT(COUNTIF($CA$72:$CA$95,CD73)+COUNTIF($CB$72:$CB$95,CD73)+COUNTIF($CC$72:$CC$95,CD73)+COUNTIF($CD$72:CD73,CD73),"000"))</f>
        <v/>
      </c>
      <c r="V73" s="9" t="str">
        <f>IF(AND($BN$16&lt;&gt;"",($BM$16+2)&lt;=$BO$16),$BN$16,"")</f>
        <v/>
      </c>
      <c r="W73" s="9" t="str">
        <f>IF(AND($BN$16&lt;&gt;"",($BM$16+2)&lt;=$BO$16),TEXT(($BM$16+2),"00"),"")</f>
        <v/>
      </c>
      <c r="X73" s="9" t="str">
        <f>IF(AND($BN$16&lt;&gt;"",($BM$16+2)&lt;=$BO$16),$BN$16&amp;"-"&amp;TEXT(($BM$16+2),"00"),"")</f>
        <v/>
      </c>
      <c r="BA73">
        <f>IF(OR(Catalogo!$C73="",Catalogo!$B73="Espacio libre",Catalogo!$B73="Espacio reservado"),0,COUNTIF($C$13:$C$42,Catalogo!$C73)+IF($E$7=Catalogo!$C73,N($K$7),0)+IF($E$8=Catalogo!$C73,N($N$8),0)+IF(Proyecto!$D$12=Catalogo!$C73,$AQ$4,0)+SUMIF($C$49:$C$58,Catalogo!$C73,$K$49:$K$58))</f>
        <v>0</v>
      </c>
      <c r="CA73" t="str" cm="1">
        <f t="array" ref="CA73">IF(NOT(AND($BN$13&lt;&gt;"",($BM$13+2)&lt;=$BO$13)),"",IF(B73&lt;&gt;"",IF(B73="-","",B73),IF(ISNUMBER(SEARCH(":",$BP$13)),IFERROR(_xlfn.LET(_xlpm.s,_xlfn.TEXTSPLIT($BP$13,","),_xlpm.k,FIND(":",_xlpm.s),INDEX(TRIM(LEFT(_xlpm.s,_xlpm.k-1)),_xlfn.XMATCH(($BM$13+2),_xlfn.SCAN(0,--MID(_xlpm.s,_xlpm.k+1,9),_xlfn.LAMBDA(_xlpm.a,_xlpm.v,_xlpm.a+_xlpm.v)),1))),""),IF(($BM$13+2)&lt;=$BQ$13,$BP$13,""))))</f>
        <v>D</v>
      </c>
      <c r="CB73" t="str" cm="1">
        <f t="array" ref="CB73">IF(NOT(AND($BN$14&lt;&gt;"",($BM$14+2)&lt;=$BO$14)),"",IF(H73&lt;&gt;"",IF(H73="-","",H73),IF(ISNUMBER(SEARCH(":",$BP$14)),IFERROR(_xlfn.LET(_xlpm.s,_xlfn.TEXTSPLIT($BP$14,","),_xlpm.k,FIND(":",_xlpm.s),INDEX(TRIM(LEFT(_xlpm.s,_xlpm.k-1)),_xlfn.XMATCH(($BM$14+2),_xlfn.SCAN(0,--MID(_xlpm.s,_xlpm.k+1,9),_xlfn.LAMBDA(_xlpm.a,_xlpm.v,_xlpm.a+_xlpm.v)),1))),""),IF(($BM$14+2)&lt;=$BQ$14,$BP$14,""))))</f>
        <v/>
      </c>
      <c r="CC73" t="str" cm="1">
        <f t="array" ref="CC73">IF(NOT(AND($BN$15&lt;&gt;"",($BM$15+2)&lt;=$BO$15)),"",IF(N73&lt;&gt;"",IF(N73="-","",N73),IF(ISNUMBER(SEARCH(":",$BP$15)),IFERROR(_xlfn.LET(_xlpm.s,_xlfn.TEXTSPLIT($BP$15,","),_xlpm.k,FIND(":",_xlpm.s),INDEX(TRIM(LEFT(_xlpm.s,_xlpm.k-1)),_xlfn.XMATCH(($BM$15+2),_xlfn.SCAN(0,--MID(_xlpm.s,_xlpm.k+1,9),_xlfn.LAMBDA(_xlpm.a,_xlpm.v,_xlpm.a+_xlpm.v)),1))),""),IF(($BM$15+2)&lt;=$BQ$15,$BP$15,""))))</f>
        <v/>
      </c>
      <c r="CD73" t="str" cm="1">
        <f t="array" ref="CD73">IF(NOT(AND($BN$16&lt;&gt;"",($BM$16+2)&lt;=$BO$16)),"",IF(T73&lt;&gt;"",IF(T73="-","",T73),IF(ISNUMBER(SEARCH(":",$BP$16)),IFERROR(_xlfn.LET(_xlpm.s,_xlfn.TEXTSPLIT($BP$16,","),_xlpm.k,FIND(":",_xlpm.s),INDEX(TRIM(LEFT(_xlpm.s,_xlpm.k-1)),_xlfn.XMATCH(($BM$16+2),_xlfn.SCAN(0,--MID(_xlpm.s,_xlpm.k+1,9),_xlfn.LAMBDA(_xlpm.a,_xlpm.v,_xlpm.a+_xlpm.v)),1))),""),IF(($BM$16+2)&lt;=$BQ$16,$BP$16,""))))</f>
        <v/>
      </c>
    </row>
    <row r="74" spans="2:82" hidden="1" x14ac:dyDescent="0.45">
      <c r="B74" s="6"/>
      <c r="C74" s="9" t="str">
        <f>IF(CA74="","",CA74&amp;"-"&amp;TEXT(0+COUNTIF($CA$72:CA74,CA74),"000"))</f>
        <v>D-003</v>
      </c>
      <c r="D74" s="9" t="str">
        <f>IF(AND($BN$13&lt;&gt;"",($BM$13+3)&lt;=$BO$13),$BN$13,"")</f>
        <v>1C-AA</v>
      </c>
      <c r="E74" s="9" t="str">
        <f>IF(AND($BN$13&lt;&gt;"",($BM$13+3)&lt;=$BO$13),TEXT(($BM$13+3),"00"),"")</f>
        <v>03</v>
      </c>
      <c r="F74" s="9" t="str">
        <f>IF(AND($BN$13&lt;&gt;"",($BM$13+3)&lt;=$BO$13),$BN$13&amp;"-"&amp;TEXT(($BM$13+3),"00"),"")</f>
        <v>1C-AA-03</v>
      </c>
      <c r="H74" s="6"/>
      <c r="I74" s="9" t="str">
        <f>IF(CB74="","",CB74&amp;"-"&amp;TEXT(COUNTIF($CA$72:$CA$95,CB74)+COUNTIF($CB$72:CB74,CB74),"000"))</f>
        <v/>
      </c>
      <c r="J74" s="9" t="str">
        <f>IF(AND($BN$14&lt;&gt;"",($BM$14+3)&lt;=$BO$14),$BN$14,"")</f>
        <v/>
      </c>
      <c r="K74" s="9" t="str">
        <f>IF(AND($BN$14&lt;&gt;"",($BM$14+3)&lt;=$BO$14),TEXT(($BM$14+3),"00"),"")</f>
        <v/>
      </c>
      <c r="L74" s="9" t="str">
        <f>IF(AND($BN$14&lt;&gt;"",($BM$14+3)&lt;=$BO$14),$BN$14&amp;"-"&amp;TEXT(($BM$14+3),"00"),"")</f>
        <v/>
      </c>
      <c r="N74" s="6"/>
      <c r="O74" s="9" t="str">
        <f>IF(CC74="","",CC74&amp;"-"&amp;TEXT(COUNTIF($CA$72:$CA$95,CC74)+COUNTIF($CB$72:$CB$95,CC74)+COUNTIF($CC$72:CC74,CC74),"000"))</f>
        <v/>
      </c>
      <c r="P74" s="9" t="str">
        <f>IF(AND($BN$15&lt;&gt;"",($BM$15+3)&lt;=$BO$15),$BN$15,"")</f>
        <v/>
      </c>
      <c r="Q74" s="9" t="str">
        <f>IF(AND($BN$15&lt;&gt;"",($BM$15+3)&lt;=$BO$15),TEXT(($BM$15+3),"00"),"")</f>
        <v/>
      </c>
      <c r="R74" s="9" t="str">
        <f>IF(AND($BN$15&lt;&gt;"",($BM$15+3)&lt;=$BO$15),$BN$15&amp;"-"&amp;TEXT(($BM$15+3),"00"),"")</f>
        <v/>
      </c>
      <c r="T74" s="6"/>
      <c r="U74" s="9" t="str">
        <f>IF(CD74="","",CD74&amp;"-"&amp;TEXT(COUNTIF($CA$72:$CA$95,CD74)+COUNTIF($CB$72:$CB$95,CD74)+COUNTIF($CC$72:$CC$95,CD74)+COUNTIF($CD$72:CD74,CD74),"000"))</f>
        <v/>
      </c>
      <c r="V74" s="9" t="str">
        <f>IF(AND($BN$16&lt;&gt;"",($BM$16+3)&lt;=$BO$16),$BN$16,"")</f>
        <v/>
      </c>
      <c r="W74" s="9" t="str">
        <f>IF(AND($BN$16&lt;&gt;"",($BM$16+3)&lt;=$BO$16),TEXT(($BM$16+3),"00"),"")</f>
        <v/>
      </c>
      <c r="X74" s="9" t="str">
        <f>IF(AND($BN$16&lt;&gt;"",($BM$16+3)&lt;=$BO$16),$BN$16&amp;"-"&amp;TEXT(($BM$16+3),"00"),"")</f>
        <v/>
      </c>
      <c r="BA74">
        <f>IF(OR(Catalogo!$C74="",Catalogo!$B74="Espacio libre",Catalogo!$B74="Espacio reservado"),0,COUNTIF($C$13:$C$42,Catalogo!$C74)+IF($E$7=Catalogo!$C74,N($K$7),0)+IF($E$8=Catalogo!$C74,N($N$8),0)+IF(Proyecto!$D$12=Catalogo!$C74,$AQ$4,0)+SUMIF($C$49:$C$58,Catalogo!$C74,$K$49:$K$58))</f>
        <v>0</v>
      </c>
      <c r="CA74" t="str" cm="1">
        <f t="array" ref="CA74">IF(NOT(AND($BN$13&lt;&gt;"",($BM$13+3)&lt;=$BO$13)),"",IF(B74&lt;&gt;"",IF(B74="-","",B74),IF(ISNUMBER(SEARCH(":",$BP$13)),IFERROR(_xlfn.LET(_xlpm.s,_xlfn.TEXTSPLIT($BP$13,","),_xlpm.k,FIND(":",_xlpm.s),INDEX(TRIM(LEFT(_xlpm.s,_xlpm.k-1)),_xlfn.XMATCH(($BM$13+3),_xlfn.SCAN(0,--MID(_xlpm.s,_xlpm.k+1,9),_xlfn.LAMBDA(_xlpm.a,_xlpm.v,_xlpm.a+_xlpm.v)),1))),""),IF(($BM$13+3)&lt;=$BQ$13,$BP$13,""))))</f>
        <v>D</v>
      </c>
      <c r="CB74" t="str" cm="1">
        <f t="array" ref="CB74">IF(NOT(AND($BN$14&lt;&gt;"",($BM$14+3)&lt;=$BO$14)),"",IF(H74&lt;&gt;"",IF(H74="-","",H74),IF(ISNUMBER(SEARCH(":",$BP$14)),IFERROR(_xlfn.LET(_xlpm.s,_xlfn.TEXTSPLIT($BP$14,","),_xlpm.k,FIND(":",_xlpm.s),INDEX(TRIM(LEFT(_xlpm.s,_xlpm.k-1)),_xlfn.XMATCH(($BM$14+3),_xlfn.SCAN(0,--MID(_xlpm.s,_xlpm.k+1,9),_xlfn.LAMBDA(_xlpm.a,_xlpm.v,_xlpm.a+_xlpm.v)),1))),""),IF(($BM$14+3)&lt;=$BQ$14,$BP$14,""))))</f>
        <v/>
      </c>
      <c r="CC74" t="str" cm="1">
        <f t="array" ref="CC74">IF(NOT(AND($BN$15&lt;&gt;"",($BM$15+3)&lt;=$BO$15)),"",IF(N74&lt;&gt;"",IF(N74="-","",N74),IF(ISNUMBER(SEARCH(":",$BP$15)),IFERROR(_xlfn.LET(_xlpm.s,_xlfn.TEXTSPLIT($BP$15,","),_xlpm.k,FIND(":",_xlpm.s),INDEX(TRIM(LEFT(_xlpm.s,_xlpm.k-1)),_xlfn.XMATCH(($BM$15+3),_xlfn.SCAN(0,--MID(_xlpm.s,_xlpm.k+1,9),_xlfn.LAMBDA(_xlpm.a,_xlpm.v,_xlpm.a+_xlpm.v)),1))),""),IF(($BM$15+3)&lt;=$BQ$15,$BP$15,""))))</f>
        <v/>
      </c>
      <c r="CD74" t="str" cm="1">
        <f t="array" ref="CD74">IF(NOT(AND($BN$16&lt;&gt;"",($BM$16+3)&lt;=$BO$16)),"",IF(T74&lt;&gt;"",IF(T74="-","",T74),IF(ISNUMBER(SEARCH(":",$BP$16)),IFERROR(_xlfn.LET(_xlpm.s,_xlfn.TEXTSPLIT($BP$16,","),_xlpm.k,FIND(":",_xlpm.s),INDEX(TRIM(LEFT(_xlpm.s,_xlpm.k-1)),_xlfn.XMATCH(($BM$16+3),_xlfn.SCAN(0,--MID(_xlpm.s,_xlpm.k+1,9),_xlfn.LAMBDA(_xlpm.a,_xlpm.v,_xlpm.a+_xlpm.v)),1))),""),IF(($BM$16+3)&lt;=$BQ$16,$BP$16,""))))</f>
        <v/>
      </c>
    </row>
    <row r="75" spans="2:82" hidden="1" x14ac:dyDescent="0.45">
      <c r="B75" s="6"/>
      <c r="C75" s="9" t="str">
        <f>IF(CA75="","",CA75&amp;"-"&amp;TEXT(0+COUNTIF($CA$72:CA75,CA75),"000"))</f>
        <v>D-004</v>
      </c>
      <c r="D75" s="9" t="str">
        <f>IF(AND($BN$13&lt;&gt;"",($BM$13+4)&lt;=$BO$13),$BN$13,"")</f>
        <v>1C-AA</v>
      </c>
      <c r="E75" s="9" t="str">
        <f>IF(AND($BN$13&lt;&gt;"",($BM$13+4)&lt;=$BO$13),TEXT(($BM$13+4),"00"),"")</f>
        <v>04</v>
      </c>
      <c r="F75" s="9" t="str">
        <f>IF(AND($BN$13&lt;&gt;"",($BM$13+4)&lt;=$BO$13),$BN$13&amp;"-"&amp;TEXT(($BM$13+4),"00"),"")</f>
        <v>1C-AA-04</v>
      </c>
      <c r="H75" s="6"/>
      <c r="I75" s="9" t="str">
        <f>IF(CB75="","",CB75&amp;"-"&amp;TEXT(COUNTIF($CA$72:$CA$95,CB75)+COUNTIF($CB$72:CB75,CB75),"000"))</f>
        <v/>
      </c>
      <c r="J75" s="9" t="str">
        <f>IF(AND($BN$14&lt;&gt;"",($BM$14+4)&lt;=$BO$14),$BN$14,"")</f>
        <v/>
      </c>
      <c r="K75" s="9" t="str">
        <f>IF(AND($BN$14&lt;&gt;"",($BM$14+4)&lt;=$BO$14),TEXT(($BM$14+4),"00"),"")</f>
        <v/>
      </c>
      <c r="L75" s="9" t="str">
        <f>IF(AND($BN$14&lt;&gt;"",($BM$14+4)&lt;=$BO$14),$BN$14&amp;"-"&amp;TEXT(($BM$14+4),"00"),"")</f>
        <v/>
      </c>
      <c r="N75" s="6"/>
      <c r="O75" s="9" t="str">
        <f>IF(CC75="","",CC75&amp;"-"&amp;TEXT(COUNTIF($CA$72:$CA$95,CC75)+COUNTIF($CB$72:$CB$95,CC75)+COUNTIF($CC$72:CC75,CC75),"000"))</f>
        <v/>
      </c>
      <c r="P75" s="9" t="str">
        <f>IF(AND($BN$15&lt;&gt;"",($BM$15+4)&lt;=$BO$15),$BN$15,"")</f>
        <v/>
      </c>
      <c r="Q75" s="9" t="str">
        <f>IF(AND($BN$15&lt;&gt;"",($BM$15+4)&lt;=$BO$15),TEXT(($BM$15+4),"00"),"")</f>
        <v/>
      </c>
      <c r="R75" s="9" t="str">
        <f>IF(AND($BN$15&lt;&gt;"",($BM$15+4)&lt;=$BO$15),$BN$15&amp;"-"&amp;TEXT(($BM$15+4),"00"),"")</f>
        <v/>
      </c>
      <c r="T75" s="6"/>
      <c r="U75" s="9" t="str">
        <f>IF(CD75="","",CD75&amp;"-"&amp;TEXT(COUNTIF($CA$72:$CA$95,CD75)+COUNTIF($CB$72:$CB$95,CD75)+COUNTIF($CC$72:$CC$95,CD75)+COUNTIF($CD$72:CD75,CD75),"000"))</f>
        <v/>
      </c>
      <c r="V75" s="9" t="str">
        <f>IF(AND($BN$16&lt;&gt;"",($BM$16+4)&lt;=$BO$16),$BN$16,"")</f>
        <v/>
      </c>
      <c r="W75" s="9" t="str">
        <f>IF(AND($BN$16&lt;&gt;"",($BM$16+4)&lt;=$BO$16),TEXT(($BM$16+4),"00"),"")</f>
        <v/>
      </c>
      <c r="X75" s="9" t="str">
        <f>IF(AND($BN$16&lt;&gt;"",($BM$16+4)&lt;=$BO$16),$BN$16&amp;"-"&amp;TEXT(($BM$16+4),"00"),"")</f>
        <v/>
      </c>
      <c r="BA75">
        <f>IF(OR(Catalogo!$C75="",Catalogo!$B75="Espacio libre",Catalogo!$B75="Espacio reservado"),0,COUNTIF($C$13:$C$42,Catalogo!$C75)+IF($E$7=Catalogo!$C75,N($K$7),0)+IF($E$8=Catalogo!$C75,N($N$8),0)+IF(Proyecto!$D$12=Catalogo!$C75,$AQ$4,0)+SUMIF($C$49:$C$58,Catalogo!$C75,$K$49:$K$58))</f>
        <v>0</v>
      </c>
      <c r="CA75" t="str" cm="1">
        <f t="array" ref="CA75">IF(NOT(AND($BN$13&lt;&gt;"",($BM$13+4)&lt;=$BO$13)),"",IF(B75&lt;&gt;"",IF(B75="-","",B75),IF(ISNUMBER(SEARCH(":",$BP$13)),IFERROR(_xlfn.LET(_xlpm.s,_xlfn.TEXTSPLIT($BP$13,","),_xlpm.k,FIND(":",_xlpm.s),INDEX(TRIM(LEFT(_xlpm.s,_xlpm.k-1)),_xlfn.XMATCH(($BM$13+4),_xlfn.SCAN(0,--MID(_xlpm.s,_xlpm.k+1,9),_xlfn.LAMBDA(_xlpm.a,_xlpm.v,_xlpm.a+_xlpm.v)),1))),""),IF(($BM$13+4)&lt;=$BQ$13,$BP$13,""))))</f>
        <v>D</v>
      </c>
      <c r="CB75" t="str" cm="1">
        <f t="array" ref="CB75">IF(NOT(AND($BN$14&lt;&gt;"",($BM$14+4)&lt;=$BO$14)),"",IF(H75&lt;&gt;"",IF(H75="-","",H75),IF(ISNUMBER(SEARCH(":",$BP$14)),IFERROR(_xlfn.LET(_xlpm.s,_xlfn.TEXTSPLIT($BP$14,","),_xlpm.k,FIND(":",_xlpm.s),INDEX(TRIM(LEFT(_xlpm.s,_xlpm.k-1)),_xlfn.XMATCH(($BM$14+4),_xlfn.SCAN(0,--MID(_xlpm.s,_xlpm.k+1,9),_xlfn.LAMBDA(_xlpm.a,_xlpm.v,_xlpm.a+_xlpm.v)),1))),""),IF(($BM$14+4)&lt;=$BQ$14,$BP$14,""))))</f>
        <v/>
      </c>
      <c r="CC75" t="str" cm="1">
        <f t="array" ref="CC75">IF(NOT(AND($BN$15&lt;&gt;"",($BM$15+4)&lt;=$BO$15)),"",IF(N75&lt;&gt;"",IF(N75="-","",N75),IF(ISNUMBER(SEARCH(":",$BP$15)),IFERROR(_xlfn.LET(_xlpm.s,_xlfn.TEXTSPLIT($BP$15,","),_xlpm.k,FIND(":",_xlpm.s),INDEX(TRIM(LEFT(_xlpm.s,_xlpm.k-1)),_xlfn.XMATCH(($BM$15+4),_xlfn.SCAN(0,--MID(_xlpm.s,_xlpm.k+1,9),_xlfn.LAMBDA(_xlpm.a,_xlpm.v,_xlpm.a+_xlpm.v)),1))),""),IF(($BM$15+4)&lt;=$BQ$15,$BP$15,""))))</f>
        <v/>
      </c>
      <c r="CD75" t="str" cm="1">
        <f t="array" ref="CD75">IF(NOT(AND($BN$16&lt;&gt;"",($BM$16+4)&lt;=$BO$16)),"",IF(T75&lt;&gt;"",IF(T75="-","",T75),IF(ISNUMBER(SEARCH(":",$BP$16)),IFERROR(_xlfn.LET(_xlpm.s,_xlfn.TEXTSPLIT($BP$16,","),_xlpm.k,FIND(":",_xlpm.s),INDEX(TRIM(LEFT(_xlpm.s,_xlpm.k-1)),_xlfn.XMATCH(($BM$16+4),_xlfn.SCAN(0,--MID(_xlpm.s,_xlpm.k+1,9),_xlfn.LAMBDA(_xlpm.a,_xlpm.v,_xlpm.a+_xlpm.v)),1))),""),IF(($BM$16+4)&lt;=$BQ$16,$BP$16,""))))</f>
        <v/>
      </c>
    </row>
    <row r="76" spans="2:82" hidden="1" x14ac:dyDescent="0.45">
      <c r="B76" s="6"/>
      <c r="C76" s="9" t="str">
        <f>IF(CA76="","",CA76&amp;"-"&amp;TEXT(0+COUNTIF($CA$72:CA76,CA76),"000"))</f>
        <v>D-005</v>
      </c>
      <c r="D76" s="9" t="str">
        <f>IF(AND($BN$13&lt;&gt;"",($BM$13+5)&lt;=$BO$13),$BN$13,"")</f>
        <v>1C-AA</v>
      </c>
      <c r="E76" s="9" t="str">
        <f>IF(AND($BN$13&lt;&gt;"",($BM$13+5)&lt;=$BO$13),TEXT(($BM$13+5),"00"),"")</f>
        <v>05</v>
      </c>
      <c r="F76" s="9" t="str">
        <f>IF(AND($BN$13&lt;&gt;"",($BM$13+5)&lt;=$BO$13),$BN$13&amp;"-"&amp;TEXT(($BM$13+5),"00"),"")</f>
        <v>1C-AA-05</v>
      </c>
      <c r="H76" s="6"/>
      <c r="I76" s="9" t="str">
        <f>IF(CB76="","",CB76&amp;"-"&amp;TEXT(COUNTIF($CA$72:$CA$95,CB76)+COUNTIF($CB$72:CB76,CB76),"000"))</f>
        <v/>
      </c>
      <c r="J76" s="9" t="str">
        <f>IF(AND($BN$14&lt;&gt;"",($BM$14+5)&lt;=$BO$14),$BN$14,"")</f>
        <v/>
      </c>
      <c r="K76" s="9" t="str">
        <f>IF(AND($BN$14&lt;&gt;"",($BM$14+5)&lt;=$BO$14),TEXT(($BM$14+5),"00"),"")</f>
        <v/>
      </c>
      <c r="L76" s="9" t="str">
        <f>IF(AND($BN$14&lt;&gt;"",($BM$14+5)&lt;=$BO$14),$BN$14&amp;"-"&amp;TEXT(($BM$14+5),"00"),"")</f>
        <v/>
      </c>
      <c r="N76" s="6"/>
      <c r="O76" s="9" t="str">
        <f>IF(CC76="","",CC76&amp;"-"&amp;TEXT(COUNTIF($CA$72:$CA$95,CC76)+COUNTIF($CB$72:$CB$95,CC76)+COUNTIF($CC$72:CC76,CC76),"000"))</f>
        <v/>
      </c>
      <c r="P76" s="9" t="str">
        <f>IF(AND($BN$15&lt;&gt;"",($BM$15+5)&lt;=$BO$15),$BN$15,"")</f>
        <v/>
      </c>
      <c r="Q76" s="9" t="str">
        <f>IF(AND($BN$15&lt;&gt;"",($BM$15+5)&lt;=$BO$15),TEXT(($BM$15+5),"00"),"")</f>
        <v/>
      </c>
      <c r="R76" s="9" t="str">
        <f>IF(AND($BN$15&lt;&gt;"",($BM$15+5)&lt;=$BO$15),$BN$15&amp;"-"&amp;TEXT(($BM$15+5),"00"),"")</f>
        <v/>
      </c>
      <c r="T76" s="6"/>
      <c r="U76" s="9" t="str">
        <f>IF(CD76="","",CD76&amp;"-"&amp;TEXT(COUNTIF($CA$72:$CA$95,CD76)+COUNTIF($CB$72:$CB$95,CD76)+COUNTIF($CC$72:$CC$95,CD76)+COUNTIF($CD$72:CD76,CD76),"000"))</f>
        <v/>
      </c>
      <c r="V76" s="9" t="str">
        <f>IF(AND($BN$16&lt;&gt;"",($BM$16+5)&lt;=$BO$16),$BN$16,"")</f>
        <v/>
      </c>
      <c r="W76" s="9" t="str">
        <f>IF(AND($BN$16&lt;&gt;"",($BM$16+5)&lt;=$BO$16),TEXT(($BM$16+5),"00"),"")</f>
        <v/>
      </c>
      <c r="X76" s="9" t="str">
        <f>IF(AND($BN$16&lt;&gt;"",($BM$16+5)&lt;=$BO$16),$BN$16&amp;"-"&amp;TEXT(($BM$16+5),"00"),"")</f>
        <v/>
      </c>
      <c r="BA76">
        <f>IF(OR(Catalogo!$C76="",Catalogo!$B76="Espacio libre",Catalogo!$B76="Espacio reservado"),0,COUNTIF($C$13:$C$42,Catalogo!$C76)+IF($E$7=Catalogo!$C76,N($K$7),0)+IF($E$8=Catalogo!$C76,N($N$8),0)+IF(Proyecto!$D$12=Catalogo!$C76,$AQ$4,0)+SUMIF($C$49:$C$58,Catalogo!$C76,$K$49:$K$58))</f>
        <v>0</v>
      </c>
      <c r="CA76" t="str" cm="1">
        <f t="array" ref="CA76">IF(NOT(AND($BN$13&lt;&gt;"",($BM$13+5)&lt;=$BO$13)),"",IF(B76&lt;&gt;"",IF(B76="-","",B76),IF(ISNUMBER(SEARCH(":",$BP$13)),IFERROR(_xlfn.LET(_xlpm.s,_xlfn.TEXTSPLIT($BP$13,","),_xlpm.k,FIND(":",_xlpm.s),INDEX(TRIM(LEFT(_xlpm.s,_xlpm.k-1)),_xlfn.XMATCH(($BM$13+5),_xlfn.SCAN(0,--MID(_xlpm.s,_xlpm.k+1,9),_xlfn.LAMBDA(_xlpm.a,_xlpm.v,_xlpm.a+_xlpm.v)),1))),""),IF(($BM$13+5)&lt;=$BQ$13,$BP$13,""))))</f>
        <v>D</v>
      </c>
      <c r="CB76" t="str" cm="1">
        <f t="array" ref="CB76">IF(NOT(AND($BN$14&lt;&gt;"",($BM$14+5)&lt;=$BO$14)),"",IF(H76&lt;&gt;"",IF(H76="-","",H76),IF(ISNUMBER(SEARCH(":",$BP$14)),IFERROR(_xlfn.LET(_xlpm.s,_xlfn.TEXTSPLIT($BP$14,","),_xlpm.k,FIND(":",_xlpm.s),INDEX(TRIM(LEFT(_xlpm.s,_xlpm.k-1)),_xlfn.XMATCH(($BM$14+5),_xlfn.SCAN(0,--MID(_xlpm.s,_xlpm.k+1,9),_xlfn.LAMBDA(_xlpm.a,_xlpm.v,_xlpm.a+_xlpm.v)),1))),""),IF(($BM$14+5)&lt;=$BQ$14,$BP$14,""))))</f>
        <v/>
      </c>
      <c r="CC76" t="str" cm="1">
        <f t="array" ref="CC76">IF(NOT(AND($BN$15&lt;&gt;"",($BM$15+5)&lt;=$BO$15)),"",IF(N76&lt;&gt;"",IF(N76="-","",N76),IF(ISNUMBER(SEARCH(":",$BP$15)),IFERROR(_xlfn.LET(_xlpm.s,_xlfn.TEXTSPLIT($BP$15,","),_xlpm.k,FIND(":",_xlpm.s),INDEX(TRIM(LEFT(_xlpm.s,_xlpm.k-1)),_xlfn.XMATCH(($BM$15+5),_xlfn.SCAN(0,--MID(_xlpm.s,_xlpm.k+1,9),_xlfn.LAMBDA(_xlpm.a,_xlpm.v,_xlpm.a+_xlpm.v)),1))),""),IF(($BM$15+5)&lt;=$BQ$15,$BP$15,""))))</f>
        <v/>
      </c>
      <c r="CD76" t="str" cm="1">
        <f t="array" ref="CD76">IF(NOT(AND($BN$16&lt;&gt;"",($BM$16+5)&lt;=$BO$16)),"",IF(T76&lt;&gt;"",IF(T76="-","",T76),IF(ISNUMBER(SEARCH(":",$BP$16)),IFERROR(_xlfn.LET(_xlpm.s,_xlfn.TEXTSPLIT($BP$16,","),_xlpm.k,FIND(":",_xlpm.s),INDEX(TRIM(LEFT(_xlpm.s,_xlpm.k-1)),_xlfn.XMATCH(($BM$16+5),_xlfn.SCAN(0,--MID(_xlpm.s,_xlpm.k+1,9),_xlfn.LAMBDA(_xlpm.a,_xlpm.v,_xlpm.a+_xlpm.v)),1))),""),IF(($BM$16+5)&lt;=$BQ$16,$BP$16,""))))</f>
        <v/>
      </c>
    </row>
    <row r="77" spans="2:82" hidden="1" x14ac:dyDescent="0.45">
      <c r="B77" s="6"/>
      <c r="C77" s="9" t="str">
        <f>IF(CA77="","",CA77&amp;"-"&amp;TEXT(0+COUNTIF($CA$72:CA77,CA77),"000"))</f>
        <v>D-006</v>
      </c>
      <c r="D77" s="9" t="str">
        <f>IF(AND($BN$13&lt;&gt;"",($BM$13+6)&lt;=$BO$13),$BN$13,"")</f>
        <v>1C-AA</v>
      </c>
      <c r="E77" s="9" t="str">
        <f>IF(AND($BN$13&lt;&gt;"",($BM$13+6)&lt;=$BO$13),TEXT(($BM$13+6),"00"),"")</f>
        <v>06</v>
      </c>
      <c r="F77" s="9" t="str">
        <f>IF(AND($BN$13&lt;&gt;"",($BM$13+6)&lt;=$BO$13),$BN$13&amp;"-"&amp;TEXT(($BM$13+6),"00"),"")</f>
        <v>1C-AA-06</v>
      </c>
      <c r="H77" s="6"/>
      <c r="I77" s="9" t="str">
        <f>IF(CB77="","",CB77&amp;"-"&amp;TEXT(COUNTIF($CA$72:$CA$95,CB77)+COUNTIF($CB$72:CB77,CB77),"000"))</f>
        <v/>
      </c>
      <c r="J77" s="9" t="str">
        <f>IF(AND($BN$14&lt;&gt;"",($BM$14+6)&lt;=$BO$14),$BN$14,"")</f>
        <v/>
      </c>
      <c r="K77" s="9" t="str">
        <f>IF(AND($BN$14&lt;&gt;"",($BM$14+6)&lt;=$BO$14),TEXT(($BM$14+6),"00"),"")</f>
        <v/>
      </c>
      <c r="L77" s="9" t="str">
        <f>IF(AND($BN$14&lt;&gt;"",($BM$14+6)&lt;=$BO$14),$BN$14&amp;"-"&amp;TEXT(($BM$14+6),"00"),"")</f>
        <v/>
      </c>
      <c r="N77" s="6"/>
      <c r="O77" s="9" t="str">
        <f>IF(CC77="","",CC77&amp;"-"&amp;TEXT(COUNTIF($CA$72:$CA$95,CC77)+COUNTIF($CB$72:$CB$95,CC77)+COUNTIF($CC$72:CC77,CC77),"000"))</f>
        <v/>
      </c>
      <c r="P77" s="9" t="str">
        <f>IF(AND($BN$15&lt;&gt;"",($BM$15+6)&lt;=$BO$15),$BN$15,"")</f>
        <v/>
      </c>
      <c r="Q77" s="9" t="str">
        <f>IF(AND($BN$15&lt;&gt;"",($BM$15+6)&lt;=$BO$15),TEXT(($BM$15+6),"00"),"")</f>
        <v/>
      </c>
      <c r="R77" s="9" t="str">
        <f>IF(AND($BN$15&lt;&gt;"",($BM$15+6)&lt;=$BO$15),$BN$15&amp;"-"&amp;TEXT(($BM$15+6),"00"),"")</f>
        <v/>
      </c>
      <c r="T77" s="6"/>
      <c r="U77" s="9" t="str">
        <f>IF(CD77="","",CD77&amp;"-"&amp;TEXT(COUNTIF($CA$72:$CA$95,CD77)+COUNTIF($CB$72:$CB$95,CD77)+COUNTIF($CC$72:$CC$95,CD77)+COUNTIF($CD$72:CD77,CD77),"000"))</f>
        <v/>
      </c>
      <c r="V77" s="9" t="str">
        <f>IF(AND($BN$16&lt;&gt;"",($BM$16+6)&lt;=$BO$16),$BN$16,"")</f>
        <v/>
      </c>
      <c r="W77" s="9" t="str">
        <f>IF(AND($BN$16&lt;&gt;"",($BM$16+6)&lt;=$BO$16),TEXT(($BM$16+6),"00"),"")</f>
        <v/>
      </c>
      <c r="X77" s="9" t="str">
        <f>IF(AND($BN$16&lt;&gt;"",($BM$16+6)&lt;=$BO$16),$BN$16&amp;"-"&amp;TEXT(($BM$16+6),"00"),"")</f>
        <v/>
      </c>
      <c r="BA77">
        <f>IF(OR(Catalogo!$C77="",Catalogo!$B77="Espacio libre",Catalogo!$B77="Espacio reservado"),0,COUNTIF($C$13:$C$42,Catalogo!$C77)+IF($E$7=Catalogo!$C77,N($K$7),0)+IF($E$8=Catalogo!$C77,N($N$8),0)+IF(Proyecto!$D$12=Catalogo!$C77,$AQ$4,0)+SUMIF($C$49:$C$58,Catalogo!$C77,$K$49:$K$58))</f>
        <v>0</v>
      </c>
      <c r="CA77" t="str" cm="1">
        <f t="array" ref="CA77">IF(NOT(AND($BN$13&lt;&gt;"",($BM$13+6)&lt;=$BO$13)),"",IF(B77&lt;&gt;"",IF(B77="-","",B77),IF(ISNUMBER(SEARCH(":",$BP$13)),IFERROR(_xlfn.LET(_xlpm.s,_xlfn.TEXTSPLIT($BP$13,","),_xlpm.k,FIND(":",_xlpm.s),INDEX(TRIM(LEFT(_xlpm.s,_xlpm.k-1)),_xlfn.XMATCH(($BM$13+6),_xlfn.SCAN(0,--MID(_xlpm.s,_xlpm.k+1,9),_xlfn.LAMBDA(_xlpm.a,_xlpm.v,_xlpm.a+_xlpm.v)),1))),""),IF(($BM$13+6)&lt;=$BQ$13,$BP$13,""))))</f>
        <v>D</v>
      </c>
      <c r="CB77" t="str" cm="1">
        <f t="array" ref="CB77">IF(NOT(AND($BN$14&lt;&gt;"",($BM$14+6)&lt;=$BO$14)),"",IF(H77&lt;&gt;"",IF(H77="-","",H77),IF(ISNUMBER(SEARCH(":",$BP$14)),IFERROR(_xlfn.LET(_xlpm.s,_xlfn.TEXTSPLIT($BP$14,","),_xlpm.k,FIND(":",_xlpm.s),INDEX(TRIM(LEFT(_xlpm.s,_xlpm.k-1)),_xlfn.XMATCH(($BM$14+6),_xlfn.SCAN(0,--MID(_xlpm.s,_xlpm.k+1,9),_xlfn.LAMBDA(_xlpm.a,_xlpm.v,_xlpm.a+_xlpm.v)),1))),""),IF(($BM$14+6)&lt;=$BQ$14,$BP$14,""))))</f>
        <v/>
      </c>
      <c r="CC77" t="str" cm="1">
        <f t="array" ref="CC77">IF(NOT(AND($BN$15&lt;&gt;"",($BM$15+6)&lt;=$BO$15)),"",IF(N77&lt;&gt;"",IF(N77="-","",N77),IF(ISNUMBER(SEARCH(":",$BP$15)),IFERROR(_xlfn.LET(_xlpm.s,_xlfn.TEXTSPLIT($BP$15,","),_xlpm.k,FIND(":",_xlpm.s),INDEX(TRIM(LEFT(_xlpm.s,_xlpm.k-1)),_xlfn.XMATCH(($BM$15+6),_xlfn.SCAN(0,--MID(_xlpm.s,_xlpm.k+1,9),_xlfn.LAMBDA(_xlpm.a,_xlpm.v,_xlpm.a+_xlpm.v)),1))),""),IF(($BM$15+6)&lt;=$BQ$15,$BP$15,""))))</f>
        <v/>
      </c>
      <c r="CD77" t="str" cm="1">
        <f t="array" ref="CD77">IF(NOT(AND($BN$16&lt;&gt;"",($BM$16+6)&lt;=$BO$16)),"",IF(T77&lt;&gt;"",IF(T77="-","",T77),IF(ISNUMBER(SEARCH(":",$BP$16)),IFERROR(_xlfn.LET(_xlpm.s,_xlfn.TEXTSPLIT($BP$16,","),_xlpm.k,FIND(":",_xlpm.s),INDEX(TRIM(LEFT(_xlpm.s,_xlpm.k-1)),_xlfn.XMATCH(($BM$16+6),_xlfn.SCAN(0,--MID(_xlpm.s,_xlpm.k+1,9),_xlfn.LAMBDA(_xlpm.a,_xlpm.v,_xlpm.a+_xlpm.v)),1))),""),IF(($BM$16+6)&lt;=$BQ$16,$BP$16,""))))</f>
        <v/>
      </c>
    </row>
    <row r="78" spans="2:82" hidden="1" x14ac:dyDescent="0.45">
      <c r="B78" s="6"/>
      <c r="C78" s="9" t="str">
        <f>IF(CA78="","",CA78&amp;"-"&amp;TEXT(0+COUNTIF($CA$72:CA78,CA78),"000"))</f>
        <v>D-007</v>
      </c>
      <c r="D78" s="9" t="str">
        <f>IF(AND($BN$13&lt;&gt;"",($BM$13+7)&lt;=$BO$13),$BN$13,"")</f>
        <v>1C-AA</v>
      </c>
      <c r="E78" s="9" t="str">
        <f>IF(AND($BN$13&lt;&gt;"",($BM$13+7)&lt;=$BO$13),TEXT(($BM$13+7),"00"),"")</f>
        <v>07</v>
      </c>
      <c r="F78" s="9" t="str">
        <f>IF(AND($BN$13&lt;&gt;"",($BM$13+7)&lt;=$BO$13),$BN$13&amp;"-"&amp;TEXT(($BM$13+7),"00"),"")</f>
        <v>1C-AA-07</v>
      </c>
      <c r="H78" s="6"/>
      <c r="I78" s="9" t="str">
        <f>IF(CB78="","",CB78&amp;"-"&amp;TEXT(COUNTIF($CA$72:$CA$95,CB78)+COUNTIF($CB$72:CB78,CB78),"000"))</f>
        <v/>
      </c>
      <c r="J78" s="9" t="str">
        <f>IF(AND($BN$14&lt;&gt;"",($BM$14+7)&lt;=$BO$14),$BN$14,"")</f>
        <v/>
      </c>
      <c r="K78" s="9" t="str">
        <f>IF(AND($BN$14&lt;&gt;"",($BM$14+7)&lt;=$BO$14),TEXT(($BM$14+7),"00"),"")</f>
        <v/>
      </c>
      <c r="L78" s="9" t="str">
        <f>IF(AND($BN$14&lt;&gt;"",($BM$14+7)&lt;=$BO$14),$BN$14&amp;"-"&amp;TEXT(($BM$14+7),"00"),"")</f>
        <v/>
      </c>
      <c r="N78" s="6"/>
      <c r="O78" s="9" t="str">
        <f>IF(CC78="","",CC78&amp;"-"&amp;TEXT(COUNTIF($CA$72:$CA$95,CC78)+COUNTIF($CB$72:$CB$95,CC78)+COUNTIF($CC$72:CC78,CC78),"000"))</f>
        <v/>
      </c>
      <c r="P78" s="9" t="str">
        <f>IF(AND($BN$15&lt;&gt;"",($BM$15+7)&lt;=$BO$15),$BN$15,"")</f>
        <v/>
      </c>
      <c r="Q78" s="9" t="str">
        <f>IF(AND($BN$15&lt;&gt;"",($BM$15+7)&lt;=$BO$15),TEXT(($BM$15+7),"00"),"")</f>
        <v/>
      </c>
      <c r="R78" s="9" t="str">
        <f>IF(AND($BN$15&lt;&gt;"",($BM$15+7)&lt;=$BO$15),$BN$15&amp;"-"&amp;TEXT(($BM$15+7),"00"),"")</f>
        <v/>
      </c>
      <c r="T78" s="6"/>
      <c r="U78" s="9" t="str">
        <f>IF(CD78="","",CD78&amp;"-"&amp;TEXT(COUNTIF($CA$72:$CA$95,CD78)+COUNTIF($CB$72:$CB$95,CD78)+COUNTIF($CC$72:$CC$95,CD78)+COUNTIF($CD$72:CD78,CD78),"000"))</f>
        <v/>
      </c>
      <c r="V78" s="9" t="str">
        <f>IF(AND($BN$16&lt;&gt;"",($BM$16+7)&lt;=$BO$16),$BN$16,"")</f>
        <v/>
      </c>
      <c r="W78" s="9" t="str">
        <f>IF(AND($BN$16&lt;&gt;"",($BM$16+7)&lt;=$BO$16),TEXT(($BM$16+7),"00"),"")</f>
        <v/>
      </c>
      <c r="X78" s="9" t="str">
        <f>IF(AND($BN$16&lt;&gt;"",($BM$16+7)&lt;=$BO$16),$BN$16&amp;"-"&amp;TEXT(($BM$16+7),"00"),"")</f>
        <v/>
      </c>
      <c r="BA78">
        <f>IF(OR(Catalogo!$C78="",Catalogo!$B78="Espacio libre",Catalogo!$B78="Espacio reservado"),0,COUNTIF($C$13:$C$42,Catalogo!$C78)+IF($E$7=Catalogo!$C78,N($K$7),0)+IF($E$8=Catalogo!$C78,N($N$8),0)+IF(Proyecto!$D$12=Catalogo!$C78,$AQ$4,0)+SUMIF($C$49:$C$58,Catalogo!$C78,$K$49:$K$58))</f>
        <v>0</v>
      </c>
      <c r="CA78" t="str" cm="1">
        <f t="array" ref="CA78">IF(NOT(AND($BN$13&lt;&gt;"",($BM$13+7)&lt;=$BO$13)),"",IF(B78&lt;&gt;"",IF(B78="-","",B78),IF(ISNUMBER(SEARCH(":",$BP$13)),IFERROR(_xlfn.LET(_xlpm.s,_xlfn.TEXTSPLIT($BP$13,","),_xlpm.k,FIND(":",_xlpm.s),INDEX(TRIM(LEFT(_xlpm.s,_xlpm.k-1)),_xlfn.XMATCH(($BM$13+7),_xlfn.SCAN(0,--MID(_xlpm.s,_xlpm.k+1,9),_xlfn.LAMBDA(_xlpm.a,_xlpm.v,_xlpm.a+_xlpm.v)),1))),""),IF(($BM$13+7)&lt;=$BQ$13,$BP$13,""))))</f>
        <v>D</v>
      </c>
      <c r="CB78" t="str" cm="1">
        <f t="array" ref="CB78">IF(NOT(AND($BN$14&lt;&gt;"",($BM$14+7)&lt;=$BO$14)),"",IF(H78&lt;&gt;"",IF(H78="-","",H78),IF(ISNUMBER(SEARCH(":",$BP$14)),IFERROR(_xlfn.LET(_xlpm.s,_xlfn.TEXTSPLIT($BP$14,","),_xlpm.k,FIND(":",_xlpm.s),INDEX(TRIM(LEFT(_xlpm.s,_xlpm.k-1)),_xlfn.XMATCH(($BM$14+7),_xlfn.SCAN(0,--MID(_xlpm.s,_xlpm.k+1,9),_xlfn.LAMBDA(_xlpm.a,_xlpm.v,_xlpm.a+_xlpm.v)),1))),""),IF(($BM$14+7)&lt;=$BQ$14,$BP$14,""))))</f>
        <v/>
      </c>
      <c r="CC78" t="str" cm="1">
        <f t="array" ref="CC78">IF(NOT(AND($BN$15&lt;&gt;"",($BM$15+7)&lt;=$BO$15)),"",IF(N78&lt;&gt;"",IF(N78="-","",N78),IF(ISNUMBER(SEARCH(":",$BP$15)),IFERROR(_xlfn.LET(_xlpm.s,_xlfn.TEXTSPLIT($BP$15,","),_xlpm.k,FIND(":",_xlpm.s),INDEX(TRIM(LEFT(_xlpm.s,_xlpm.k-1)),_xlfn.XMATCH(($BM$15+7),_xlfn.SCAN(0,--MID(_xlpm.s,_xlpm.k+1,9),_xlfn.LAMBDA(_xlpm.a,_xlpm.v,_xlpm.a+_xlpm.v)),1))),""),IF(($BM$15+7)&lt;=$BQ$15,$BP$15,""))))</f>
        <v/>
      </c>
      <c r="CD78" t="str" cm="1">
        <f t="array" ref="CD78">IF(NOT(AND($BN$16&lt;&gt;"",($BM$16+7)&lt;=$BO$16)),"",IF(T78&lt;&gt;"",IF(T78="-","",T78),IF(ISNUMBER(SEARCH(":",$BP$16)),IFERROR(_xlfn.LET(_xlpm.s,_xlfn.TEXTSPLIT($BP$16,","),_xlpm.k,FIND(":",_xlpm.s),INDEX(TRIM(LEFT(_xlpm.s,_xlpm.k-1)),_xlfn.XMATCH(($BM$16+7),_xlfn.SCAN(0,--MID(_xlpm.s,_xlpm.k+1,9),_xlfn.LAMBDA(_xlpm.a,_xlpm.v,_xlpm.a+_xlpm.v)),1))),""),IF(($BM$16+7)&lt;=$BQ$16,$BP$16,""))))</f>
        <v/>
      </c>
    </row>
    <row r="79" spans="2:82" hidden="1" x14ac:dyDescent="0.45">
      <c r="B79" s="6"/>
      <c r="C79" s="9" t="str">
        <f>IF(CA79="","",CA79&amp;"-"&amp;TEXT(0+COUNTIF($CA$72:CA79,CA79),"000"))</f>
        <v>D-008</v>
      </c>
      <c r="D79" s="9" t="str">
        <f>IF(AND($BN$13&lt;&gt;"",($BM$13+8)&lt;=$BO$13),$BN$13,"")</f>
        <v>1C-AA</v>
      </c>
      <c r="E79" s="9" t="str">
        <f>IF(AND($BN$13&lt;&gt;"",($BM$13+8)&lt;=$BO$13),TEXT(($BM$13+8),"00"),"")</f>
        <v>08</v>
      </c>
      <c r="F79" s="9" t="str">
        <f>IF(AND($BN$13&lt;&gt;"",($BM$13+8)&lt;=$BO$13),$BN$13&amp;"-"&amp;TEXT(($BM$13+8),"00"),"")</f>
        <v>1C-AA-08</v>
      </c>
      <c r="H79" s="6"/>
      <c r="I79" s="9" t="str">
        <f>IF(CB79="","",CB79&amp;"-"&amp;TEXT(COUNTIF($CA$72:$CA$95,CB79)+COUNTIF($CB$72:CB79,CB79),"000"))</f>
        <v/>
      </c>
      <c r="J79" s="9" t="str">
        <f>IF(AND($BN$14&lt;&gt;"",($BM$14+8)&lt;=$BO$14),$BN$14,"")</f>
        <v/>
      </c>
      <c r="K79" s="9" t="str">
        <f>IF(AND($BN$14&lt;&gt;"",($BM$14+8)&lt;=$BO$14),TEXT(($BM$14+8),"00"),"")</f>
        <v/>
      </c>
      <c r="L79" s="9" t="str">
        <f>IF(AND($BN$14&lt;&gt;"",($BM$14+8)&lt;=$BO$14),$BN$14&amp;"-"&amp;TEXT(($BM$14+8),"00"),"")</f>
        <v/>
      </c>
      <c r="N79" s="6"/>
      <c r="O79" s="9" t="str">
        <f>IF(CC79="","",CC79&amp;"-"&amp;TEXT(COUNTIF($CA$72:$CA$95,CC79)+COUNTIF($CB$72:$CB$95,CC79)+COUNTIF($CC$72:CC79,CC79),"000"))</f>
        <v/>
      </c>
      <c r="P79" s="9" t="str">
        <f>IF(AND($BN$15&lt;&gt;"",($BM$15+8)&lt;=$BO$15),$BN$15,"")</f>
        <v/>
      </c>
      <c r="Q79" s="9" t="str">
        <f>IF(AND($BN$15&lt;&gt;"",($BM$15+8)&lt;=$BO$15),TEXT(($BM$15+8),"00"),"")</f>
        <v/>
      </c>
      <c r="R79" s="9" t="str">
        <f>IF(AND($BN$15&lt;&gt;"",($BM$15+8)&lt;=$BO$15),$BN$15&amp;"-"&amp;TEXT(($BM$15+8),"00"),"")</f>
        <v/>
      </c>
      <c r="T79" s="6"/>
      <c r="U79" s="9" t="str">
        <f>IF(CD79="","",CD79&amp;"-"&amp;TEXT(COUNTIF($CA$72:$CA$95,CD79)+COUNTIF($CB$72:$CB$95,CD79)+COUNTIF($CC$72:$CC$95,CD79)+COUNTIF($CD$72:CD79,CD79),"000"))</f>
        <v/>
      </c>
      <c r="V79" s="9" t="str">
        <f>IF(AND($BN$16&lt;&gt;"",($BM$16+8)&lt;=$BO$16),$BN$16,"")</f>
        <v/>
      </c>
      <c r="W79" s="9" t="str">
        <f>IF(AND($BN$16&lt;&gt;"",($BM$16+8)&lt;=$BO$16),TEXT(($BM$16+8),"00"),"")</f>
        <v/>
      </c>
      <c r="X79" s="9" t="str">
        <f>IF(AND($BN$16&lt;&gt;"",($BM$16+8)&lt;=$BO$16),$BN$16&amp;"-"&amp;TEXT(($BM$16+8),"00"),"")</f>
        <v/>
      </c>
      <c r="BA79">
        <f>IF(OR(Catalogo!$C79="",Catalogo!$B79="Espacio libre",Catalogo!$B79="Espacio reservado"),0,COUNTIF($C$13:$C$42,Catalogo!$C79)+IF($E$7=Catalogo!$C79,N($K$7),0)+IF($E$8=Catalogo!$C79,N($N$8),0)+IF(Proyecto!$D$12=Catalogo!$C79,$AQ$4,0)+SUMIF($C$49:$C$58,Catalogo!$C79,$K$49:$K$58))</f>
        <v>0</v>
      </c>
      <c r="CA79" t="str" cm="1">
        <f t="array" ref="CA79">IF(NOT(AND($BN$13&lt;&gt;"",($BM$13+8)&lt;=$BO$13)),"",IF(B79&lt;&gt;"",IF(B79="-","",B79),IF(ISNUMBER(SEARCH(":",$BP$13)),IFERROR(_xlfn.LET(_xlpm.s,_xlfn.TEXTSPLIT($BP$13,","),_xlpm.k,FIND(":",_xlpm.s),INDEX(TRIM(LEFT(_xlpm.s,_xlpm.k-1)),_xlfn.XMATCH(($BM$13+8),_xlfn.SCAN(0,--MID(_xlpm.s,_xlpm.k+1,9),_xlfn.LAMBDA(_xlpm.a,_xlpm.v,_xlpm.a+_xlpm.v)),1))),""),IF(($BM$13+8)&lt;=$BQ$13,$BP$13,""))))</f>
        <v>D</v>
      </c>
      <c r="CB79" t="str" cm="1">
        <f t="array" ref="CB79">IF(NOT(AND($BN$14&lt;&gt;"",($BM$14+8)&lt;=$BO$14)),"",IF(H79&lt;&gt;"",IF(H79="-","",H79),IF(ISNUMBER(SEARCH(":",$BP$14)),IFERROR(_xlfn.LET(_xlpm.s,_xlfn.TEXTSPLIT($BP$14,","),_xlpm.k,FIND(":",_xlpm.s),INDEX(TRIM(LEFT(_xlpm.s,_xlpm.k-1)),_xlfn.XMATCH(($BM$14+8),_xlfn.SCAN(0,--MID(_xlpm.s,_xlpm.k+1,9),_xlfn.LAMBDA(_xlpm.a,_xlpm.v,_xlpm.a+_xlpm.v)),1))),""),IF(($BM$14+8)&lt;=$BQ$14,$BP$14,""))))</f>
        <v/>
      </c>
      <c r="CC79" t="str" cm="1">
        <f t="array" ref="CC79">IF(NOT(AND($BN$15&lt;&gt;"",($BM$15+8)&lt;=$BO$15)),"",IF(N79&lt;&gt;"",IF(N79="-","",N79),IF(ISNUMBER(SEARCH(":",$BP$15)),IFERROR(_xlfn.LET(_xlpm.s,_xlfn.TEXTSPLIT($BP$15,","),_xlpm.k,FIND(":",_xlpm.s),INDEX(TRIM(LEFT(_xlpm.s,_xlpm.k-1)),_xlfn.XMATCH(($BM$15+8),_xlfn.SCAN(0,--MID(_xlpm.s,_xlpm.k+1,9),_xlfn.LAMBDA(_xlpm.a,_xlpm.v,_xlpm.a+_xlpm.v)),1))),""),IF(($BM$15+8)&lt;=$BQ$15,$BP$15,""))))</f>
        <v/>
      </c>
      <c r="CD79" t="str" cm="1">
        <f t="array" ref="CD79">IF(NOT(AND($BN$16&lt;&gt;"",($BM$16+8)&lt;=$BO$16)),"",IF(T79&lt;&gt;"",IF(T79="-","",T79),IF(ISNUMBER(SEARCH(":",$BP$16)),IFERROR(_xlfn.LET(_xlpm.s,_xlfn.TEXTSPLIT($BP$16,","),_xlpm.k,FIND(":",_xlpm.s),INDEX(TRIM(LEFT(_xlpm.s,_xlpm.k-1)),_xlfn.XMATCH(($BM$16+8),_xlfn.SCAN(0,--MID(_xlpm.s,_xlpm.k+1,9),_xlfn.LAMBDA(_xlpm.a,_xlpm.v,_xlpm.a+_xlpm.v)),1))),""),IF(($BM$16+8)&lt;=$BQ$16,$BP$16,""))))</f>
        <v/>
      </c>
    </row>
    <row r="80" spans="2:82" hidden="1" x14ac:dyDescent="0.45">
      <c r="B80" s="6"/>
      <c r="C80" s="9" t="str">
        <f>IF(CA80="","",CA80&amp;"-"&amp;TEXT(0+COUNTIF($CA$72:CA80,CA80),"000"))</f>
        <v>D-009</v>
      </c>
      <c r="D80" s="9" t="str">
        <f>IF(AND($BN$13&lt;&gt;"",($BM$13+9)&lt;=$BO$13),$BN$13,"")</f>
        <v>1C-AA</v>
      </c>
      <c r="E80" s="9" t="str">
        <f>IF(AND($BN$13&lt;&gt;"",($BM$13+9)&lt;=$BO$13),TEXT(($BM$13+9),"00"),"")</f>
        <v>09</v>
      </c>
      <c r="F80" s="9" t="str">
        <f>IF(AND($BN$13&lt;&gt;"",($BM$13+9)&lt;=$BO$13),$BN$13&amp;"-"&amp;TEXT(($BM$13+9),"00"),"")</f>
        <v>1C-AA-09</v>
      </c>
      <c r="H80" s="6"/>
      <c r="I80" s="9" t="str">
        <f>IF(CB80="","",CB80&amp;"-"&amp;TEXT(COUNTIF($CA$72:$CA$95,CB80)+COUNTIF($CB$72:CB80,CB80),"000"))</f>
        <v/>
      </c>
      <c r="J80" s="9" t="str">
        <f>IF(AND($BN$14&lt;&gt;"",($BM$14+9)&lt;=$BO$14),$BN$14,"")</f>
        <v/>
      </c>
      <c r="K80" s="9" t="str">
        <f>IF(AND($BN$14&lt;&gt;"",($BM$14+9)&lt;=$BO$14),TEXT(($BM$14+9),"00"),"")</f>
        <v/>
      </c>
      <c r="L80" s="9" t="str">
        <f>IF(AND($BN$14&lt;&gt;"",($BM$14+9)&lt;=$BO$14),$BN$14&amp;"-"&amp;TEXT(($BM$14+9),"00"),"")</f>
        <v/>
      </c>
      <c r="N80" s="6"/>
      <c r="O80" s="9" t="str">
        <f>IF(CC80="","",CC80&amp;"-"&amp;TEXT(COUNTIF($CA$72:$CA$95,CC80)+COUNTIF($CB$72:$CB$95,CC80)+COUNTIF($CC$72:CC80,CC80),"000"))</f>
        <v/>
      </c>
      <c r="P80" s="9" t="str">
        <f>IF(AND($BN$15&lt;&gt;"",($BM$15+9)&lt;=$BO$15),$BN$15,"")</f>
        <v/>
      </c>
      <c r="Q80" s="9" t="str">
        <f>IF(AND($BN$15&lt;&gt;"",($BM$15+9)&lt;=$BO$15),TEXT(($BM$15+9),"00"),"")</f>
        <v/>
      </c>
      <c r="R80" s="9" t="str">
        <f>IF(AND($BN$15&lt;&gt;"",($BM$15+9)&lt;=$BO$15),$BN$15&amp;"-"&amp;TEXT(($BM$15+9),"00"),"")</f>
        <v/>
      </c>
      <c r="T80" s="6"/>
      <c r="U80" s="9" t="str">
        <f>IF(CD80="","",CD80&amp;"-"&amp;TEXT(COUNTIF($CA$72:$CA$95,CD80)+COUNTIF($CB$72:$CB$95,CD80)+COUNTIF($CC$72:$CC$95,CD80)+COUNTIF($CD$72:CD80,CD80),"000"))</f>
        <v/>
      </c>
      <c r="V80" s="9" t="str">
        <f>IF(AND($BN$16&lt;&gt;"",($BM$16+9)&lt;=$BO$16),$BN$16,"")</f>
        <v/>
      </c>
      <c r="W80" s="9" t="str">
        <f>IF(AND($BN$16&lt;&gt;"",($BM$16+9)&lt;=$BO$16),TEXT(($BM$16+9),"00"),"")</f>
        <v/>
      </c>
      <c r="X80" s="9" t="str">
        <f>IF(AND($BN$16&lt;&gt;"",($BM$16+9)&lt;=$BO$16),$BN$16&amp;"-"&amp;TEXT(($BM$16+9),"00"),"")</f>
        <v/>
      </c>
      <c r="BA80">
        <f>IF(OR(Catalogo!$C80="",Catalogo!$B80="Espacio libre",Catalogo!$B80="Espacio reservado"),0,COUNTIF($C$13:$C$42,Catalogo!$C80)+IF($E$7=Catalogo!$C80,N($K$7),0)+IF($E$8=Catalogo!$C80,N($N$8),0)+IF(Proyecto!$D$12=Catalogo!$C80,$AQ$4,0)+SUMIF($C$49:$C$58,Catalogo!$C80,$K$49:$K$58))</f>
        <v>0</v>
      </c>
      <c r="CA80" t="str" cm="1">
        <f t="array" ref="CA80">IF(NOT(AND($BN$13&lt;&gt;"",($BM$13+9)&lt;=$BO$13)),"",IF(B80&lt;&gt;"",IF(B80="-","",B80),IF(ISNUMBER(SEARCH(":",$BP$13)),IFERROR(_xlfn.LET(_xlpm.s,_xlfn.TEXTSPLIT($BP$13,","),_xlpm.k,FIND(":",_xlpm.s),INDEX(TRIM(LEFT(_xlpm.s,_xlpm.k-1)),_xlfn.XMATCH(($BM$13+9),_xlfn.SCAN(0,--MID(_xlpm.s,_xlpm.k+1,9),_xlfn.LAMBDA(_xlpm.a,_xlpm.v,_xlpm.a+_xlpm.v)),1))),""),IF(($BM$13+9)&lt;=$BQ$13,$BP$13,""))))</f>
        <v>D</v>
      </c>
      <c r="CB80" t="str" cm="1">
        <f t="array" ref="CB80">IF(NOT(AND($BN$14&lt;&gt;"",($BM$14+9)&lt;=$BO$14)),"",IF(H80&lt;&gt;"",IF(H80="-","",H80),IF(ISNUMBER(SEARCH(":",$BP$14)),IFERROR(_xlfn.LET(_xlpm.s,_xlfn.TEXTSPLIT($BP$14,","),_xlpm.k,FIND(":",_xlpm.s),INDEX(TRIM(LEFT(_xlpm.s,_xlpm.k-1)),_xlfn.XMATCH(($BM$14+9),_xlfn.SCAN(0,--MID(_xlpm.s,_xlpm.k+1,9),_xlfn.LAMBDA(_xlpm.a,_xlpm.v,_xlpm.a+_xlpm.v)),1))),""),IF(($BM$14+9)&lt;=$BQ$14,$BP$14,""))))</f>
        <v/>
      </c>
      <c r="CC80" t="str" cm="1">
        <f t="array" ref="CC80">IF(NOT(AND($BN$15&lt;&gt;"",($BM$15+9)&lt;=$BO$15)),"",IF(N80&lt;&gt;"",IF(N80="-","",N80),IF(ISNUMBER(SEARCH(":",$BP$15)),IFERROR(_xlfn.LET(_xlpm.s,_xlfn.TEXTSPLIT($BP$15,","),_xlpm.k,FIND(":",_xlpm.s),INDEX(TRIM(LEFT(_xlpm.s,_xlpm.k-1)),_xlfn.XMATCH(($BM$15+9),_xlfn.SCAN(0,--MID(_xlpm.s,_xlpm.k+1,9),_xlfn.LAMBDA(_xlpm.a,_xlpm.v,_xlpm.a+_xlpm.v)),1))),""),IF(($BM$15+9)&lt;=$BQ$15,$BP$15,""))))</f>
        <v/>
      </c>
      <c r="CD80" t="str" cm="1">
        <f t="array" ref="CD80">IF(NOT(AND($BN$16&lt;&gt;"",($BM$16+9)&lt;=$BO$16)),"",IF(T80&lt;&gt;"",IF(T80="-","",T80),IF(ISNUMBER(SEARCH(":",$BP$16)),IFERROR(_xlfn.LET(_xlpm.s,_xlfn.TEXTSPLIT($BP$16,","),_xlpm.k,FIND(":",_xlpm.s),INDEX(TRIM(LEFT(_xlpm.s,_xlpm.k-1)),_xlfn.XMATCH(($BM$16+9),_xlfn.SCAN(0,--MID(_xlpm.s,_xlpm.k+1,9),_xlfn.LAMBDA(_xlpm.a,_xlpm.v,_xlpm.a+_xlpm.v)),1))),""),IF(($BM$16+9)&lt;=$BQ$16,$BP$16,""))))</f>
        <v/>
      </c>
    </row>
    <row r="81" spans="2:82" hidden="1" x14ac:dyDescent="0.45">
      <c r="B81" s="6"/>
      <c r="C81" s="9" t="str">
        <f>IF(CA81="","",CA81&amp;"-"&amp;TEXT(0+COUNTIF($CA$72:CA81,CA81),"000"))</f>
        <v>D-010</v>
      </c>
      <c r="D81" s="9" t="str">
        <f>IF(AND($BN$13&lt;&gt;"",($BM$13+10)&lt;=$BO$13),$BN$13,"")</f>
        <v>1C-AA</v>
      </c>
      <c r="E81" s="9" t="str">
        <f>IF(AND($BN$13&lt;&gt;"",($BM$13+10)&lt;=$BO$13),TEXT(($BM$13+10),"00"),"")</f>
        <v>10</v>
      </c>
      <c r="F81" s="9" t="str">
        <f>IF(AND($BN$13&lt;&gt;"",($BM$13+10)&lt;=$BO$13),$BN$13&amp;"-"&amp;TEXT(($BM$13+10),"00"),"")</f>
        <v>1C-AA-10</v>
      </c>
      <c r="H81" s="6"/>
      <c r="I81" s="9" t="str">
        <f>IF(CB81="","",CB81&amp;"-"&amp;TEXT(COUNTIF($CA$72:$CA$95,CB81)+COUNTIF($CB$72:CB81,CB81),"000"))</f>
        <v/>
      </c>
      <c r="J81" s="9" t="str">
        <f>IF(AND($BN$14&lt;&gt;"",($BM$14+10)&lt;=$BO$14),$BN$14,"")</f>
        <v/>
      </c>
      <c r="K81" s="9" t="str">
        <f>IF(AND($BN$14&lt;&gt;"",($BM$14+10)&lt;=$BO$14),TEXT(($BM$14+10),"00"),"")</f>
        <v/>
      </c>
      <c r="L81" s="9" t="str">
        <f>IF(AND($BN$14&lt;&gt;"",($BM$14+10)&lt;=$BO$14),$BN$14&amp;"-"&amp;TEXT(($BM$14+10),"00"),"")</f>
        <v/>
      </c>
      <c r="N81" s="6"/>
      <c r="O81" s="9" t="str">
        <f>IF(CC81="","",CC81&amp;"-"&amp;TEXT(COUNTIF($CA$72:$CA$95,CC81)+COUNTIF($CB$72:$CB$95,CC81)+COUNTIF($CC$72:CC81,CC81),"000"))</f>
        <v/>
      </c>
      <c r="P81" s="9" t="str">
        <f>IF(AND($BN$15&lt;&gt;"",($BM$15+10)&lt;=$BO$15),$BN$15,"")</f>
        <v/>
      </c>
      <c r="Q81" s="9" t="str">
        <f>IF(AND($BN$15&lt;&gt;"",($BM$15+10)&lt;=$BO$15),TEXT(($BM$15+10),"00"),"")</f>
        <v/>
      </c>
      <c r="R81" s="9" t="str">
        <f>IF(AND($BN$15&lt;&gt;"",($BM$15+10)&lt;=$BO$15),$BN$15&amp;"-"&amp;TEXT(($BM$15+10),"00"),"")</f>
        <v/>
      </c>
      <c r="T81" s="6"/>
      <c r="U81" s="9" t="str">
        <f>IF(CD81="","",CD81&amp;"-"&amp;TEXT(COUNTIF($CA$72:$CA$95,CD81)+COUNTIF($CB$72:$CB$95,CD81)+COUNTIF($CC$72:$CC$95,CD81)+COUNTIF($CD$72:CD81,CD81),"000"))</f>
        <v/>
      </c>
      <c r="V81" s="9" t="str">
        <f>IF(AND($BN$16&lt;&gt;"",($BM$16+10)&lt;=$BO$16),$BN$16,"")</f>
        <v/>
      </c>
      <c r="W81" s="9" t="str">
        <f>IF(AND($BN$16&lt;&gt;"",($BM$16+10)&lt;=$BO$16),TEXT(($BM$16+10),"00"),"")</f>
        <v/>
      </c>
      <c r="X81" s="9" t="str">
        <f>IF(AND($BN$16&lt;&gt;"",($BM$16+10)&lt;=$BO$16),$BN$16&amp;"-"&amp;TEXT(($BM$16+10),"00"),"")</f>
        <v/>
      </c>
      <c r="BA81">
        <f>IF(OR(Catalogo!$C81="",Catalogo!$B81="Espacio libre",Catalogo!$B81="Espacio reservado"),0,COUNTIF($C$13:$C$42,Catalogo!$C81)+IF($E$7=Catalogo!$C81,N($K$7),0)+IF($E$8=Catalogo!$C81,N($N$8),0)+IF(Proyecto!$D$12=Catalogo!$C81,$AQ$4,0)+SUMIF($C$49:$C$58,Catalogo!$C81,$K$49:$K$58))</f>
        <v>0</v>
      </c>
      <c r="CA81" t="str" cm="1">
        <f t="array" ref="CA81">IF(NOT(AND($BN$13&lt;&gt;"",($BM$13+10)&lt;=$BO$13)),"",IF(B81&lt;&gt;"",IF(B81="-","",B81),IF(ISNUMBER(SEARCH(":",$BP$13)),IFERROR(_xlfn.LET(_xlpm.s,_xlfn.TEXTSPLIT($BP$13,","),_xlpm.k,FIND(":",_xlpm.s),INDEX(TRIM(LEFT(_xlpm.s,_xlpm.k-1)),_xlfn.XMATCH(($BM$13+10),_xlfn.SCAN(0,--MID(_xlpm.s,_xlpm.k+1,9),_xlfn.LAMBDA(_xlpm.a,_xlpm.v,_xlpm.a+_xlpm.v)),1))),""),IF(($BM$13+10)&lt;=$BQ$13,$BP$13,""))))</f>
        <v>D</v>
      </c>
      <c r="CB81" t="str" cm="1">
        <f t="array" ref="CB81">IF(NOT(AND($BN$14&lt;&gt;"",($BM$14+10)&lt;=$BO$14)),"",IF(H81&lt;&gt;"",IF(H81="-","",H81),IF(ISNUMBER(SEARCH(":",$BP$14)),IFERROR(_xlfn.LET(_xlpm.s,_xlfn.TEXTSPLIT($BP$14,","),_xlpm.k,FIND(":",_xlpm.s),INDEX(TRIM(LEFT(_xlpm.s,_xlpm.k-1)),_xlfn.XMATCH(($BM$14+10),_xlfn.SCAN(0,--MID(_xlpm.s,_xlpm.k+1,9),_xlfn.LAMBDA(_xlpm.a,_xlpm.v,_xlpm.a+_xlpm.v)),1))),""),IF(($BM$14+10)&lt;=$BQ$14,$BP$14,""))))</f>
        <v/>
      </c>
      <c r="CC81" t="str" cm="1">
        <f t="array" ref="CC81">IF(NOT(AND($BN$15&lt;&gt;"",($BM$15+10)&lt;=$BO$15)),"",IF(N81&lt;&gt;"",IF(N81="-","",N81),IF(ISNUMBER(SEARCH(":",$BP$15)),IFERROR(_xlfn.LET(_xlpm.s,_xlfn.TEXTSPLIT($BP$15,","),_xlpm.k,FIND(":",_xlpm.s),INDEX(TRIM(LEFT(_xlpm.s,_xlpm.k-1)),_xlfn.XMATCH(($BM$15+10),_xlfn.SCAN(0,--MID(_xlpm.s,_xlpm.k+1,9),_xlfn.LAMBDA(_xlpm.a,_xlpm.v,_xlpm.a+_xlpm.v)),1))),""),IF(($BM$15+10)&lt;=$BQ$15,$BP$15,""))))</f>
        <v/>
      </c>
      <c r="CD81" t="str" cm="1">
        <f t="array" ref="CD81">IF(NOT(AND($BN$16&lt;&gt;"",($BM$16+10)&lt;=$BO$16)),"",IF(T81&lt;&gt;"",IF(T81="-","",T81),IF(ISNUMBER(SEARCH(":",$BP$16)),IFERROR(_xlfn.LET(_xlpm.s,_xlfn.TEXTSPLIT($BP$16,","),_xlpm.k,FIND(":",_xlpm.s),INDEX(TRIM(LEFT(_xlpm.s,_xlpm.k-1)),_xlfn.XMATCH(($BM$16+10),_xlfn.SCAN(0,--MID(_xlpm.s,_xlpm.k+1,9),_xlfn.LAMBDA(_xlpm.a,_xlpm.v,_xlpm.a+_xlpm.v)),1))),""),IF(($BM$16+10)&lt;=$BQ$16,$BP$16,""))))</f>
        <v/>
      </c>
    </row>
    <row r="82" spans="2:82" hidden="1" x14ac:dyDescent="0.45">
      <c r="B82" s="6"/>
      <c r="C82" s="9" t="str">
        <f>IF(CA82="","",CA82&amp;"-"&amp;TEXT(0+COUNTIF($CA$72:CA82,CA82),"000"))</f>
        <v>D-011</v>
      </c>
      <c r="D82" s="9" t="str">
        <f>IF(AND($BN$13&lt;&gt;"",($BM$13+11)&lt;=$BO$13),$BN$13,"")</f>
        <v>1C-AA</v>
      </c>
      <c r="E82" s="9" t="str">
        <f>IF(AND($BN$13&lt;&gt;"",($BM$13+11)&lt;=$BO$13),TEXT(($BM$13+11),"00"),"")</f>
        <v>11</v>
      </c>
      <c r="F82" s="9" t="str">
        <f>IF(AND($BN$13&lt;&gt;"",($BM$13+11)&lt;=$BO$13),$BN$13&amp;"-"&amp;TEXT(($BM$13+11),"00"),"")</f>
        <v>1C-AA-11</v>
      </c>
      <c r="H82" s="6"/>
      <c r="I82" s="9" t="str">
        <f>IF(CB82="","",CB82&amp;"-"&amp;TEXT(COUNTIF($CA$72:$CA$95,CB82)+COUNTIF($CB$72:CB82,CB82),"000"))</f>
        <v/>
      </c>
      <c r="J82" s="9" t="str">
        <f>IF(AND($BN$14&lt;&gt;"",($BM$14+11)&lt;=$BO$14),$BN$14,"")</f>
        <v/>
      </c>
      <c r="K82" s="9" t="str">
        <f>IF(AND($BN$14&lt;&gt;"",($BM$14+11)&lt;=$BO$14),TEXT(($BM$14+11),"00"),"")</f>
        <v/>
      </c>
      <c r="L82" s="9" t="str">
        <f>IF(AND($BN$14&lt;&gt;"",($BM$14+11)&lt;=$BO$14),$BN$14&amp;"-"&amp;TEXT(($BM$14+11),"00"),"")</f>
        <v/>
      </c>
      <c r="N82" s="6"/>
      <c r="O82" s="9" t="str">
        <f>IF(CC82="","",CC82&amp;"-"&amp;TEXT(COUNTIF($CA$72:$CA$95,CC82)+COUNTIF($CB$72:$CB$95,CC82)+COUNTIF($CC$72:CC82,CC82),"000"))</f>
        <v/>
      </c>
      <c r="P82" s="9" t="str">
        <f>IF(AND($BN$15&lt;&gt;"",($BM$15+11)&lt;=$BO$15),$BN$15,"")</f>
        <v/>
      </c>
      <c r="Q82" s="9" t="str">
        <f>IF(AND($BN$15&lt;&gt;"",($BM$15+11)&lt;=$BO$15),TEXT(($BM$15+11),"00"),"")</f>
        <v/>
      </c>
      <c r="R82" s="9" t="str">
        <f>IF(AND($BN$15&lt;&gt;"",($BM$15+11)&lt;=$BO$15),$BN$15&amp;"-"&amp;TEXT(($BM$15+11),"00"),"")</f>
        <v/>
      </c>
      <c r="T82" s="6"/>
      <c r="U82" s="9" t="str">
        <f>IF(CD82="","",CD82&amp;"-"&amp;TEXT(COUNTIF($CA$72:$CA$95,CD82)+COUNTIF($CB$72:$CB$95,CD82)+COUNTIF($CC$72:$CC$95,CD82)+COUNTIF($CD$72:CD82,CD82),"000"))</f>
        <v/>
      </c>
      <c r="V82" s="9" t="str">
        <f>IF(AND($BN$16&lt;&gt;"",($BM$16+11)&lt;=$BO$16),$BN$16,"")</f>
        <v/>
      </c>
      <c r="W82" s="9" t="str">
        <f>IF(AND($BN$16&lt;&gt;"",($BM$16+11)&lt;=$BO$16),TEXT(($BM$16+11),"00"),"")</f>
        <v/>
      </c>
      <c r="X82" s="9" t="str">
        <f>IF(AND($BN$16&lt;&gt;"",($BM$16+11)&lt;=$BO$16),$BN$16&amp;"-"&amp;TEXT(($BM$16+11),"00"),"")</f>
        <v/>
      </c>
      <c r="BA82">
        <f>IF(OR(Catalogo!$C82="",Catalogo!$B82="Espacio libre",Catalogo!$B82="Espacio reservado"),0,COUNTIF($C$13:$C$42,Catalogo!$C82)+IF($E$7=Catalogo!$C82,N($K$7),0)+IF($E$8=Catalogo!$C82,N($N$8),0)+IF(Proyecto!$D$12=Catalogo!$C82,$AQ$4,0)+SUMIF($C$49:$C$58,Catalogo!$C82,$K$49:$K$58))</f>
        <v>0</v>
      </c>
      <c r="CA82" t="str" cm="1">
        <f t="array" ref="CA82">IF(NOT(AND($BN$13&lt;&gt;"",($BM$13+11)&lt;=$BO$13)),"",IF(B82&lt;&gt;"",IF(B82="-","",B82),IF(ISNUMBER(SEARCH(":",$BP$13)),IFERROR(_xlfn.LET(_xlpm.s,_xlfn.TEXTSPLIT($BP$13,","),_xlpm.k,FIND(":",_xlpm.s),INDEX(TRIM(LEFT(_xlpm.s,_xlpm.k-1)),_xlfn.XMATCH(($BM$13+11),_xlfn.SCAN(0,--MID(_xlpm.s,_xlpm.k+1,9),_xlfn.LAMBDA(_xlpm.a,_xlpm.v,_xlpm.a+_xlpm.v)),1))),""),IF(($BM$13+11)&lt;=$BQ$13,$BP$13,""))))</f>
        <v>D</v>
      </c>
      <c r="CB82" t="str" cm="1">
        <f t="array" ref="CB82">IF(NOT(AND($BN$14&lt;&gt;"",($BM$14+11)&lt;=$BO$14)),"",IF(H82&lt;&gt;"",IF(H82="-","",H82),IF(ISNUMBER(SEARCH(":",$BP$14)),IFERROR(_xlfn.LET(_xlpm.s,_xlfn.TEXTSPLIT($BP$14,","),_xlpm.k,FIND(":",_xlpm.s),INDEX(TRIM(LEFT(_xlpm.s,_xlpm.k-1)),_xlfn.XMATCH(($BM$14+11),_xlfn.SCAN(0,--MID(_xlpm.s,_xlpm.k+1,9),_xlfn.LAMBDA(_xlpm.a,_xlpm.v,_xlpm.a+_xlpm.v)),1))),""),IF(($BM$14+11)&lt;=$BQ$14,$BP$14,""))))</f>
        <v/>
      </c>
      <c r="CC82" t="str" cm="1">
        <f t="array" ref="CC82">IF(NOT(AND($BN$15&lt;&gt;"",($BM$15+11)&lt;=$BO$15)),"",IF(N82&lt;&gt;"",IF(N82="-","",N82),IF(ISNUMBER(SEARCH(":",$BP$15)),IFERROR(_xlfn.LET(_xlpm.s,_xlfn.TEXTSPLIT($BP$15,","),_xlpm.k,FIND(":",_xlpm.s),INDEX(TRIM(LEFT(_xlpm.s,_xlpm.k-1)),_xlfn.XMATCH(($BM$15+11),_xlfn.SCAN(0,--MID(_xlpm.s,_xlpm.k+1,9),_xlfn.LAMBDA(_xlpm.a,_xlpm.v,_xlpm.a+_xlpm.v)),1))),""),IF(($BM$15+11)&lt;=$BQ$15,$BP$15,""))))</f>
        <v/>
      </c>
      <c r="CD82" t="str" cm="1">
        <f t="array" ref="CD82">IF(NOT(AND($BN$16&lt;&gt;"",($BM$16+11)&lt;=$BO$16)),"",IF(T82&lt;&gt;"",IF(T82="-","",T82),IF(ISNUMBER(SEARCH(":",$BP$16)),IFERROR(_xlfn.LET(_xlpm.s,_xlfn.TEXTSPLIT($BP$16,","),_xlpm.k,FIND(":",_xlpm.s),INDEX(TRIM(LEFT(_xlpm.s,_xlpm.k-1)),_xlfn.XMATCH(($BM$16+11),_xlfn.SCAN(0,--MID(_xlpm.s,_xlpm.k+1,9),_xlfn.LAMBDA(_xlpm.a,_xlpm.v,_xlpm.a+_xlpm.v)),1))),""),IF(($BM$16+11)&lt;=$BQ$16,$BP$16,""))))</f>
        <v/>
      </c>
    </row>
    <row r="83" spans="2:82" hidden="1" x14ac:dyDescent="0.45">
      <c r="B83" s="6"/>
      <c r="C83" s="9" t="str">
        <f>IF(CA83="","",CA83&amp;"-"&amp;TEXT(0+COUNTIF($CA$72:CA83,CA83),"000"))</f>
        <v>D-012</v>
      </c>
      <c r="D83" s="9" t="str">
        <f>IF(AND($BN$13&lt;&gt;"",($BM$13+12)&lt;=$BO$13),$BN$13,"")</f>
        <v>1C-AA</v>
      </c>
      <c r="E83" s="9" t="str">
        <f>IF(AND($BN$13&lt;&gt;"",($BM$13+12)&lt;=$BO$13),TEXT(($BM$13+12),"00"),"")</f>
        <v>12</v>
      </c>
      <c r="F83" s="9" t="str">
        <f>IF(AND($BN$13&lt;&gt;"",($BM$13+12)&lt;=$BO$13),$BN$13&amp;"-"&amp;TEXT(($BM$13+12),"00"),"")</f>
        <v>1C-AA-12</v>
      </c>
      <c r="H83" s="6"/>
      <c r="I83" s="9" t="str">
        <f>IF(CB83="","",CB83&amp;"-"&amp;TEXT(COUNTIF($CA$72:$CA$95,CB83)+COUNTIF($CB$72:CB83,CB83),"000"))</f>
        <v/>
      </c>
      <c r="J83" s="9" t="str">
        <f>IF(AND($BN$14&lt;&gt;"",($BM$14+12)&lt;=$BO$14),$BN$14,"")</f>
        <v/>
      </c>
      <c r="K83" s="9" t="str">
        <f>IF(AND($BN$14&lt;&gt;"",($BM$14+12)&lt;=$BO$14),TEXT(($BM$14+12),"00"),"")</f>
        <v/>
      </c>
      <c r="L83" s="9" t="str">
        <f>IF(AND($BN$14&lt;&gt;"",($BM$14+12)&lt;=$BO$14),$BN$14&amp;"-"&amp;TEXT(($BM$14+12),"00"),"")</f>
        <v/>
      </c>
      <c r="N83" s="6"/>
      <c r="O83" s="9" t="str">
        <f>IF(CC83="","",CC83&amp;"-"&amp;TEXT(COUNTIF($CA$72:$CA$95,CC83)+COUNTIF($CB$72:$CB$95,CC83)+COUNTIF($CC$72:CC83,CC83),"000"))</f>
        <v/>
      </c>
      <c r="P83" s="9" t="str">
        <f>IF(AND($BN$15&lt;&gt;"",($BM$15+12)&lt;=$BO$15),$BN$15,"")</f>
        <v/>
      </c>
      <c r="Q83" s="9" t="str">
        <f>IF(AND($BN$15&lt;&gt;"",($BM$15+12)&lt;=$BO$15),TEXT(($BM$15+12),"00"),"")</f>
        <v/>
      </c>
      <c r="R83" s="9" t="str">
        <f>IF(AND($BN$15&lt;&gt;"",($BM$15+12)&lt;=$BO$15),$BN$15&amp;"-"&amp;TEXT(($BM$15+12),"00"),"")</f>
        <v/>
      </c>
      <c r="T83" s="6"/>
      <c r="U83" s="9" t="str">
        <f>IF(CD83="","",CD83&amp;"-"&amp;TEXT(COUNTIF($CA$72:$CA$95,CD83)+COUNTIF($CB$72:$CB$95,CD83)+COUNTIF($CC$72:$CC$95,CD83)+COUNTIF($CD$72:CD83,CD83),"000"))</f>
        <v/>
      </c>
      <c r="V83" s="9" t="str">
        <f>IF(AND($BN$16&lt;&gt;"",($BM$16+12)&lt;=$BO$16),$BN$16,"")</f>
        <v/>
      </c>
      <c r="W83" s="9" t="str">
        <f>IF(AND($BN$16&lt;&gt;"",($BM$16+12)&lt;=$BO$16),TEXT(($BM$16+12),"00"),"")</f>
        <v/>
      </c>
      <c r="X83" s="9" t="str">
        <f>IF(AND($BN$16&lt;&gt;"",($BM$16+12)&lt;=$BO$16),$BN$16&amp;"-"&amp;TEXT(($BM$16+12),"00"),"")</f>
        <v/>
      </c>
      <c r="BA83">
        <f>IF(OR(Catalogo!$C83="",Catalogo!$B83="Espacio libre",Catalogo!$B83="Espacio reservado"),0,COUNTIF($C$13:$C$42,Catalogo!$C83)+IF($E$7=Catalogo!$C83,N($K$7),0)+IF($E$8=Catalogo!$C83,N($N$8),0)+IF(Proyecto!$D$12=Catalogo!$C83,$AQ$4,0)+SUMIF($C$49:$C$58,Catalogo!$C83,$K$49:$K$58))</f>
        <v>0</v>
      </c>
      <c r="CA83" t="str" cm="1">
        <f t="array" ref="CA83">IF(NOT(AND($BN$13&lt;&gt;"",($BM$13+12)&lt;=$BO$13)),"",IF(B83&lt;&gt;"",IF(B83="-","",B83),IF(ISNUMBER(SEARCH(":",$BP$13)),IFERROR(_xlfn.LET(_xlpm.s,_xlfn.TEXTSPLIT($BP$13,","),_xlpm.k,FIND(":",_xlpm.s),INDEX(TRIM(LEFT(_xlpm.s,_xlpm.k-1)),_xlfn.XMATCH(($BM$13+12),_xlfn.SCAN(0,--MID(_xlpm.s,_xlpm.k+1,9),_xlfn.LAMBDA(_xlpm.a,_xlpm.v,_xlpm.a+_xlpm.v)),1))),""),IF(($BM$13+12)&lt;=$BQ$13,$BP$13,""))))</f>
        <v>D</v>
      </c>
      <c r="CB83" t="str" cm="1">
        <f t="array" ref="CB83">IF(NOT(AND($BN$14&lt;&gt;"",($BM$14+12)&lt;=$BO$14)),"",IF(H83&lt;&gt;"",IF(H83="-","",H83),IF(ISNUMBER(SEARCH(":",$BP$14)),IFERROR(_xlfn.LET(_xlpm.s,_xlfn.TEXTSPLIT($BP$14,","),_xlpm.k,FIND(":",_xlpm.s),INDEX(TRIM(LEFT(_xlpm.s,_xlpm.k-1)),_xlfn.XMATCH(($BM$14+12),_xlfn.SCAN(0,--MID(_xlpm.s,_xlpm.k+1,9),_xlfn.LAMBDA(_xlpm.a,_xlpm.v,_xlpm.a+_xlpm.v)),1))),""),IF(($BM$14+12)&lt;=$BQ$14,$BP$14,""))))</f>
        <v/>
      </c>
      <c r="CC83" t="str" cm="1">
        <f t="array" ref="CC83">IF(NOT(AND($BN$15&lt;&gt;"",($BM$15+12)&lt;=$BO$15)),"",IF(N83&lt;&gt;"",IF(N83="-","",N83),IF(ISNUMBER(SEARCH(":",$BP$15)),IFERROR(_xlfn.LET(_xlpm.s,_xlfn.TEXTSPLIT($BP$15,","),_xlpm.k,FIND(":",_xlpm.s),INDEX(TRIM(LEFT(_xlpm.s,_xlpm.k-1)),_xlfn.XMATCH(($BM$15+12),_xlfn.SCAN(0,--MID(_xlpm.s,_xlpm.k+1,9),_xlfn.LAMBDA(_xlpm.a,_xlpm.v,_xlpm.a+_xlpm.v)),1))),""),IF(($BM$15+12)&lt;=$BQ$15,$BP$15,""))))</f>
        <v/>
      </c>
      <c r="CD83" t="str" cm="1">
        <f t="array" ref="CD83">IF(NOT(AND($BN$16&lt;&gt;"",($BM$16+12)&lt;=$BO$16)),"",IF(T83&lt;&gt;"",IF(T83="-","",T83),IF(ISNUMBER(SEARCH(":",$BP$16)),IFERROR(_xlfn.LET(_xlpm.s,_xlfn.TEXTSPLIT($BP$16,","),_xlpm.k,FIND(":",_xlpm.s),INDEX(TRIM(LEFT(_xlpm.s,_xlpm.k-1)),_xlfn.XMATCH(($BM$16+12),_xlfn.SCAN(0,--MID(_xlpm.s,_xlpm.k+1,9),_xlfn.LAMBDA(_xlpm.a,_xlpm.v,_xlpm.a+_xlpm.v)),1))),""),IF(($BM$16+12)&lt;=$BQ$16,$BP$16,""))))</f>
        <v/>
      </c>
    </row>
    <row r="84" spans="2:82" hidden="1" x14ac:dyDescent="0.45">
      <c r="B84" s="6"/>
      <c r="C84" s="9" t="str">
        <f>IF(CA84="","",CA84&amp;"-"&amp;TEXT(0+COUNTIF($CA$72:CA84,CA84),"000"))</f>
        <v>D-013</v>
      </c>
      <c r="D84" s="9" t="str">
        <f>IF(AND($BN$13&lt;&gt;"",($BM$13+13)&lt;=$BO$13),$BN$13,"")</f>
        <v>1C-AA</v>
      </c>
      <c r="E84" s="9" t="str">
        <f>IF(AND($BN$13&lt;&gt;"",($BM$13+13)&lt;=$BO$13),TEXT(($BM$13+13),"00"),"")</f>
        <v>13</v>
      </c>
      <c r="F84" s="9" t="str">
        <f>IF(AND($BN$13&lt;&gt;"",($BM$13+13)&lt;=$BO$13),$BN$13&amp;"-"&amp;TEXT(($BM$13+13),"00"),"")</f>
        <v>1C-AA-13</v>
      </c>
      <c r="H84" s="6"/>
      <c r="I84" s="9" t="str">
        <f>IF(CB84="","",CB84&amp;"-"&amp;TEXT(COUNTIF($CA$72:$CA$95,CB84)+COUNTIF($CB$72:CB84,CB84),"000"))</f>
        <v/>
      </c>
      <c r="J84" s="9" t="str">
        <f>IF(AND($BN$14&lt;&gt;"",($BM$14+13)&lt;=$BO$14),$BN$14,"")</f>
        <v/>
      </c>
      <c r="K84" s="9" t="str">
        <f>IF(AND($BN$14&lt;&gt;"",($BM$14+13)&lt;=$BO$14),TEXT(($BM$14+13),"00"),"")</f>
        <v/>
      </c>
      <c r="L84" s="9" t="str">
        <f>IF(AND($BN$14&lt;&gt;"",($BM$14+13)&lt;=$BO$14),$BN$14&amp;"-"&amp;TEXT(($BM$14+13),"00"),"")</f>
        <v/>
      </c>
      <c r="N84" s="6"/>
      <c r="O84" s="9" t="str">
        <f>IF(CC84="","",CC84&amp;"-"&amp;TEXT(COUNTIF($CA$72:$CA$95,CC84)+COUNTIF($CB$72:$CB$95,CC84)+COUNTIF($CC$72:CC84,CC84),"000"))</f>
        <v/>
      </c>
      <c r="P84" s="9" t="str">
        <f>IF(AND($BN$15&lt;&gt;"",($BM$15+13)&lt;=$BO$15),$BN$15,"")</f>
        <v/>
      </c>
      <c r="Q84" s="9" t="str">
        <f>IF(AND($BN$15&lt;&gt;"",($BM$15+13)&lt;=$BO$15),TEXT(($BM$15+13),"00"),"")</f>
        <v/>
      </c>
      <c r="R84" s="9" t="str">
        <f>IF(AND($BN$15&lt;&gt;"",($BM$15+13)&lt;=$BO$15),$BN$15&amp;"-"&amp;TEXT(($BM$15+13),"00"),"")</f>
        <v/>
      </c>
      <c r="T84" s="6"/>
      <c r="U84" s="9" t="str">
        <f>IF(CD84="","",CD84&amp;"-"&amp;TEXT(COUNTIF($CA$72:$CA$95,CD84)+COUNTIF($CB$72:$CB$95,CD84)+COUNTIF($CC$72:$CC$95,CD84)+COUNTIF($CD$72:CD84,CD84),"000"))</f>
        <v/>
      </c>
      <c r="V84" s="9" t="str">
        <f>IF(AND($BN$16&lt;&gt;"",($BM$16+13)&lt;=$BO$16),$BN$16,"")</f>
        <v/>
      </c>
      <c r="W84" s="9" t="str">
        <f>IF(AND($BN$16&lt;&gt;"",($BM$16+13)&lt;=$BO$16),TEXT(($BM$16+13),"00"),"")</f>
        <v/>
      </c>
      <c r="X84" s="9" t="str">
        <f>IF(AND($BN$16&lt;&gt;"",($BM$16+13)&lt;=$BO$16),$BN$16&amp;"-"&amp;TEXT(($BM$16+13),"00"),"")</f>
        <v/>
      </c>
      <c r="BA84">
        <f>IF(OR(Catalogo!$C84="",Catalogo!$B84="Espacio libre",Catalogo!$B84="Espacio reservado"),0,COUNTIF($C$13:$C$42,Catalogo!$C84)+IF($E$7=Catalogo!$C84,N($K$7),0)+IF($E$8=Catalogo!$C84,N($N$8),0)+IF(Proyecto!$D$12=Catalogo!$C84,$AQ$4,0)+SUMIF($C$49:$C$58,Catalogo!$C84,$K$49:$K$58))</f>
        <v>0</v>
      </c>
      <c r="CA84" t="str" cm="1">
        <f t="array" ref="CA84">IF(NOT(AND($BN$13&lt;&gt;"",($BM$13+13)&lt;=$BO$13)),"",IF(B84&lt;&gt;"",IF(B84="-","",B84),IF(ISNUMBER(SEARCH(":",$BP$13)),IFERROR(_xlfn.LET(_xlpm.s,_xlfn.TEXTSPLIT($BP$13,","),_xlpm.k,FIND(":",_xlpm.s),INDEX(TRIM(LEFT(_xlpm.s,_xlpm.k-1)),_xlfn.XMATCH(($BM$13+13),_xlfn.SCAN(0,--MID(_xlpm.s,_xlpm.k+1,9),_xlfn.LAMBDA(_xlpm.a,_xlpm.v,_xlpm.a+_xlpm.v)),1))),""),IF(($BM$13+13)&lt;=$BQ$13,$BP$13,""))))</f>
        <v>D</v>
      </c>
      <c r="CB84" t="str" cm="1">
        <f t="array" ref="CB84">IF(NOT(AND($BN$14&lt;&gt;"",($BM$14+13)&lt;=$BO$14)),"",IF(H84&lt;&gt;"",IF(H84="-","",H84),IF(ISNUMBER(SEARCH(":",$BP$14)),IFERROR(_xlfn.LET(_xlpm.s,_xlfn.TEXTSPLIT($BP$14,","),_xlpm.k,FIND(":",_xlpm.s),INDEX(TRIM(LEFT(_xlpm.s,_xlpm.k-1)),_xlfn.XMATCH(($BM$14+13),_xlfn.SCAN(0,--MID(_xlpm.s,_xlpm.k+1,9),_xlfn.LAMBDA(_xlpm.a,_xlpm.v,_xlpm.a+_xlpm.v)),1))),""),IF(($BM$14+13)&lt;=$BQ$14,$BP$14,""))))</f>
        <v/>
      </c>
      <c r="CC84" t="str" cm="1">
        <f t="array" ref="CC84">IF(NOT(AND($BN$15&lt;&gt;"",($BM$15+13)&lt;=$BO$15)),"",IF(N84&lt;&gt;"",IF(N84="-","",N84),IF(ISNUMBER(SEARCH(":",$BP$15)),IFERROR(_xlfn.LET(_xlpm.s,_xlfn.TEXTSPLIT($BP$15,","),_xlpm.k,FIND(":",_xlpm.s),INDEX(TRIM(LEFT(_xlpm.s,_xlpm.k-1)),_xlfn.XMATCH(($BM$15+13),_xlfn.SCAN(0,--MID(_xlpm.s,_xlpm.k+1,9),_xlfn.LAMBDA(_xlpm.a,_xlpm.v,_xlpm.a+_xlpm.v)),1))),""),IF(($BM$15+13)&lt;=$BQ$15,$BP$15,""))))</f>
        <v/>
      </c>
      <c r="CD84" t="str" cm="1">
        <f t="array" ref="CD84">IF(NOT(AND($BN$16&lt;&gt;"",($BM$16+13)&lt;=$BO$16)),"",IF(T84&lt;&gt;"",IF(T84="-","",T84),IF(ISNUMBER(SEARCH(":",$BP$16)),IFERROR(_xlfn.LET(_xlpm.s,_xlfn.TEXTSPLIT($BP$16,","),_xlpm.k,FIND(":",_xlpm.s),INDEX(TRIM(LEFT(_xlpm.s,_xlpm.k-1)),_xlfn.XMATCH(($BM$16+13),_xlfn.SCAN(0,--MID(_xlpm.s,_xlpm.k+1,9),_xlfn.LAMBDA(_xlpm.a,_xlpm.v,_xlpm.a+_xlpm.v)),1))),""),IF(($BM$16+13)&lt;=$BQ$16,$BP$16,""))))</f>
        <v/>
      </c>
    </row>
    <row r="85" spans="2:82" hidden="1" x14ac:dyDescent="0.45">
      <c r="B85" s="6"/>
      <c r="C85" s="9" t="str">
        <f>IF(CA85="","",CA85&amp;"-"&amp;TEXT(0+COUNTIF($CA$72:CA85,CA85),"000"))</f>
        <v>D-014</v>
      </c>
      <c r="D85" s="9" t="str">
        <f>IF(AND($BN$13&lt;&gt;"",($BM$13+14)&lt;=$BO$13),$BN$13,"")</f>
        <v>1C-AA</v>
      </c>
      <c r="E85" s="9" t="str">
        <f>IF(AND($BN$13&lt;&gt;"",($BM$13+14)&lt;=$BO$13),TEXT(($BM$13+14),"00"),"")</f>
        <v>14</v>
      </c>
      <c r="F85" s="9" t="str">
        <f>IF(AND($BN$13&lt;&gt;"",($BM$13+14)&lt;=$BO$13),$BN$13&amp;"-"&amp;TEXT(($BM$13+14),"00"),"")</f>
        <v>1C-AA-14</v>
      </c>
      <c r="H85" s="6"/>
      <c r="I85" s="9" t="str">
        <f>IF(CB85="","",CB85&amp;"-"&amp;TEXT(COUNTIF($CA$72:$CA$95,CB85)+COUNTIF($CB$72:CB85,CB85),"000"))</f>
        <v/>
      </c>
      <c r="J85" s="9" t="str">
        <f>IF(AND($BN$14&lt;&gt;"",($BM$14+14)&lt;=$BO$14),$BN$14,"")</f>
        <v/>
      </c>
      <c r="K85" s="9" t="str">
        <f>IF(AND($BN$14&lt;&gt;"",($BM$14+14)&lt;=$BO$14),TEXT(($BM$14+14),"00"),"")</f>
        <v/>
      </c>
      <c r="L85" s="9" t="str">
        <f>IF(AND($BN$14&lt;&gt;"",($BM$14+14)&lt;=$BO$14),$BN$14&amp;"-"&amp;TEXT(($BM$14+14),"00"),"")</f>
        <v/>
      </c>
      <c r="N85" s="6"/>
      <c r="O85" s="9" t="str">
        <f>IF(CC85="","",CC85&amp;"-"&amp;TEXT(COUNTIF($CA$72:$CA$95,CC85)+COUNTIF($CB$72:$CB$95,CC85)+COUNTIF($CC$72:CC85,CC85),"000"))</f>
        <v/>
      </c>
      <c r="P85" s="9" t="str">
        <f>IF(AND($BN$15&lt;&gt;"",($BM$15+14)&lt;=$BO$15),$BN$15,"")</f>
        <v/>
      </c>
      <c r="Q85" s="9" t="str">
        <f>IF(AND($BN$15&lt;&gt;"",($BM$15+14)&lt;=$BO$15),TEXT(($BM$15+14),"00"),"")</f>
        <v/>
      </c>
      <c r="R85" s="9" t="str">
        <f>IF(AND($BN$15&lt;&gt;"",($BM$15+14)&lt;=$BO$15),$BN$15&amp;"-"&amp;TEXT(($BM$15+14),"00"),"")</f>
        <v/>
      </c>
      <c r="T85" s="6"/>
      <c r="U85" s="9" t="str">
        <f>IF(CD85="","",CD85&amp;"-"&amp;TEXT(COUNTIF($CA$72:$CA$95,CD85)+COUNTIF($CB$72:$CB$95,CD85)+COUNTIF($CC$72:$CC$95,CD85)+COUNTIF($CD$72:CD85,CD85),"000"))</f>
        <v/>
      </c>
      <c r="V85" s="9" t="str">
        <f>IF(AND($BN$16&lt;&gt;"",($BM$16+14)&lt;=$BO$16),$BN$16,"")</f>
        <v/>
      </c>
      <c r="W85" s="9" t="str">
        <f>IF(AND($BN$16&lt;&gt;"",($BM$16+14)&lt;=$BO$16),TEXT(($BM$16+14),"00"),"")</f>
        <v/>
      </c>
      <c r="X85" s="9" t="str">
        <f>IF(AND($BN$16&lt;&gt;"",($BM$16+14)&lt;=$BO$16),$BN$16&amp;"-"&amp;TEXT(($BM$16+14),"00"),"")</f>
        <v/>
      </c>
      <c r="BA85">
        <f>IF(OR(Catalogo!$C85="",Catalogo!$B85="Espacio libre",Catalogo!$B85="Espacio reservado"),0,COUNTIF($C$13:$C$42,Catalogo!$C85)+IF($E$7=Catalogo!$C85,N($K$7),0)+IF($E$8=Catalogo!$C85,N($N$8),0)+IF(Proyecto!$D$12=Catalogo!$C85,$AQ$4,0)+SUMIF($C$49:$C$58,Catalogo!$C85,$K$49:$K$58))</f>
        <v>0</v>
      </c>
      <c r="CA85" t="str" cm="1">
        <f t="array" ref="CA85">IF(NOT(AND($BN$13&lt;&gt;"",($BM$13+14)&lt;=$BO$13)),"",IF(B85&lt;&gt;"",IF(B85="-","",B85),IF(ISNUMBER(SEARCH(":",$BP$13)),IFERROR(_xlfn.LET(_xlpm.s,_xlfn.TEXTSPLIT($BP$13,","),_xlpm.k,FIND(":",_xlpm.s),INDEX(TRIM(LEFT(_xlpm.s,_xlpm.k-1)),_xlfn.XMATCH(($BM$13+14),_xlfn.SCAN(0,--MID(_xlpm.s,_xlpm.k+1,9),_xlfn.LAMBDA(_xlpm.a,_xlpm.v,_xlpm.a+_xlpm.v)),1))),""),IF(($BM$13+14)&lt;=$BQ$13,$BP$13,""))))</f>
        <v>D</v>
      </c>
      <c r="CB85" t="str" cm="1">
        <f t="array" ref="CB85">IF(NOT(AND($BN$14&lt;&gt;"",($BM$14+14)&lt;=$BO$14)),"",IF(H85&lt;&gt;"",IF(H85="-","",H85),IF(ISNUMBER(SEARCH(":",$BP$14)),IFERROR(_xlfn.LET(_xlpm.s,_xlfn.TEXTSPLIT($BP$14,","),_xlpm.k,FIND(":",_xlpm.s),INDEX(TRIM(LEFT(_xlpm.s,_xlpm.k-1)),_xlfn.XMATCH(($BM$14+14),_xlfn.SCAN(0,--MID(_xlpm.s,_xlpm.k+1,9),_xlfn.LAMBDA(_xlpm.a,_xlpm.v,_xlpm.a+_xlpm.v)),1))),""),IF(($BM$14+14)&lt;=$BQ$14,$BP$14,""))))</f>
        <v/>
      </c>
      <c r="CC85" t="str" cm="1">
        <f t="array" ref="CC85">IF(NOT(AND($BN$15&lt;&gt;"",($BM$15+14)&lt;=$BO$15)),"",IF(N85&lt;&gt;"",IF(N85="-","",N85),IF(ISNUMBER(SEARCH(":",$BP$15)),IFERROR(_xlfn.LET(_xlpm.s,_xlfn.TEXTSPLIT($BP$15,","),_xlpm.k,FIND(":",_xlpm.s),INDEX(TRIM(LEFT(_xlpm.s,_xlpm.k-1)),_xlfn.XMATCH(($BM$15+14),_xlfn.SCAN(0,--MID(_xlpm.s,_xlpm.k+1,9),_xlfn.LAMBDA(_xlpm.a,_xlpm.v,_xlpm.a+_xlpm.v)),1))),""),IF(($BM$15+14)&lt;=$BQ$15,$BP$15,""))))</f>
        <v/>
      </c>
      <c r="CD85" t="str" cm="1">
        <f t="array" ref="CD85">IF(NOT(AND($BN$16&lt;&gt;"",($BM$16+14)&lt;=$BO$16)),"",IF(T85&lt;&gt;"",IF(T85="-","",T85),IF(ISNUMBER(SEARCH(":",$BP$16)),IFERROR(_xlfn.LET(_xlpm.s,_xlfn.TEXTSPLIT($BP$16,","),_xlpm.k,FIND(":",_xlpm.s),INDEX(TRIM(LEFT(_xlpm.s,_xlpm.k-1)),_xlfn.XMATCH(($BM$16+14),_xlfn.SCAN(0,--MID(_xlpm.s,_xlpm.k+1,9),_xlfn.LAMBDA(_xlpm.a,_xlpm.v,_xlpm.a+_xlpm.v)),1))),""),IF(($BM$16+14)&lt;=$BQ$16,$BP$16,""))))</f>
        <v/>
      </c>
    </row>
    <row r="86" spans="2:82" hidden="1" x14ac:dyDescent="0.45">
      <c r="B86" s="6"/>
      <c r="C86" s="9" t="str">
        <f>IF(CA86="","",CA86&amp;"-"&amp;TEXT(0+COUNTIF($CA$72:CA86,CA86),"000"))</f>
        <v>D-015</v>
      </c>
      <c r="D86" s="9" t="str">
        <f>IF(AND($BN$13&lt;&gt;"",($BM$13+15)&lt;=$BO$13),$BN$13,"")</f>
        <v>1C-AA</v>
      </c>
      <c r="E86" s="9" t="str">
        <f>IF(AND($BN$13&lt;&gt;"",($BM$13+15)&lt;=$BO$13),TEXT(($BM$13+15),"00"),"")</f>
        <v>15</v>
      </c>
      <c r="F86" s="9" t="str">
        <f>IF(AND($BN$13&lt;&gt;"",($BM$13+15)&lt;=$BO$13),$BN$13&amp;"-"&amp;TEXT(($BM$13+15),"00"),"")</f>
        <v>1C-AA-15</v>
      </c>
      <c r="H86" s="6"/>
      <c r="I86" s="9" t="str">
        <f>IF(CB86="","",CB86&amp;"-"&amp;TEXT(COUNTIF($CA$72:$CA$95,CB86)+COUNTIF($CB$72:CB86,CB86),"000"))</f>
        <v/>
      </c>
      <c r="J86" s="9" t="str">
        <f>IF(AND($BN$14&lt;&gt;"",($BM$14+15)&lt;=$BO$14),$BN$14,"")</f>
        <v/>
      </c>
      <c r="K86" s="9" t="str">
        <f>IF(AND($BN$14&lt;&gt;"",($BM$14+15)&lt;=$BO$14),TEXT(($BM$14+15),"00"),"")</f>
        <v/>
      </c>
      <c r="L86" s="9" t="str">
        <f>IF(AND($BN$14&lt;&gt;"",($BM$14+15)&lt;=$BO$14),$BN$14&amp;"-"&amp;TEXT(($BM$14+15),"00"),"")</f>
        <v/>
      </c>
      <c r="N86" s="6"/>
      <c r="O86" s="9" t="str">
        <f>IF(CC86="","",CC86&amp;"-"&amp;TEXT(COUNTIF($CA$72:$CA$95,CC86)+COUNTIF($CB$72:$CB$95,CC86)+COUNTIF($CC$72:CC86,CC86),"000"))</f>
        <v/>
      </c>
      <c r="P86" s="9" t="str">
        <f>IF(AND($BN$15&lt;&gt;"",($BM$15+15)&lt;=$BO$15),$BN$15,"")</f>
        <v/>
      </c>
      <c r="Q86" s="9" t="str">
        <f>IF(AND($BN$15&lt;&gt;"",($BM$15+15)&lt;=$BO$15),TEXT(($BM$15+15),"00"),"")</f>
        <v/>
      </c>
      <c r="R86" s="9" t="str">
        <f>IF(AND($BN$15&lt;&gt;"",($BM$15+15)&lt;=$BO$15),$BN$15&amp;"-"&amp;TEXT(($BM$15+15),"00"),"")</f>
        <v/>
      </c>
      <c r="T86" s="6"/>
      <c r="U86" s="9" t="str">
        <f>IF(CD86="","",CD86&amp;"-"&amp;TEXT(COUNTIF($CA$72:$CA$95,CD86)+COUNTIF($CB$72:$CB$95,CD86)+COUNTIF($CC$72:$CC$95,CD86)+COUNTIF($CD$72:CD86,CD86),"000"))</f>
        <v/>
      </c>
      <c r="V86" s="9" t="str">
        <f>IF(AND($BN$16&lt;&gt;"",($BM$16+15)&lt;=$BO$16),$BN$16,"")</f>
        <v/>
      </c>
      <c r="W86" s="9" t="str">
        <f>IF(AND($BN$16&lt;&gt;"",($BM$16+15)&lt;=$BO$16),TEXT(($BM$16+15),"00"),"")</f>
        <v/>
      </c>
      <c r="X86" s="9" t="str">
        <f>IF(AND($BN$16&lt;&gt;"",($BM$16+15)&lt;=$BO$16),$BN$16&amp;"-"&amp;TEXT(($BM$16+15),"00"),"")</f>
        <v/>
      </c>
      <c r="BA86">
        <f>IF(OR(Catalogo!$C86="",Catalogo!$B86="Espacio libre",Catalogo!$B86="Espacio reservado"),0,COUNTIF($C$13:$C$42,Catalogo!$C86)+IF($E$7=Catalogo!$C86,N($K$7),0)+IF($E$8=Catalogo!$C86,N($N$8),0)+IF(Proyecto!$D$12=Catalogo!$C86,$AQ$4,0)+SUMIF($C$49:$C$58,Catalogo!$C86,$K$49:$K$58))</f>
        <v>0</v>
      </c>
      <c r="CA86" t="str" cm="1">
        <f t="array" ref="CA86">IF(NOT(AND($BN$13&lt;&gt;"",($BM$13+15)&lt;=$BO$13)),"",IF(B86&lt;&gt;"",IF(B86="-","",B86),IF(ISNUMBER(SEARCH(":",$BP$13)),IFERROR(_xlfn.LET(_xlpm.s,_xlfn.TEXTSPLIT($BP$13,","),_xlpm.k,FIND(":",_xlpm.s),INDEX(TRIM(LEFT(_xlpm.s,_xlpm.k-1)),_xlfn.XMATCH(($BM$13+15),_xlfn.SCAN(0,--MID(_xlpm.s,_xlpm.k+1,9),_xlfn.LAMBDA(_xlpm.a,_xlpm.v,_xlpm.a+_xlpm.v)),1))),""),IF(($BM$13+15)&lt;=$BQ$13,$BP$13,""))))</f>
        <v>D</v>
      </c>
      <c r="CB86" t="str" cm="1">
        <f t="array" ref="CB86">IF(NOT(AND($BN$14&lt;&gt;"",($BM$14+15)&lt;=$BO$14)),"",IF(H86&lt;&gt;"",IF(H86="-","",H86),IF(ISNUMBER(SEARCH(":",$BP$14)),IFERROR(_xlfn.LET(_xlpm.s,_xlfn.TEXTSPLIT($BP$14,","),_xlpm.k,FIND(":",_xlpm.s),INDEX(TRIM(LEFT(_xlpm.s,_xlpm.k-1)),_xlfn.XMATCH(($BM$14+15),_xlfn.SCAN(0,--MID(_xlpm.s,_xlpm.k+1,9),_xlfn.LAMBDA(_xlpm.a,_xlpm.v,_xlpm.a+_xlpm.v)),1))),""),IF(($BM$14+15)&lt;=$BQ$14,$BP$14,""))))</f>
        <v/>
      </c>
      <c r="CC86" t="str" cm="1">
        <f t="array" ref="CC86">IF(NOT(AND($BN$15&lt;&gt;"",($BM$15+15)&lt;=$BO$15)),"",IF(N86&lt;&gt;"",IF(N86="-","",N86),IF(ISNUMBER(SEARCH(":",$BP$15)),IFERROR(_xlfn.LET(_xlpm.s,_xlfn.TEXTSPLIT($BP$15,","),_xlpm.k,FIND(":",_xlpm.s),INDEX(TRIM(LEFT(_xlpm.s,_xlpm.k-1)),_xlfn.XMATCH(($BM$15+15),_xlfn.SCAN(0,--MID(_xlpm.s,_xlpm.k+1,9),_xlfn.LAMBDA(_xlpm.a,_xlpm.v,_xlpm.a+_xlpm.v)),1))),""),IF(($BM$15+15)&lt;=$BQ$15,$BP$15,""))))</f>
        <v/>
      </c>
      <c r="CD86" t="str" cm="1">
        <f t="array" ref="CD86">IF(NOT(AND($BN$16&lt;&gt;"",($BM$16+15)&lt;=$BO$16)),"",IF(T86&lt;&gt;"",IF(T86="-","",T86),IF(ISNUMBER(SEARCH(":",$BP$16)),IFERROR(_xlfn.LET(_xlpm.s,_xlfn.TEXTSPLIT($BP$16,","),_xlpm.k,FIND(":",_xlpm.s),INDEX(TRIM(LEFT(_xlpm.s,_xlpm.k-1)),_xlfn.XMATCH(($BM$16+15),_xlfn.SCAN(0,--MID(_xlpm.s,_xlpm.k+1,9),_xlfn.LAMBDA(_xlpm.a,_xlpm.v,_xlpm.a+_xlpm.v)),1))),""),IF(($BM$16+15)&lt;=$BQ$16,$BP$16,""))))</f>
        <v/>
      </c>
    </row>
    <row r="87" spans="2:82" hidden="1" x14ac:dyDescent="0.45">
      <c r="B87" s="6"/>
      <c r="C87" s="9" t="str">
        <f>IF(CA87="","",CA87&amp;"-"&amp;TEXT(0+COUNTIF($CA$72:CA87,CA87),"000"))</f>
        <v>D-016</v>
      </c>
      <c r="D87" s="9" t="str">
        <f>IF(AND($BN$13&lt;&gt;"",($BM$13+16)&lt;=$BO$13),$BN$13,"")</f>
        <v>1C-AA</v>
      </c>
      <c r="E87" s="9" t="str">
        <f>IF(AND($BN$13&lt;&gt;"",($BM$13+16)&lt;=$BO$13),TEXT(($BM$13+16),"00"),"")</f>
        <v>16</v>
      </c>
      <c r="F87" s="9" t="str">
        <f>IF(AND($BN$13&lt;&gt;"",($BM$13+16)&lt;=$BO$13),$BN$13&amp;"-"&amp;TEXT(($BM$13+16),"00"),"")</f>
        <v>1C-AA-16</v>
      </c>
      <c r="H87" s="6"/>
      <c r="I87" s="9" t="str">
        <f>IF(CB87="","",CB87&amp;"-"&amp;TEXT(COUNTIF($CA$72:$CA$95,CB87)+COUNTIF($CB$72:CB87,CB87),"000"))</f>
        <v/>
      </c>
      <c r="J87" s="9" t="str">
        <f>IF(AND($BN$14&lt;&gt;"",($BM$14+16)&lt;=$BO$14),$BN$14,"")</f>
        <v/>
      </c>
      <c r="K87" s="9" t="str">
        <f>IF(AND($BN$14&lt;&gt;"",($BM$14+16)&lt;=$BO$14),TEXT(($BM$14+16),"00"),"")</f>
        <v/>
      </c>
      <c r="L87" s="9" t="str">
        <f>IF(AND($BN$14&lt;&gt;"",($BM$14+16)&lt;=$BO$14),$BN$14&amp;"-"&amp;TEXT(($BM$14+16),"00"),"")</f>
        <v/>
      </c>
      <c r="N87" s="6"/>
      <c r="O87" s="9" t="str">
        <f>IF(CC87="","",CC87&amp;"-"&amp;TEXT(COUNTIF($CA$72:$CA$95,CC87)+COUNTIF($CB$72:$CB$95,CC87)+COUNTIF($CC$72:CC87,CC87),"000"))</f>
        <v/>
      </c>
      <c r="P87" s="9" t="str">
        <f>IF(AND($BN$15&lt;&gt;"",($BM$15+16)&lt;=$BO$15),$BN$15,"")</f>
        <v/>
      </c>
      <c r="Q87" s="9" t="str">
        <f>IF(AND($BN$15&lt;&gt;"",($BM$15+16)&lt;=$BO$15),TEXT(($BM$15+16),"00"),"")</f>
        <v/>
      </c>
      <c r="R87" s="9" t="str">
        <f>IF(AND($BN$15&lt;&gt;"",($BM$15+16)&lt;=$BO$15),$BN$15&amp;"-"&amp;TEXT(($BM$15+16),"00"),"")</f>
        <v/>
      </c>
      <c r="T87" s="6"/>
      <c r="U87" s="9" t="str">
        <f>IF(CD87="","",CD87&amp;"-"&amp;TEXT(COUNTIF($CA$72:$CA$95,CD87)+COUNTIF($CB$72:$CB$95,CD87)+COUNTIF($CC$72:$CC$95,CD87)+COUNTIF($CD$72:CD87,CD87),"000"))</f>
        <v/>
      </c>
      <c r="V87" s="9" t="str">
        <f>IF(AND($BN$16&lt;&gt;"",($BM$16+16)&lt;=$BO$16),$BN$16,"")</f>
        <v/>
      </c>
      <c r="W87" s="9" t="str">
        <f>IF(AND($BN$16&lt;&gt;"",($BM$16+16)&lt;=$BO$16),TEXT(($BM$16+16),"00"),"")</f>
        <v/>
      </c>
      <c r="X87" s="9" t="str">
        <f>IF(AND($BN$16&lt;&gt;"",($BM$16+16)&lt;=$BO$16),$BN$16&amp;"-"&amp;TEXT(($BM$16+16),"00"),"")</f>
        <v/>
      </c>
      <c r="BA87">
        <f>IF(OR(Catalogo!$C87="",Catalogo!$B87="Espacio libre",Catalogo!$B87="Espacio reservado"),0,COUNTIF($C$13:$C$42,Catalogo!$C87)+IF($E$7=Catalogo!$C87,N($K$7),0)+IF($E$8=Catalogo!$C87,N($N$8),0)+IF(Proyecto!$D$12=Catalogo!$C87,$AQ$4,0)+SUMIF($C$49:$C$58,Catalogo!$C87,$K$49:$K$58))</f>
        <v>0</v>
      </c>
      <c r="CA87" t="str" cm="1">
        <f t="array" ref="CA87">IF(NOT(AND($BN$13&lt;&gt;"",($BM$13+16)&lt;=$BO$13)),"",IF(B87&lt;&gt;"",IF(B87="-","",B87),IF(ISNUMBER(SEARCH(":",$BP$13)),IFERROR(_xlfn.LET(_xlpm.s,_xlfn.TEXTSPLIT($BP$13,","),_xlpm.k,FIND(":",_xlpm.s),INDEX(TRIM(LEFT(_xlpm.s,_xlpm.k-1)),_xlfn.XMATCH(($BM$13+16),_xlfn.SCAN(0,--MID(_xlpm.s,_xlpm.k+1,9),_xlfn.LAMBDA(_xlpm.a,_xlpm.v,_xlpm.a+_xlpm.v)),1))),""),IF(($BM$13+16)&lt;=$BQ$13,$BP$13,""))))</f>
        <v>D</v>
      </c>
      <c r="CB87" t="str" cm="1">
        <f t="array" ref="CB87">IF(NOT(AND($BN$14&lt;&gt;"",($BM$14+16)&lt;=$BO$14)),"",IF(H87&lt;&gt;"",IF(H87="-","",H87),IF(ISNUMBER(SEARCH(":",$BP$14)),IFERROR(_xlfn.LET(_xlpm.s,_xlfn.TEXTSPLIT($BP$14,","),_xlpm.k,FIND(":",_xlpm.s),INDEX(TRIM(LEFT(_xlpm.s,_xlpm.k-1)),_xlfn.XMATCH(($BM$14+16),_xlfn.SCAN(0,--MID(_xlpm.s,_xlpm.k+1,9),_xlfn.LAMBDA(_xlpm.a,_xlpm.v,_xlpm.a+_xlpm.v)),1))),""),IF(($BM$14+16)&lt;=$BQ$14,$BP$14,""))))</f>
        <v/>
      </c>
      <c r="CC87" t="str" cm="1">
        <f t="array" ref="CC87">IF(NOT(AND($BN$15&lt;&gt;"",($BM$15+16)&lt;=$BO$15)),"",IF(N87&lt;&gt;"",IF(N87="-","",N87),IF(ISNUMBER(SEARCH(":",$BP$15)),IFERROR(_xlfn.LET(_xlpm.s,_xlfn.TEXTSPLIT($BP$15,","),_xlpm.k,FIND(":",_xlpm.s),INDEX(TRIM(LEFT(_xlpm.s,_xlpm.k-1)),_xlfn.XMATCH(($BM$15+16),_xlfn.SCAN(0,--MID(_xlpm.s,_xlpm.k+1,9),_xlfn.LAMBDA(_xlpm.a,_xlpm.v,_xlpm.a+_xlpm.v)),1))),""),IF(($BM$15+16)&lt;=$BQ$15,$BP$15,""))))</f>
        <v/>
      </c>
      <c r="CD87" t="str" cm="1">
        <f t="array" ref="CD87">IF(NOT(AND($BN$16&lt;&gt;"",($BM$16+16)&lt;=$BO$16)),"",IF(T87&lt;&gt;"",IF(T87="-","",T87),IF(ISNUMBER(SEARCH(":",$BP$16)),IFERROR(_xlfn.LET(_xlpm.s,_xlfn.TEXTSPLIT($BP$16,","),_xlpm.k,FIND(":",_xlpm.s),INDEX(TRIM(LEFT(_xlpm.s,_xlpm.k-1)),_xlfn.XMATCH(($BM$16+16),_xlfn.SCAN(0,--MID(_xlpm.s,_xlpm.k+1,9),_xlfn.LAMBDA(_xlpm.a,_xlpm.v,_xlpm.a+_xlpm.v)),1))),""),IF(($BM$16+16)&lt;=$BQ$16,$BP$16,""))))</f>
        <v/>
      </c>
    </row>
    <row r="88" spans="2:82" hidden="1" x14ac:dyDescent="0.45">
      <c r="B88" s="6"/>
      <c r="C88" s="9" t="str">
        <f>IF(CA88="","",CA88&amp;"-"&amp;TEXT(0+COUNTIF($CA$72:CA88,CA88),"000"))</f>
        <v>D-017</v>
      </c>
      <c r="D88" s="9" t="str">
        <f>IF(AND($BN$13&lt;&gt;"",($BM$13+17)&lt;=$BO$13),$BN$13,"")</f>
        <v>1C-AA</v>
      </c>
      <c r="E88" s="9" t="str">
        <f>IF(AND($BN$13&lt;&gt;"",($BM$13+17)&lt;=$BO$13),TEXT(($BM$13+17),"00"),"")</f>
        <v>17</v>
      </c>
      <c r="F88" s="9" t="str">
        <f>IF(AND($BN$13&lt;&gt;"",($BM$13+17)&lt;=$BO$13),$BN$13&amp;"-"&amp;TEXT(($BM$13+17),"00"),"")</f>
        <v>1C-AA-17</v>
      </c>
      <c r="H88" s="6"/>
      <c r="I88" s="9" t="str">
        <f>IF(CB88="","",CB88&amp;"-"&amp;TEXT(COUNTIF($CA$72:$CA$95,CB88)+COUNTIF($CB$72:CB88,CB88),"000"))</f>
        <v/>
      </c>
      <c r="J88" s="9" t="str">
        <f>IF(AND($BN$14&lt;&gt;"",($BM$14+17)&lt;=$BO$14),$BN$14,"")</f>
        <v/>
      </c>
      <c r="K88" s="9" t="str">
        <f>IF(AND($BN$14&lt;&gt;"",($BM$14+17)&lt;=$BO$14),TEXT(($BM$14+17),"00"),"")</f>
        <v/>
      </c>
      <c r="L88" s="9" t="str">
        <f>IF(AND($BN$14&lt;&gt;"",($BM$14+17)&lt;=$BO$14),$BN$14&amp;"-"&amp;TEXT(($BM$14+17),"00"),"")</f>
        <v/>
      </c>
      <c r="N88" s="6"/>
      <c r="O88" s="9" t="str">
        <f>IF(CC88="","",CC88&amp;"-"&amp;TEXT(COUNTIF($CA$72:$CA$95,CC88)+COUNTIF($CB$72:$CB$95,CC88)+COUNTIF($CC$72:CC88,CC88),"000"))</f>
        <v/>
      </c>
      <c r="P88" s="9" t="str">
        <f>IF(AND($BN$15&lt;&gt;"",($BM$15+17)&lt;=$BO$15),$BN$15,"")</f>
        <v/>
      </c>
      <c r="Q88" s="9" t="str">
        <f>IF(AND($BN$15&lt;&gt;"",($BM$15+17)&lt;=$BO$15),TEXT(($BM$15+17),"00"),"")</f>
        <v/>
      </c>
      <c r="R88" s="9" t="str">
        <f>IF(AND($BN$15&lt;&gt;"",($BM$15+17)&lt;=$BO$15),$BN$15&amp;"-"&amp;TEXT(($BM$15+17),"00"),"")</f>
        <v/>
      </c>
      <c r="T88" s="6"/>
      <c r="U88" s="9" t="str">
        <f>IF(CD88="","",CD88&amp;"-"&amp;TEXT(COUNTIF($CA$72:$CA$95,CD88)+COUNTIF($CB$72:$CB$95,CD88)+COUNTIF($CC$72:$CC$95,CD88)+COUNTIF($CD$72:CD88,CD88),"000"))</f>
        <v/>
      </c>
      <c r="V88" s="9" t="str">
        <f>IF(AND($BN$16&lt;&gt;"",($BM$16+17)&lt;=$BO$16),$BN$16,"")</f>
        <v/>
      </c>
      <c r="W88" s="9" t="str">
        <f>IF(AND($BN$16&lt;&gt;"",($BM$16+17)&lt;=$BO$16),TEXT(($BM$16+17),"00"),"")</f>
        <v/>
      </c>
      <c r="X88" s="9" t="str">
        <f>IF(AND($BN$16&lt;&gt;"",($BM$16+17)&lt;=$BO$16),$BN$16&amp;"-"&amp;TEXT(($BM$16+17),"00"),"")</f>
        <v/>
      </c>
      <c r="BA88">
        <f>IF(OR(Catalogo!$C88="",Catalogo!$B88="Espacio libre",Catalogo!$B88="Espacio reservado"),0,COUNTIF($C$13:$C$42,Catalogo!$C88)+IF($E$7=Catalogo!$C88,N($K$7),0)+IF($E$8=Catalogo!$C88,N($N$8),0)+IF(Proyecto!$D$12=Catalogo!$C88,$AQ$4,0)+SUMIF($C$49:$C$58,Catalogo!$C88,$K$49:$K$58))</f>
        <v>0</v>
      </c>
      <c r="CA88" t="str" cm="1">
        <f t="array" ref="CA88">IF(NOT(AND($BN$13&lt;&gt;"",($BM$13+17)&lt;=$BO$13)),"",IF(B88&lt;&gt;"",IF(B88="-","",B88),IF(ISNUMBER(SEARCH(":",$BP$13)),IFERROR(_xlfn.LET(_xlpm.s,_xlfn.TEXTSPLIT($BP$13,","),_xlpm.k,FIND(":",_xlpm.s),INDEX(TRIM(LEFT(_xlpm.s,_xlpm.k-1)),_xlfn.XMATCH(($BM$13+17),_xlfn.SCAN(0,--MID(_xlpm.s,_xlpm.k+1,9),_xlfn.LAMBDA(_xlpm.a,_xlpm.v,_xlpm.a+_xlpm.v)),1))),""),IF(($BM$13+17)&lt;=$BQ$13,$BP$13,""))))</f>
        <v>D</v>
      </c>
      <c r="CB88" t="str" cm="1">
        <f t="array" ref="CB88">IF(NOT(AND($BN$14&lt;&gt;"",($BM$14+17)&lt;=$BO$14)),"",IF(H88&lt;&gt;"",IF(H88="-","",H88),IF(ISNUMBER(SEARCH(":",$BP$14)),IFERROR(_xlfn.LET(_xlpm.s,_xlfn.TEXTSPLIT($BP$14,","),_xlpm.k,FIND(":",_xlpm.s),INDEX(TRIM(LEFT(_xlpm.s,_xlpm.k-1)),_xlfn.XMATCH(($BM$14+17),_xlfn.SCAN(0,--MID(_xlpm.s,_xlpm.k+1,9),_xlfn.LAMBDA(_xlpm.a,_xlpm.v,_xlpm.a+_xlpm.v)),1))),""),IF(($BM$14+17)&lt;=$BQ$14,$BP$14,""))))</f>
        <v/>
      </c>
      <c r="CC88" t="str" cm="1">
        <f t="array" ref="CC88">IF(NOT(AND($BN$15&lt;&gt;"",($BM$15+17)&lt;=$BO$15)),"",IF(N88&lt;&gt;"",IF(N88="-","",N88),IF(ISNUMBER(SEARCH(":",$BP$15)),IFERROR(_xlfn.LET(_xlpm.s,_xlfn.TEXTSPLIT($BP$15,","),_xlpm.k,FIND(":",_xlpm.s),INDEX(TRIM(LEFT(_xlpm.s,_xlpm.k-1)),_xlfn.XMATCH(($BM$15+17),_xlfn.SCAN(0,--MID(_xlpm.s,_xlpm.k+1,9),_xlfn.LAMBDA(_xlpm.a,_xlpm.v,_xlpm.a+_xlpm.v)),1))),""),IF(($BM$15+17)&lt;=$BQ$15,$BP$15,""))))</f>
        <v/>
      </c>
      <c r="CD88" t="str" cm="1">
        <f t="array" ref="CD88">IF(NOT(AND($BN$16&lt;&gt;"",($BM$16+17)&lt;=$BO$16)),"",IF(T88&lt;&gt;"",IF(T88="-","",T88),IF(ISNUMBER(SEARCH(":",$BP$16)),IFERROR(_xlfn.LET(_xlpm.s,_xlfn.TEXTSPLIT($BP$16,","),_xlpm.k,FIND(":",_xlpm.s),INDEX(TRIM(LEFT(_xlpm.s,_xlpm.k-1)),_xlfn.XMATCH(($BM$16+17),_xlfn.SCAN(0,--MID(_xlpm.s,_xlpm.k+1,9),_xlfn.LAMBDA(_xlpm.a,_xlpm.v,_xlpm.a+_xlpm.v)),1))),""),IF(($BM$16+17)&lt;=$BQ$16,$BP$16,""))))</f>
        <v/>
      </c>
    </row>
    <row r="89" spans="2:82" hidden="1" x14ac:dyDescent="0.45">
      <c r="B89" s="6"/>
      <c r="C89" s="9" t="str">
        <f>IF(CA89="","",CA89&amp;"-"&amp;TEXT(0+COUNTIF($CA$72:CA89,CA89),"000"))</f>
        <v>D-018</v>
      </c>
      <c r="D89" s="9" t="str">
        <f>IF(AND($BN$13&lt;&gt;"",($BM$13+18)&lt;=$BO$13),$BN$13,"")</f>
        <v>1C-AA</v>
      </c>
      <c r="E89" s="9" t="str">
        <f>IF(AND($BN$13&lt;&gt;"",($BM$13+18)&lt;=$BO$13),TEXT(($BM$13+18),"00"),"")</f>
        <v>18</v>
      </c>
      <c r="F89" s="9" t="str">
        <f>IF(AND($BN$13&lt;&gt;"",($BM$13+18)&lt;=$BO$13),$BN$13&amp;"-"&amp;TEXT(($BM$13+18),"00"),"")</f>
        <v>1C-AA-18</v>
      </c>
      <c r="H89" s="6"/>
      <c r="I89" s="9" t="str">
        <f>IF(CB89="","",CB89&amp;"-"&amp;TEXT(COUNTIF($CA$72:$CA$95,CB89)+COUNTIF($CB$72:CB89,CB89),"000"))</f>
        <v/>
      </c>
      <c r="J89" s="9" t="str">
        <f>IF(AND($BN$14&lt;&gt;"",($BM$14+18)&lt;=$BO$14),$BN$14,"")</f>
        <v/>
      </c>
      <c r="K89" s="9" t="str">
        <f>IF(AND($BN$14&lt;&gt;"",($BM$14+18)&lt;=$BO$14),TEXT(($BM$14+18),"00"),"")</f>
        <v/>
      </c>
      <c r="L89" s="9" t="str">
        <f>IF(AND($BN$14&lt;&gt;"",($BM$14+18)&lt;=$BO$14),$BN$14&amp;"-"&amp;TEXT(($BM$14+18),"00"),"")</f>
        <v/>
      </c>
      <c r="N89" s="6"/>
      <c r="O89" s="9" t="str">
        <f>IF(CC89="","",CC89&amp;"-"&amp;TEXT(COUNTIF($CA$72:$CA$95,CC89)+COUNTIF($CB$72:$CB$95,CC89)+COUNTIF($CC$72:CC89,CC89),"000"))</f>
        <v/>
      </c>
      <c r="P89" s="9" t="str">
        <f>IF(AND($BN$15&lt;&gt;"",($BM$15+18)&lt;=$BO$15),$BN$15,"")</f>
        <v/>
      </c>
      <c r="Q89" s="9" t="str">
        <f>IF(AND($BN$15&lt;&gt;"",($BM$15+18)&lt;=$BO$15),TEXT(($BM$15+18),"00"),"")</f>
        <v/>
      </c>
      <c r="R89" s="9" t="str">
        <f>IF(AND($BN$15&lt;&gt;"",($BM$15+18)&lt;=$BO$15),$BN$15&amp;"-"&amp;TEXT(($BM$15+18),"00"),"")</f>
        <v/>
      </c>
      <c r="T89" s="6"/>
      <c r="U89" s="9" t="str">
        <f>IF(CD89="","",CD89&amp;"-"&amp;TEXT(COUNTIF($CA$72:$CA$95,CD89)+COUNTIF($CB$72:$CB$95,CD89)+COUNTIF($CC$72:$CC$95,CD89)+COUNTIF($CD$72:CD89,CD89),"000"))</f>
        <v/>
      </c>
      <c r="V89" s="9" t="str">
        <f>IF(AND($BN$16&lt;&gt;"",($BM$16+18)&lt;=$BO$16),$BN$16,"")</f>
        <v/>
      </c>
      <c r="W89" s="9" t="str">
        <f>IF(AND($BN$16&lt;&gt;"",($BM$16+18)&lt;=$BO$16),TEXT(($BM$16+18),"00"),"")</f>
        <v/>
      </c>
      <c r="X89" s="9" t="str">
        <f>IF(AND($BN$16&lt;&gt;"",($BM$16+18)&lt;=$BO$16),$BN$16&amp;"-"&amp;TEXT(($BM$16+18),"00"),"")</f>
        <v/>
      </c>
      <c r="BA89">
        <f>IF(OR(Catalogo!$C89="",Catalogo!$B89="Espacio libre",Catalogo!$B89="Espacio reservado"),0,COUNTIF($C$13:$C$42,Catalogo!$C89)+IF($E$7=Catalogo!$C89,N($K$7),0)+IF($E$8=Catalogo!$C89,N($N$8),0)+IF(Proyecto!$D$12=Catalogo!$C89,$AQ$4,0)+SUMIF($C$49:$C$58,Catalogo!$C89,$K$49:$K$58))</f>
        <v>0</v>
      </c>
      <c r="CA89" t="str" cm="1">
        <f t="array" ref="CA89">IF(NOT(AND($BN$13&lt;&gt;"",($BM$13+18)&lt;=$BO$13)),"",IF(B89&lt;&gt;"",IF(B89="-","",B89),IF(ISNUMBER(SEARCH(":",$BP$13)),IFERROR(_xlfn.LET(_xlpm.s,_xlfn.TEXTSPLIT($BP$13,","),_xlpm.k,FIND(":",_xlpm.s),INDEX(TRIM(LEFT(_xlpm.s,_xlpm.k-1)),_xlfn.XMATCH(($BM$13+18),_xlfn.SCAN(0,--MID(_xlpm.s,_xlpm.k+1,9),_xlfn.LAMBDA(_xlpm.a,_xlpm.v,_xlpm.a+_xlpm.v)),1))),""),IF(($BM$13+18)&lt;=$BQ$13,$BP$13,""))))</f>
        <v>D</v>
      </c>
      <c r="CB89" t="str" cm="1">
        <f t="array" ref="CB89">IF(NOT(AND($BN$14&lt;&gt;"",($BM$14+18)&lt;=$BO$14)),"",IF(H89&lt;&gt;"",IF(H89="-","",H89),IF(ISNUMBER(SEARCH(":",$BP$14)),IFERROR(_xlfn.LET(_xlpm.s,_xlfn.TEXTSPLIT($BP$14,","),_xlpm.k,FIND(":",_xlpm.s),INDEX(TRIM(LEFT(_xlpm.s,_xlpm.k-1)),_xlfn.XMATCH(($BM$14+18),_xlfn.SCAN(0,--MID(_xlpm.s,_xlpm.k+1,9),_xlfn.LAMBDA(_xlpm.a,_xlpm.v,_xlpm.a+_xlpm.v)),1))),""),IF(($BM$14+18)&lt;=$BQ$14,$BP$14,""))))</f>
        <v/>
      </c>
      <c r="CC89" t="str" cm="1">
        <f t="array" ref="CC89">IF(NOT(AND($BN$15&lt;&gt;"",($BM$15+18)&lt;=$BO$15)),"",IF(N89&lt;&gt;"",IF(N89="-","",N89),IF(ISNUMBER(SEARCH(":",$BP$15)),IFERROR(_xlfn.LET(_xlpm.s,_xlfn.TEXTSPLIT($BP$15,","),_xlpm.k,FIND(":",_xlpm.s),INDEX(TRIM(LEFT(_xlpm.s,_xlpm.k-1)),_xlfn.XMATCH(($BM$15+18),_xlfn.SCAN(0,--MID(_xlpm.s,_xlpm.k+1,9),_xlfn.LAMBDA(_xlpm.a,_xlpm.v,_xlpm.a+_xlpm.v)),1))),""),IF(($BM$15+18)&lt;=$BQ$15,$BP$15,""))))</f>
        <v/>
      </c>
      <c r="CD89" t="str" cm="1">
        <f t="array" ref="CD89">IF(NOT(AND($BN$16&lt;&gt;"",($BM$16+18)&lt;=$BO$16)),"",IF(T89&lt;&gt;"",IF(T89="-","",T89),IF(ISNUMBER(SEARCH(":",$BP$16)),IFERROR(_xlfn.LET(_xlpm.s,_xlfn.TEXTSPLIT($BP$16,","),_xlpm.k,FIND(":",_xlpm.s),INDEX(TRIM(LEFT(_xlpm.s,_xlpm.k-1)),_xlfn.XMATCH(($BM$16+18),_xlfn.SCAN(0,--MID(_xlpm.s,_xlpm.k+1,9),_xlfn.LAMBDA(_xlpm.a,_xlpm.v,_xlpm.a+_xlpm.v)),1))),""),IF(($BM$16+18)&lt;=$BQ$16,$BP$16,""))))</f>
        <v/>
      </c>
    </row>
    <row r="90" spans="2:82" hidden="1" x14ac:dyDescent="0.45">
      <c r="B90" s="6"/>
      <c r="C90" s="9" t="str">
        <f>IF(CA90="","",CA90&amp;"-"&amp;TEXT(0+COUNTIF($CA$72:CA90,CA90),"000"))</f>
        <v>D-019</v>
      </c>
      <c r="D90" s="9" t="str">
        <f>IF(AND($BN$13&lt;&gt;"",($BM$13+19)&lt;=$BO$13),$BN$13,"")</f>
        <v>1C-AA</v>
      </c>
      <c r="E90" s="9" t="str">
        <f>IF(AND($BN$13&lt;&gt;"",($BM$13+19)&lt;=$BO$13),TEXT(($BM$13+19),"00"),"")</f>
        <v>19</v>
      </c>
      <c r="F90" s="9" t="str">
        <f>IF(AND($BN$13&lt;&gt;"",($BM$13+19)&lt;=$BO$13),$BN$13&amp;"-"&amp;TEXT(($BM$13+19),"00"),"")</f>
        <v>1C-AA-19</v>
      </c>
      <c r="H90" s="6"/>
      <c r="I90" s="9" t="str">
        <f>IF(CB90="","",CB90&amp;"-"&amp;TEXT(COUNTIF($CA$72:$CA$95,CB90)+COUNTIF($CB$72:CB90,CB90),"000"))</f>
        <v/>
      </c>
      <c r="J90" s="9" t="str">
        <f>IF(AND($BN$14&lt;&gt;"",($BM$14+19)&lt;=$BO$14),$BN$14,"")</f>
        <v/>
      </c>
      <c r="K90" s="9" t="str">
        <f>IF(AND($BN$14&lt;&gt;"",($BM$14+19)&lt;=$BO$14),TEXT(($BM$14+19),"00"),"")</f>
        <v/>
      </c>
      <c r="L90" s="9" t="str">
        <f>IF(AND($BN$14&lt;&gt;"",($BM$14+19)&lt;=$BO$14),$BN$14&amp;"-"&amp;TEXT(($BM$14+19),"00"),"")</f>
        <v/>
      </c>
      <c r="N90" s="6"/>
      <c r="O90" s="9" t="str">
        <f>IF(CC90="","",CC90&amp;"-"&amp;TEXT(COUNTIF($CA$72:$CA$95,CC90)+COUNTIF($CB$72:$CB$95,CC90)+COUNTIF($CC$72:CC90,CC90),"000"))</f>
        <v/>
      </c>
      <c r="P90" s="9" t="str">
        <f>IF(AND($BN$15&lt;&gt;"",($BM$15+19)&lt;=$BO$15),$BN$15,"")</f>
        <v/>
      </c>
      <c r="Q90" s="9" t="str">
        <f>IF(AND($BN$15&lt;&gt;"",($BM$15+19)&lt;=$BO$15),TEXT(($BM$15+19),"00"),"")</f>
        <v/>
      </c>
      <c r="R90" s="9" t="str">
        <f>IF(AND($BN$15&lt;&gt;"",($BM$15+19)&lt;=$BO$15),$BN$15&amp;"-"&amp;TEXT(($BM$15+19),"00"),"")</f>
        <v/>
      </c>
      <c r="T90" s="6"/>
      <c r="U90" s="9" t="str">
        <f>IF(CD90="","",CD90&amp;"-"&amp;TEXT(COUNTIF($CA$72:$CA$95,CD90)+COUNTIF($CB$72:$CB$95,CD90)+COUNTIF($CC$72:$CC$95,CD90)+COUNTIF($CD$72:CD90,CD90),"000"))</f>
        <v/>
      </c>
      <c r="V90" s="9" t="str">
        <f>IF(AND($BN$16&lt;&gt;"",($BM$16+19)&lt;=$BO$16),$BN$16,"")</f>
        <v/>
      </c>
      <c r="W90" s="9" t="str">
        <f>IF(AND($BN$16&lt;&gt;"",($BM$16+19)&lt;=$BO$16),TEXT(($BM$16+19),"00"),"")</f>
        <v/>
      </c>
      <c r="X90" s="9" t="str">
        <f>IF(AND($BN$16&lt;&gt;"",($BM$16+19)&lt;=$BO$16),$BN$16&amp;"-"&amp;TEXT(($BM$16+19),"00"),"")</f>
        <v/>
      </c>
      <c r="BA90">
        <f>IF(OR(Catalogo!$C90="",Catalogo!$B90="Espacio libre",Catalogo!$B90="Espacio reservado"),0,COUNTIF($C$13:$C$42,Catalogo!$C90)+IF($E$7=Catalogo!$C90,N($K$7),0)+IF($E$8=Catalogo!$C90,N($N$8),0)+IF(Proyecto!$D$12=Catalogo!$C90,$AQ$4,0)+SUMIF($C$49:$C$58,Catalogo!$C90,$K$49:$K$58))</f>
        <v>0</v>
      </c>
      <c r="CA90" t="str" cm="1">
        <f t="array" ref="CA90">IF(NOT(AND($BN$13&lt;&gt;"",($BM$13+19)&lt;=$BO$13)),"",IF(B90&lt;&gt;"",IF(B90="-","",B90),IF(ISNUMBER(SEARCH(":",$BP$13)),IFERROR(_xlfn.LET(_xlpm.s,_xlfn.TEXTSPLIT($BP$13,","),_xlpm.k,FIND(":",_xlpm.s),INDEX(TRIM(LEFT(_xlpm.s,_xlpm.k-1)),_xlfn.XMATCH(($BM$13+19),_xlfn.SCAN(0,--MID(_xlpm.s,_xlpm.k+1,9),_xlfn.LAMBDA(_xlpm.a,_xlpm.v,_xlpm.a+_xlpm.v)),1))),""),IF(($BM$13+19)&lt;=$BQ$13,$BP$13,""))))</f>
        <v>D</v>
      </c>
      <c r="CB90" t="str" cm="1">
        <f t="array" ref="CB90">IF(NOT(AND($BN$14&lt;&gt;"",($BM$14+19)&lt;=$BO$14)),"",IF(H90&lt;&gt;"",IF(H90="-","",H90),IF(ISNUMBER(SEARCH(":",$BP$14)),IFERROR(_xlfn.LET(_xlpm.s,_xlfn.TEXTSPLIT($BP$14,","),_xlpm.k,FIND(":",_xlpm.s),INDEX(TRIM(LEFT(_xlpm.s,_xlpm.k-1)),_xlfn.XMATCH(($BM$14+19),_xlfn.SCAN(0,--MID(_xlpm.s,_xlpm.k+1,9),_xlfn.LAMBDA(_xlpm.a,_xlpm.v,_xlpm.a+_xlpm.v)),1))),""),IF(($BM$14+19)&lt;=$BQ$14,$BP$14,""))))</f>
        <v/>
      </c>
      <c r="CC90" t="str" cm="1">
        <f t="array" ref="CC90">IF(NOT(AND($BN$15&lt;&gt;"",($BM$15+19)&lt;=$BO$15)),"",IF(N90&lt;&gt;"",IF(N90="-","",N90),IF(ISNUMBER(SEARCH(":",$BP$15)),IFERROR(_xlfn.LET(_xlpm.s,_xlfn.TEXTSPLIT($BP$15,","),_xlpm.k,FIND(":",_xlpm.s),INDEX(TRIM(LEFT(_xlpm.s,_xlpm.k-1)),_xlfn.XMATCH(($BM$15+19),_xlfn.SCAN(0,--MID(_xlpm.s,_xlpm.k+1,9),_xlfn.LAMBDA(_xlpm.a,_xlpm.v,_xlpm.a+_xlpm.v)),1))),""),IF(($BM$15+19)&lt;=$BQ$15,$BP$15,""))))</f>
        <v/>
      </c>
      <c r="CD90" t="str" cm="1">
        <f t="array" ref="CD90">IF(NOT(AND($BN$16&lt;&gt;"",($BM$16+19)&lt;=$BO$16)),"",IF(T90&lt;&gt;"",IF(T90="-","",T90),IF(ISNUMBER(SEARCH(":",$BP$16)),IFERROR(_xlfn.LET(_xlpm.s,_xlfn.TEXTSPLIT($BP$16,","),_xlpm.k,FIND(":",_xlpm.s),INDEX(TRIM(LEFT(_xlpm.s,_xlpm.k-1)),_xlfn.XMATCH(($BM$16+19),_xlfn.SCAN(0,--MID(_xlpm.s,_xlpm.k+1,9),_xlfn.LAMBDA(_xlpm.a,_xlpm.v,_xlpm.a+_xlpm.v)),1))),""),IF(($BM$16+19)&lt;=$BQ$16,$BP$16,""))))</f>
        <v/>
      </c>
    </row>
    <row r="91" spans="2:82" hidden="1" x14ac:dyDescent="0.45">
      <c r="B91" s="6"/>
      <c r="C91" s="9" t="str">
        <f>IF(CA91="","",CA91&amp;"-"&amp;TEXT(0+COUNTIF($CA$72:CA91,CA91),"000"))</f>
        <v>D-020</v>
      </c>
      <c r="D91" s="9" t="str">
        <f>IF(AND($BN$13&lt;&gt;"",($BM$13+20)&lt;=$BO$13),$BN$13,"")</f>
        <v>1C-AA</v>
      </c>
      <c r="E91" s="9" t="str">
        <f>IF(AND($BN$13&lt;&gt;"",($BM$13+20)&lt;=$BO$13),TEXT(($BM$13+20),"00"),"")</f>
        <v>20</v>
      </c>
      <c r="F91" s="9" t="str">
        <f>IF(AND($BN$13&lt;&gt;"",($BM$13+20)&lt;=$BO$13),$BN$13&amp;"-"&amp;TEXT(($BM$13+20),"00"),"")</f>
        <v>1C-AA-20</v>
      </c>
      <c r="H91" s="6"/>
      <c r="I91" s="9" t="str">
        <f>IF(CB91="","",CB91&amp;"-"&amp;TEXT(COUNTIF($CA$72:$CA$95,CB91)+COUNTIF($CB$72:CB91,CB91),"000"))</f>
        <v/>
      </c>
      <c r="J91" s="9" t="str">
        <f>IF(AND($BN$14&lt;&gt;"",($BM$14+20)&lt;=$BO$14),$BN$14,"")</f>
        <v/>
      </c>
      <c r="K91" s="9" t="str">
        <f>IF(AND($BN$14&lt;&gt;"",($BM$14+20)&lt;=$BO$14),TEXT(($BM$14+20),"00"),"")</f>
        <v/>
      </c>
      <c r="L91" s="9" t="str">
        <f>IF(AND($BN$14&lt;&gt;"",($BM$14+20)&lt;=$BO$14),$BN$14&amp;"-"&amp;TEXT(($BM$14+20),"00"),"")</f>
        <v/>
      </c>
      <c r="N91" s="6"/>
      <c r="O91" s="9" t="str">
        <f>IF(CC91="","",CC91&amp;"-"&amp;TEXT(COUNTIF($CA$72:$CA$95,CC91)+COUNTIF($CB$72:$CB$95,CC91)+COUNTIF($CC$72:CC91,CC91),"000"))</f>
        <v/>
      </c>
      <c r="P91" s="9" t="str">
        <f>IF(AND($BN$15&lt;&gt;"",($BM$15+20)&lt;=$BO$15),$BN$15,"")</f>
        <v/>
      </c>
      <c r="Q91" s="9" t="str">
        <f>IF(AND($BN$15&lt;&gt;"",($BM$15+20)&lt;=$BO$15),TEXT(($BM$15+20),"00"),"")</f>
        <v/>
      </c>
      <c r="R91" s="9" t="str">
        <f>IF(AND($BN$15&lt;&gt;"",($BM$15+20)&lt;=$BO$15),$BN$15&amp;"-"&amp;TEXT(($BM$15+20),"00"),"")</f>
        <v/>
      </c>
      <c r="T91" s="6"/>
      <c r="U91" s="9" t="str">
        <f>IF(CD91="","",CD91&amp;"-"&amp;TEXT(COUNTIF($CA$72:$CA$95,CD91)+COUNTIF($CB$72:$CB$95,CD91)+COUNTIF($CC$72:$CC$95,CD91)+COUNTIF($CD$72:CD91,CD91),"000"))</f>
        <v/>
      </c>
      <c r="V91" s="9" t="str">
        <f>IF(AND($BN$16&lt;&gt;"",($BM$16+20)&lt;=$BO$16),$BN$16,"")</f>
        <v/>
      </c>
      <c r="W91" s="9" t="str">
        <f>IF(AND($BN$16&lt;&gt;"",($BM$16+20)&lt;=$BO$16),TEXT(($BM$16+20),"00"),"")</f>
        <v/>
      </c>
      <c r="X91" s="9" t="str">
        <f>IF(AND($BN$16&lt;&gt;"",($BM$16+20)&lt;=$BO$16),$BN$16&amp;"-"&amp;TEXT(($BM$16+20),"00"),"")</f>
        <v/>
      </c>
      <c r="BA91">
        <f>IF(OR(Catalogo!$C91="",Catalogo!$B91="Espacio libre",Catalogo!$B91="Espacio reservado"),0,COUNTIF($C$13:$C$42,Catalogo!$C91)+IF($E$7=Catalogo!$C91,N($K$7),0)+IF($E$8=Catalogo!$C91,N($N$8),0)+IF(Proyecto!$D$12=Catalogo!$C91,$AQ$4,0)+SUMIF($C$49:$C$58,Catalogo!$C91,$K$49:$K$58))</f>
        <v>0</v>
      </c>
      <c r="CA91" t="str" cm="1">
        <f t="array" ref="CA91">IF(NOT(AND($BN$13&lt;&gt;"",($BM$13+20)&lt;=$BO$13)),"",IF(B91&lt;&gt;"",IF(B91="-","",B91),IF(ISNUMBER(SEARCH(":",$BP$13)),IFERROR(_xlfn.LET(_xlpm.s,_xlfn.TEXTSPLIT($BP$13,","),_xlpm.k,FIND(":",_xlpm.s),INDEX(TRIM(LEFT(_xlpm.s,_xlpm.k-1)),_xlfn.XMATCH(($BM$13+20),_xlfn.SCAN(0,--MID(_xlpm.s,_xlpm.k+1,9),_xlfn.LAMBDA(_xlpm.a,_xlpm.v,_xlpm.a+_xlpm.v)),1))),""),IF(($BM$13+20)&lt;=$BQ$13,$BP$13,""))))</f>
        <v>D</v>
      </c>
      <c r="CB91" t="str" cm="1">
        <f t="array" ref="CB91">IF(NOT(AND($BN$14&lt;&gt;"",($BM$14+20)&lt;=$BO$14)),"",IF(H91&lt;&gt;"",IF(H91="-","",H91),IF(ISNUMBER(SEARCH(":",$BP$14)),IFERROR(_xlfn.LET(_xlpm.s,_xlfn.TEXTSPLIT($BP$14,","),_xlpm.k,FIND(":",_xlpm.s),INDEX(TRIM(LEFT(_xlpm.s,_xlpm.k-1)),_xlfn.XMATCH(($BM$14+20),_xlfn.SCAN(0,--MID(_xlpm.s,_xlpm.k+1,9),_xlfn.LAMBDA(_xlpm.a,_xlpm.v,_xlpm.a+_xlpm.v)),1))),""),IF(($BM$14+20)&lt;=$BQ$14,$BP$14,""))))</f>
        <v/>
      </c>
      <c r="CC91" t="str" cm="1">
        <f t="array" ref="CC91">IF(NOT(AND($BN$15&lt;&gt;"",($BM$15+20)&lt;=$BO$15)),"",IF(N91&lt;&gt;"",IF(N91="-","",N91),IF(ISNUMBER(SEARCH(":",$BP$15)),IFERROR(_xlfn.LET(_xlpm.s,_xlfn.TEXTSPLIT($BP$15,","),_xlpm.k,FIND(":",_xlpm.s),INDEX(TRIM(LEFT(_xlpm.s,_xlpm.k-1)),_xlfn.XMATCH(($BM$15+20),_xlfn.SCAN(0,--MID(_xlpm.s,_xlpm.k+1,9),_xlfn.LAMBDA(_xlpm.a,_xlpm.v,_xlpm.a+_xlpm.v)),1))),""),IF(($BM$15+20)&lt;=$BQ$15,$BP$15,""))))</f>
        <v/>
      </c>
      <c r="CD91" t="str" cm="1">
        <f t="array" ref="CD91">IF(NOT(AND($BN$16&lt;&gt;"",($BM$16+20)&lt;=$BO$16)),"",IF(T91&lt;&gt;"",IF(T91="-","",T91),IF(ISNUMBER(SEARCH(":",$BP$16)),IFERROR(_xlfn.LET(_xlpm.s,_xlfn.TEXTSPLIT($BP$16,","),_xlpm.k,FIND(":",_xlpm.s),INDEX(TRIM(LEFT(_xlpm.s,_xlpm.k-1)),_xlfn.XMATCH(($BM$16+20),_xlfn.SCAN(0,--MID(_xlpm.s,_xlpm.k+1,9),_xlfn.LAMBDA(_xlpm.a,_xlpm.v,_xlpm.a+_xlpm.v)),1))),""),IF(($BM$16+20)&lt;=$BQ$16,$BP$16,""))))</f>
        <v/>
      </c>
    </row>
    <row r="92" spans="2:82" hidden="1" x14ac:dyDescent="0.45">
      <c r="B92" s="6"/>
      <c r="C92" s="9" t="str">
        <f>IF(CA92="","",CA92&amp;"-"&amp;TEXT(0+COUNTIF($CA$72:CA92,CA92),"000"))</f>
        <v>D-021</v>
      </c>
      <c r="D92" s="9" t="str">
        <f>IF(AND($BN$13&lt;&gt;"",($BM$13+21)&lt;=$BO$13),$BN$13,"")</f>
        <v>1C-AA</v>
      </c>
      <c r="E92" s="9" t="str">
        <f>IF(AND($BN$13&lt;&gt;"",($BM$13+21)&lt;=$BO$13),TEXT(($BM$13+21),"00"),"")</f>
        <v>21</v>
      </c>
      <c r="F92" s="9" t="str">
        <f>IF(AND($BN$13&lt;&gt;"",($BM$13+21)&lt;=$BO$13),$BN$13&amp;"-"&amp;TEXT(($BM$13+21),"00"),"")</f>
        <v>1C-AA-21</v>
      </c>
      <c r="H92" s="6"/>
      <c r="I92" s="9" t="str">
        <f>IF(CB92="","",CB92&amp;"-"&amp;TEXT(COUNTIF($CA$72:$CA$95,CB92)+COUNTIF($CB$72:CB92,CB92),"000"))</f>
        <v/>
      </c>
      <c r="J92" s="9" t="str">
        <f>IF(AND($BN$14&lt;&gt;"",($BM$14+21)&lt;=$BO$14),$BN$14,"")</f>
        <v/>
      </c>
      <c r="K92" s="9" t="str">
        <f>IF(AND($BN$14&lt;&gt;"",($BM$14+21)&lt;=$BO$14),TEXT(($BM$14+21),"00"),"")</f>
        <v/>
      </c>
      <c r="L92" s="9" t="str">
        <f>IF(AND($BN$14&lt;&gt;"",($BM$14+21)&lt;=$BO$14),$BN$14&amp;"-"&amp;TEXT(($BM$14+21),"00"),"")</f>
        <v/>
      </c>
      <c r="N92" s="6"/>
      <c r="O92" s="9" t="str">
        <f>IF(CC92="","",CC92&amp;"-"&amp;TEXT(COUNTIF($CA$72:$CA$95,CC92)+COUNTIF($CB$72:$CB$95,CC92)+COUNTIF($CC$72:CC92,CC92),"000"))</f>
        <v/>
      </c>
      <c r="P92" s="9" t="str">
        <f>IF(AND($BN$15&lt;&gt;"",($BM$15+21)&lt;=$BO$15),$BN$15,"")</f>
        <v/>
      </c>
      <c r="Q92" s="9" t="str">
        <f>IF(AND($BN$15&lt;&gt;"",($BM$15+21)&lt;=$BO$15),TEXT(($BM$15+21),"00"),"")</f>
        <v/>
      </c>
      <c r="R92" s="9" t="str">
        <f>IF(AND($BN$15&lt;&gt;"",($BM$15+21)&lt;=$BO$15),$BN$15&amp;"-"&amp;TEXT(($BM$15+21),"00"),"")</f>
        <v/>
      </c>
      <c r="T92" s="6"/>
      <c r="U92" s="9" t="str">
        <f>IF(CD92="","",CD92&amp;"-"&amp;TEXT(COUNTIF($CA$72:$CA$95,CD92)+COUNTIF($CB$72:$CB$95,CD92)+COUNTIF($CC$72:$CC$95,CD92)+COUNTIF($CD$72:CD92,CD92),"000"))</f>
        <v/>
      </c>
      <c r="V92" s="9" t="str">
        <f>IF(AND($BN$16&lt;&gt;"",($BM$16+21)&lt;=$BO$16),$BN$16,"")</f>
        <v/>
      </c>
      <c r="W92" s="9" t="str">
        <f>IF(AND($BN$16&lt;&gt;"",($BM$16+21)&lt;=$BO$16),TEXT(($BM$16+21),"00"),"")</f>
        <v/>
      </c>
      <c r="X92" s="9" t="str">
        <f>IF(AND($BN$16&lt;&gt;"",($BM$16+21)&lt;=$BO$16),$BN$16&amp;"-"&amp;TEXT(($BM$16+21),"00"),"")</f>
        <v/>
      </c>
      <c r="BA92">
        <f>IF(OR(Catalogo!$C92="",Catalogo!$B92="Espacio libre",Catalogo!$B92="Espacio reservado"),0,COUNTIF($C$13:$C$42,Catalogo!$C92)+IF($E$7=Catalogo!$C92,N($K$7),0)+IF($E$8=Catalogo!$C92,N($N$8),0)+IF(Proyecto!$D$12=Catalogo!$C92,$AQ$4,0)+SUMIF($C$49:$C$58,Catalogo!$C92,$K$49:$K$58))</f>
        <v>0</v>
      </c>
      <c r="CA92" t="str" cm="1">
        <f t="array" ref="CA92">IF(NOT(AND($BN$13&lt;&gt;"",($BM$13+21)&lt;=$BO$13)),"",IF(B92&lt;&gt;"",IF(B92="-","",B92),IF(ISNUMBER(SEARCH(":",$BP$13)),IFERROR(_xlfn.LET(_xlpm.s,_xlfn.TEXTSPLIT($BP$13,","),_xlpm.k,FIND(":",_xlpm.s),INDEX(TRIM(LEFT(_xlpm.s,_xlpm.k-1)),_xlfn.XMATCH(($BM$13+21),_xlfn.SCAN(0,--MID(_xlpm.s,_xlpm.k+1,9),_xlfn.LAMBDA(_xlpm.a,_xlpm.v,_xlpm.a+_xlpm.v)),1))),""),IF(($BM$13+21)&lt;=$BQ$13,$BP$13,""))))</f>
        <v>D</v>
      </c>
      <c r="CB92" t="str" cm="1">
        <f t="array" ref="CB92">IF(NOT(AND($BN$14&lt;&gt;"",($BM$14+21)&lt;=$BO$14)),"",IF(H92&lt;&gt;"",IF(H92="-","",H92),IF(ISNUMBER(SEARCH(":",$BP$14)),IFERROR(_xlfn.LET(_xlpm.s,_xlfn.TEXTSPLIT($BP$14,","),_xlpm.k,FIND(":",_xlpm.s),INDEX(TRIM(LEFT(_xlpm.s,_xlpm.k-1)),_xlfn.XMATCH(($BM$14+21),_xlfn.SCAN(0,--MID(_xlpm.s,_xlpm.k+1,9),_xlfn.LAMBDA(_xlpm.a,_xlpm.v,_xlpm.a+_xlpm.v)),1))),""),IF(($BM$14+21)&lt;=$BQ$14,$BP$14,""))))</f>
        <v/>
      </c>
      <c r="CC92" t="str" cm="1">
        <f t="array" ref="CC92">IF(NOT(AND($BN$15&lt;&gt;"",($BM$15+21)&lt;=$BO$15)),"",IF(N92&lt;&gt;"",IF(N92="-","",N92),IF(ISNUMBER(SEARCH(":",$BP$15)),IFERROR(_xlfn.LET(_xlpm.s,_xlfn.TEXTSPLIT($BP$15,","),_xlpm.k,FIND(":",_xlpm.s),INDEX(TRIM(LEFT(_xlpm.s,_xlpm.k-1)),_xlfn.XMATCH(($BM$15+21),_xlfn.SCAN(0,--MID(_xlpm.s,_xlpm.k+1,9),_xlfn.LAMBDA(_xlpm.a,_xlpm.v,_xlpm.a+_xlpm.v)),1))),""),IF(($BM$15+21)&lt;=$BQ$15,$BP$15,""))))</f>
        <v/>
      </c>
      <c r="CD92" t="str" cm="1">
        <f t="array" ref="CD92">IF(NOT(AND($BN$16&lt;&gt;"",($BM$16+21)&lt;=$BO$16)),"",IF(T92&lt;&gt;"",IF(T92="-","",T92),IF(ISNUMBER(SEARCH(":",$BP$16)),IFERROR(_xlfn.LET(_xlpm.s,_xlfn.TEXTSPLIT($BP$16,","),_xlpm.k,FIND(":",_xlpm.s),INDEX(TRIM(LEFT(_xlpm.s,_xlpm.k-1)),_xlfn.XMATCH(($BM$16+21),_xlfn.SCAN(0,--MID(_xlpm.s,_xlpm.k+1,9),_xlfn.LAMBDA(_xlpm.a,_xlpm.v,_xlpm.a+_xlpm.v)),1))),""),IF(($BM$16+21)&lt;=$BQ$16,$BP$16,""))))</f>
        <v/>
      </c>
    </row>
    <row r="93" spans="2:82" hidden="1" x14ac:dyDescent="0.45">
      <c r="B93" s="6"/>
      <c r="C93" s="9" t="str">
        <f>IF(CA93="","",CA93&amp;"-"&amp;TEXT(0+COUNTIF($CA$72:CA93,CA93),"000"))</f>
        <v>D-022</v>
      </c>
      <c r="D93" s="9" t="str">
        <f>IF(AND($BN$13&lt;&gt;"",($BM$13+22)&lt;=$BO$13),$BN$13,"")</f>
        <v>1C-AA</v>
      </c>
      <c r="E93" s="9" t="str">
        <f>IF(AND($BN$13&lt;&gt;"",($BM$13+22)&lt;=$BO$13),TEXT(($BM$13+22),"00"),"")</f>
        <v>22</v>
      </c>
      <c r="F93" s="9" t="str">
        <f>IF(AND($BN$13&lt;&gt;"",($BM$13+22)&lt;=$BO$13),$BN$13&amp;"-"&amp;TEXT(($BM$13+22),"00"),"")</f>
        <v>1C-AA-22</v>
      </c>
      <c r="H93" s="6"/>
      <c r="I93" s="9" t="str">
        <f>IF(CB93="","",CB93&amp;"-"&amp;TEXT(COUNTIF($CA$72:$CA$95,CB93)+COUNTIF($CB$72:CB93,CB93),"000"))</f>
        <v/>
      </c>
      <c r="J93" s="9" t="str">
        <f>IF(AND($BN$14&lt;&gt;"",($BM$14+22)&lt;=$BO$14),$BN$14,"")</f>
        <v/>
      </c>
      <c r="K93" s="9" t="str">
        <f>IF(AND($BN$14&lt;&gt;"",($BM$14+22)&lt;=$BO$14),TEXT(($BM$14+22),"00"),"")</f>
        <v/>
      </c>
      <c r="L93" s="9" t="str">
        <f>IF(AND($BN$14&lt;&gt;"",($BM$14+22)&lt;=$BO$14),$BN$14&amp;"-"&amp;TEXT(($BM$14+22),"00"),"")</f>
        <v/>
      </c>
      <c r="N93" s="6"/>
      <c r="O93" s="9" t="str">
        <f>IF(CC93="","",CC93&amp;"-"&amp;TEXT(COUNTIF($CA$72:$CA$95,CC93)+COUNTIF($CB$72:$CB$95,CC93)+COUNTIF($CC$72:CC93,CC93),"000"))</f>
        <v/>
      </c>
      <c r="P93" s="9" t="str">
        <f>IF(AND($BN$15&lt;&gt;"",($BM$15+22)&lt;=$BO$15),$BN$15,"")</f>
        <v/>
      </c>
      <c r="Q93" s="9" t="str">
        <f>IF(AND($BN$15&lt;&gt;"",($BM$15+22)&lt;=$BO$15),TEXT(($BM$15+22),"00"),"")</f>
        <v/>
      </c>
      <c r="R93" s="9" t="str">
        <f>IF(AND($BN$15&lt;&gt;"",($BM$15+22)&lt;=$BO$15),$BN$15&amp;"-"&amp;TEXT(($BM$15+22),"00"),"")</f>
        <v/>
      </c>
      <c r="T93" s="6"/>
      <c r="U93" s="9" t="str">
        <f>IF(CD93="","",CD93&amp;"-"&amp;TEXT(COUNTIF($CA$72:$CA$95,CD93)+COUNTIF($CB$72:$CB$95,CD93)+COUNTIF($CC$72:$CC$95,CD93)+COUNTIF($CD$72:CD93,CD93),"000"))</f>
        <v/>
      </c>
      <c r="V93" s="9" t="str">
        <f>IF(AND($BN$16&lt;&gt;"",($BM$16+22)&lt;=$BO$16),$BN$16,"")</f>
        <v/>
      </c>
      <c r="W93" s="9" t="str">
        <f>IF(AND($BN$16&lt;&gt;"",($BM$16+22)&lt;=$BO$16),TEXT(($BM$16+22),"00"),"")</f>
        <v/>
      </c>
      <c r="X93" s="9" t="str">
        <f>IF(AND($BN$16&lt;&gt;"",($BM$16+22)&lt;=$BO$16),$BN$16&amp;"-"&amp;TEXT(($BM$16+22),"00"),"")</f>
        <v/>
      </c>
      <c r="BA93">
        <f>IF(OR(Catalogo!$C93="",Catalogo!$B93="Espacio libre",Catalogo!$B93="Espacio reservado"),0,COUNTIF($C$13:$C$42,Catalogo!$C93)+IF($E$7=Catalogo!$C93,N($K$7),0)+IF($E$8=Catalogo!$C93,N($N$8),0)+IF(Proyecto!$D$12=Catalogo!$C93,$AQ$4,0)+SUMIF($C$49:$C$58,Catalogo!$C93,$K$49:$K$58))</f>
        <v>0</v>
      </c>
      <c r="CA93" t="str" cm="1">
        <f t="array" ref="CA93">IF(NOT(AND($BN$13&lt;&gt;"",($BM$13+22)&lt;=$BO$13)),"",IF(B93&lt;&gt;"",IF(B93="-","",B93),IF(ISNUMBER(SEARCH(":",$BP$13)),IFERROR(_xlfn.LET(_xlpm.s,_xlfn.TEXTSPLIT($BP$13,","),_xlpm.k,FIND(":",_xlpm.s),INDEX(TRIM(LEFT(_xlpm.s,_xlpm.k-1)),_xlfn.XMATCH(($BM$13+22),_xlfn.SCAN(0,--MID(_xlpm.s,_xlpm.k+1,9),_xlfn.LAMBDA(_xlpm.a,_xlpm.v,_xlpm.a+_xlpm.v)),1))),""),IF(($BM$13+22)&lt;=$BQ$13,$BP$13,""))))</f>
        <v>D</v>
      </c>
      <c r="CB93" t="str" cm="1">
        <f t="array" ref="CB93">IF(NOT(AND($BN$14&lt;&gt;"",($BM$14+22)&lt;=$BO$14)),"",IF(H93&lt;&gt;"",IF(H93="-","",H93),IF(ISNUMBER(SEARCH(":",$BP$14)),IFERROR(_xlfn.LET(_xlpm.s,_xlfn.TEXTSPLIT($BP$14,","),_xlpm.k,FIND(":",_xlpm.s),INDEX(TRIM(LEFT(_xlpm.s,_xlpm.k-1)),_xlfn.XMATCH(($BM$14+22),_xlfn.SCAN(0,--MID(_xlpm.s,_xlpm.k+1,9),_xlfn.LAMBDA(_xlpm.a,_xlpm.v,_xlpm.a+_xlpm.v)),1))),""),IF(($BM$14+22)&lt;=$BQ$14,$BP$14,""))))</f>
        <v/>
      </c>
      <c r="CC93" t="str" cm="1">
        <f t="array" ref="CC93">IF(NOT(AND($BN$15&lt;&gt;"",($BM$15+22)&lt;=$BO$15)),"",IF(N93&lt;&gt;"",IF(N93="-","",N93),IF(ISNUMBER(SEARCH(":",$BP$15)),IFERROR(_xlfn.LET(_xlpm.s,_xlfn.TEXTSPLIT($BP$15,","),_xlpm.k,FIND(":",_xlpm.s),INDEX(TRIM(LEFT(_xlpm.s,_xlpm.k-1)),_xlfn.XMATCH(($BM$15+22),_xlfn.SCAN(0,--MID(_xlpm.s,_xlpm.k+1,9),_xlfn.LAMBDA(_xlpm.a,_xlpm.v,_xlpm.a+_xlpm.v)),1))),""),IF(($BM$15+22)&lt;=$BQ$15,$BP$15,""))))</f>
        <v/>
      </c>
      <c r="CD93" t="str" cm="1">
        <f t="array" ref="CD93">IF(NOT(AND($BN$16&lt;&gt;"",($BM$16+22)&lt;=$BO$16)),"",IF(T93&lt;&gt;"",IF(T93="-","",T93),IF(ISNUMBER(SEARCH(":",$BP$16)),IFERROR(_xlfn.LET(_xlpm.s,_xlfn.TEXTSPLIT($BP$16,","),_xlpm.k,FIND(":",_xlpm.s),INDEX(TRIM(LEFT(_xlpm.s,_xlpm.k-1)),_xlfn.XMATCH(($BM$16+22),_xlfn.SCAN(0,--MID(_xlpm.s,_xlpm.k+1,9),_xlfn.LAMBDA(_xlpm.a,_xlpm.v,_xlpm.a+_xlpm.v)),1))),""),IF(($BM$16+22)&lt;=$BQ$16,$BP$16,""))))</f>
        <v/>
      </c>
    </row>
    <row r="94" spans="2:82" hidden="1" x14ac:dyDescent="0.45">
      <c r="B94" s="6"/>
      <c r="C94" s="9" t="str">
        <f>IF(CA94="","",CA94&amp;"-"&amp;TEXT(0+COUNTIF($CA$72:CA94,CA94),"000"))</f>
        <v>D-023</v>
      </c>
      <c r="D94" s="9" t="str">
        <f>IF(AND($BN$13&lt;&gt;"",($BM$13+23)&lt;=$BO$13),$BN$13,"")</f>
        <v>1C-AA</v>
      </c>
      <c r="E94" s="9" t="str">
        <f>IF(AND($BN$13&lt;&gt;"",($BM$13+23)&lt;=$BO$13),TEXT(($BM$13+23),"00"),"")</f>
        <v>23</v>
      </c>
      <c r="F94" s="9" t="str">
        <f>IF(AND($BN$13&lt;&gt;"",($BM$13+23)&lt;=$BO$13),$BN$13&amp;"-"&amp;TEXT(($BM$13+23),"00"),"")</f>
        <v>1C-AA-23</v>
      </c>
      <c r="H94" s="6"/>
      <c r="I94" s="9" t="str">
        <f>IF(CB94="","",CB94&amp;"-"&amp;TEXT(COUNTIF($CA$72:$CA$95,CB94)+COUNTIF($CB$72:CB94,CB94),"000"))</f>
        <v/>
      </c>
      <c r="J94" s="9" t="str">
        <f>IF(AND($BN$14&lt;&gt;"",($BM$14+23)&lt;=$BO$14),$BN$14,"")</f>
        <v/>
      </c>
      <c r="K94" s="9" t="str">
        <f>IF(AND($BN$14&lt;&gt;"",($BM$14+23)&lt;=$BO$14),TEXT(($BM$14+23),"00"),"")</f>
        <v/>
      </c>
      <c r="L94" s="9" t="str">
        <f>IF(AND($BN$14&lt;&gt;"",($BM$14+23)&lt;=$BO$14),$BN$14&amp;"-"&amp;TEXT(($BM$14+23),"00"),"")</f>
        <v/>
      </c>
      <c r="N94" s="6"/>
      <c r="O94" s="9" t="str">
        <f>IF(CC94="","",CC94&amp;"-"&amp;TEXT(COUNTIF($CA$72:$CA$95,CC94)+COUNTIF($CB$72:$CB$95,CC94)+COUNTIF($CC$72:CC94,CC94),"000"))</f>
        <v/>
      </c>
      <c r="P94" s="9" t="str">
        <f>IF(AND($BN$15&lt;&gt;"",($BM$15+23)&lt;=$BO$15),$BN$15,"")</f>
        <v/>
      </c>
      <c r="Q94" s="9" t="str">
        <f>IF(AND($BN$15&lt;&gt;"",($BM$15+23)&lt;=$BO$15),TEXT(($BM$15+23),"00"),"")</f>
        <v/>
      </c>
      <c r="R94" s="9" t="str">
        <f>IF(AND($BN$15&lt;&gt;"",($BM$15+23)&lt;=$BO$15),$BN$15&amp;"-"&amp;TEXT(($BM$15+23),"00"),"")</f>
        <v/>
      </c>
      <c r="T94" s="6"/>
      <c r="U94" s="9" t="str">
        <f>IF(CD94="","",CD94&amp;"-"&amp;TEXT(COUNTIF($CA$72:$CA$95,CD94)+COUNTIF($CB$72:$CB$95,CD94)+COUNTIF($CC$72:$CC$95,CD94)+COUNTIF($CD$72:CD94,CD94),"000"))</f>
        <v/>
      </c>
      <c r="V94" s="9" t="str">
        <f>IF(AND($BN$16&lt;&gt;"",($BM$16+23)&lt;=$BO$16),$BN$16,"")</f>
        <v/>
      </c>
      <c r="W94" s="9" t="str">
        <f>IF(AND($BN$16&lt;&gt;"",($BM$16+23)&lt;=$BO$16),TEXT(($BM$16+23),"00"),"")</f>
        <v/>
      </c>
      <c r="X94" s="9" t="str">
        <f>IF(AND($BN$16&lt;&gt;"",($BM$16+23)&lt;=$BO$16),$BN$16&amp;"-"&amp;TEXT(($BM$16+23),"00"),"")</f>
        <v/>
      </c>
      <c r="BA94">
        <f>IF(OR(Catalogo!$C94="",Catalogo!$B94="Espacio libre",Catalogo!$B94="Espacio reservado"),0,COUNTIF($C$13:$C$42,Catalogo!$C94)+IF($E$7=Catalogo!$C94,N($K$7),0)+IF($E$8=Catalogo!$C94,N($N$8),0)+IF(Proyecto!$D$12=Catalogo!$C94,$AQ$4,0)+SUMIF($C$49:$C$58,Catalogo!$C94,$K$49:$K$58))</f>
        <v>1</v>
      </c>
      <c r="CA94" t="str" cm="1">
        <f t="array" ref="CA94">IF(NOT(AND($BN$13&lt;&gt;"",($BM$13+23)&lt;=$BO$13)),"",IF(B94&lt;&gt;"",IF(B94="-","",B94),IF(ISNUMBER(SEARCH(":",$BP$13)),IFERROR(_xlfn.LET(_xlpm.s,_xlfn.TEXTSPLIT($BP$13,","),_xlpm.k,FIND(":",_xlpm.s),INDEX(TRIM(LEFT(_xlpm.s,_xlpm.k-1)),_xlfn.XMATCH(($BM$13+23),_xlfn.SCAN(0,--MID(_xlpm.s,_xlpm.k+1,9),_xlfn.LAMBDA(_xlpm.a,_xlpm.v,_xlpm.a+_xlpm.v)),1))),""),IF(($BM$13+23)&lt;=$BQ$13,$BP$13,""))))</f>
        <v>D</v>
      </c>
      <c r="CB94" t="str" cm="1">
        <f t="array" ref="CB94">IF(NOT(AND($BN$14&lt;&gt;"",($BM$14+23)&lt;=$BO$14)),"",IF(H94&lt;&gt;"",IF(H94="-","",H94),IF(ISNUMBER(SEARCH(":",$BP$14)),IFERROR(_xlfn.LET(_xlpm.s,_xlfn.TEXTSPLIT($BP$14,","),_xlpm.k,FIND(":",_xlpm.s),INDEX(TRIM(LEFT(_xlpm.s,_xlpm.k-1)),_xlfn.XMATCH(($BM$14+23),_xlfn.SCAN(0,--MID(_xlpm.s,_xlpm.k+1,9),_xlfn.LAMBDA(_xlpm.a,_xlpm.v,_xlpm.a+_xlpm.v)),1))),""),IF(($BM$14+23)&lt;=$BQ$14,$BP$14,""))))</f>
        <v/>
      </c>
      <c r="CC94" t="str" cm="1">
        <f t="array" ref="CC94">IF(NOT(AND($BN$15&lt;&gt;"",($BM$15+23)&lt;=$BO$15)),"",IF(N94&lt;&gt;"",IF(N94="-","",N94),IF(ISNUMBER(SEARCH(":",$BP$15)),IFERROR(_xlfn.LET(_xlpm.s,_xlfn.TEXTSPLIT($BP$15,","),_xlpm.k,FIND(":",_xlpm.s),INDEX(TRIM(LEFT(_xlpm.s,_xlpm.k-1)),_xlfn.XMATCH(($BM$15+23),_xlfn.SCAN(0,--MID(_xlpm.s,_xlpm.k+1,9),_xlfn.LAMBDA(_xlpm.a,_xlpm.v,_xlpm.a+_xlpm.v)),1))),""),IF(($BM$15+23)&lt;=$BQ$15,$BP$15,""))))</f>
        <v/>
      </c>
      <c r="CD94" t="str" cm="1">
        <f t="array" ref="CD94">IF(NOT(AND($BN$16&lt;&gt;"",($BM$16+23)&lt;=$BO$16)),"",IF(T94&lt;&gt;"",IF(T94="-","",T94),IF(ISNUMBER(SEARCH(":",$BP$16)),IFERROR(_xlfn.LET(_xlpm.s,_xlfn.TEXTSPLIT($BP$16,","),_xlpm.k,FIND(":",_xlpm.s),INDEX(TRIM(LEFT(_xlpm.s,_xlpm.k-1)),_xlfn.XMATCH(($BM$16+23),_xlfn.SCAN(0,--MID(_xlpm.s,_xlpm.k+1,9),_xlfn.LAMBDA(_xlpm.a,_xlpm.v,_xlpm.a+_xlpm.v)),1))),""),IF(($BM$16+23)&lt;=$BQ$16,$BP$16,""))))</f>
        <v/>
      </c>
    </row>
    <row r="95" spans="2:82" hidden="1" x14ac:dyDescent="0.45">
      <c r="B95" s="6"/>
      <c r="C95" s="9" t="str">
        <f>IF(CA95="","",CA95&amp;"-"&amp;TEXT(0+COUNTIF($CA$72:CA95,CA95),"000"))</f>
        <v>D-024</v>
      </c>
      <c r="D95" s="9" t="str">
        <f>IF(AND($BN$13&lt;&gt;"",($BM$13+24)&lt;=$BO$13),$BN$13,"")</f>
        <v>1C-AA</v>
      </c>
      <c r="E95" s="9" t="str">
        <f>IF(AND($BN$13&lt;&gt;"",($BM$13+24)&lt;=$BO$13),TEXT(($BM$13+24),"00"),"")</f>
        <v>24</v>
      </c>
      <c r="F95" s="9" t="str">
        <f>IF(AND($BN$13&lt;&gt;"",($BM$13+24)&lt;=$BO$13),$BN$13&amp;"-"&amp;TEXT(($BM$13+24),"00"),"")</f>
        <v>1C-AA-24</v>
      </c>
      <c r="H95" s="6"/>
      <c r="I95" s="9" t="str">
        <f>IF(CB95="","",CB95&amp;"-"&amp;TEXT(COUNTIF($CA$72:$CA$95,CB95)+COUNTIF($CB$72:CB95,CB95),"000"))</f>
        <v/>
      </c>
      <c r="J95" s="9" t="str">
        <f>IF(AND($BN$14&lt;&gt;"",($BM$14+24)&lt;=$BO$14),$BN$14,"")</f>
        <v/>
      </c>
      <c r="K95" s="9" t="str">
        <f>IF(AND($BN$14&lt;&gt;"",($BM$14+24)&lt;=$BO$14),TEXT(($BM$14+24),"00"),"")</f>
        <v/>
      </c>
      <c r="L95" s="9" t="str">
        <f>IF(AND($BN$14&lt;&gt;"",($BM$14+24)&lt;=$BO$14),$BN$14&amp;"-"&amp;TEXT(($BM$14+24),"00"),"")</f>
        <v/>
      </c>
      <c r="N95" s="6"/>
      <c r="O95" s="9" t="str">
        <f>IF(CC95="","",CC95&amp;"-"&amp;TEXT(COUNTIF($CA$72:$CA$95,CC95)+COUNTIF($CB$72:$CB$95,CC95)+COUNTIF($CC$72:CC95,CC95),"000"))</f>
        <v/>
      </c>
      <c r="P95" s="9" t="str">
        <f>IF(AND($BN$15&lt;&gt;"",($BM$15+24)&lt;=$BO$15),$BN$15,"")</f>
        <v/>
      </c>
      <c r="Q95" s="9" t="str">
        <f>IF(AND($BN$15&lt;&gt;"",($BM$15+24)&lt;=$BO$15),TEXT(($BM$15+24),"00"),"")</f>
        <v/>
      </c>
      <c r="R95" s="9" t="str">
        <f>IF(AND($BN$15&lt;&gt;"",($BM$15+24)&lt;=$BO$15),$BN$15&amp;"-"&amp;TEXT(($BM$15+24),"00"),"")</f>
        <v/>
      </c>
      <c r="T95" s="6"/>
      <c r="U95" s="9" t="str">
        <f>IF(CD95="","",CD95&amp;"-"&amp;TEXT(COUNTIF($CA$72:$CA$95,CD95)+COUNTIF($CB$72:$CB$95,CD95)+COUNTIF($CC$72:$CC$95,CD95)+COUNTIF($CD$72:CD95,CD95),"000"))</f>
        <v/>
      </c>
      <c r="V95" s="9" t="str">
        <f>IF(AND($BN$16&lt;&gt;"",($BM$16+24)&lt;=$BO$16),$BN$16,"")</f>
        <v/>
      </c>
      <c r="W95" s="9" t="str">
        <f>IF(AND($BN$16&lt;&gt;"",($BM$16+24)&lt;=$BO$16),TEXT(($BM$16+24),"00"),"")</f>
        <v/>
      </c>
      <c r="X95" s="9" t="str">
        <f>IF(AND($BN$16&lt;&gt;"",($BM$16+24)&lt;=$BO$16),$BN$16&amp;"-"&amp;TEXT(($BM$16+24),"00"),"")</f>
        <v/>
      </c>
      <c r="BA95">
        <f>IF(OR(Catalogo!$C95="",Catalogo!$B95="Espacio libre",Catalogo!$B95="Espacio reservado"),0,COUNTIF($C$13:$C$42,Catalogo!$C95)+IF($E$7=Catalogo!$C95,N($K$7),0)+IF($E$8=Catalogo!$C95,N($N$8),0)+IF(Proyecto!$D$12=Catalogo!$C95,$AQ$4,0)+SUMIF($C$49:$C$58,Catalogo!$C95,$K$49:$K$58))</f>
        <v>0</v>
      </c>
      <c r="CA95" t="str" cm="1">
        <f t="array" ref="CA95">IF(NOT(AND($BN$13&lt;&gt;"",($BM$13+24)&lt;=$BO$13)),"",IF(B95&lt;&gt;"",IF(B95="-","",B95),IF(ISNUMBER(SEARCH(":",$BP$13)),IFERROR(_xlfn.LET(_xlpm.s,_xlfn.TEXTSPLIT($BP$13,","),_xlpm.k,FIND(":",_xlpm.s),INDEX(TRIM(LEFT(_xlpm.s,_xlpm.k-1)),_xlfn.XMATCH(($BM$13+24),_xlfn.SCAN(0,--MID(_xlpm.s,_xlpm.k+1,9),_xlfn.LAMBDA(_xlpm.a,_xlpm.v,_xlpm.a+_xlpm.v)),1))),""),IF(($BM$13+24)&lt;=$BQ$13,$BP$13,""))))</f>
        <v>D</v>
      </c>
      <c r="CB95" t="str" cm="1">
        <f t="array" ref="CB95">IF(NOT(AND($BN$14&lt;&gt;"",($BM$14+24)&lt;=$BO$14)),"",IF(H95&lt;&gt;"",IF(H95="-","",H95),IF(ISNUMBER(SEARCH(":",$BP$14)),IFERROR(_xlfn.LET(_xlpm.s,_xlfn.TEXTSPLIT($BP$14,","),_xlpm.k,FIND(":",_xlpm.s),INDEX(TRIM(LEFT(_xlpm.s,_xlpm.k-1)),_xlfn.XMATCH(($BM$14+24),_xlfn.SCAN(0,--MID(_xlpm.s,_xlpm.k+1,9),_xlfn.LAMBDA(_xlpm.a,_xlpm.v,_xlpm.a+_xlpm.v)),1))),""),IF(($BM$14+24)&lt;=$BQ$14,$BP$14,""))))</f>
        <v/>
      </c>
      <c r="CC95" t="str" cm="1">
        <f t="array" ref="CC95">IF(NOT(AND($BN$15&lt;&gt;"",($BM$15+24)&lt;=$BO$15)),"",IF(N95&lt;&gt;"",IF(N95="-","",N95),IF(ISNUMBER(SEARCH(":",$BP$15)),IFERROR(_xlfn.LET(_xlpm.s,_xlfn.TEXTSPLIT($BP$15,","),_xlpm.k,FIND(":",_xlpm.s),INDEX(TRIM(LEFT(_xlpm.s,_xlpm.k-1)),_xlfn.XMATCH(($BM$15+24),_xlfn.SCAN(0,--MID(_xlpm.s,_xlpm.k+1,9),_xlfn.LAMBDA(_xlpm.a,_xlpm.v,_xlpm.a+_xlpm.v)),1))),""),IF(($BM$15+24)&lt;=$BQ$15,$BP$15,""))))</f>
        <v/>
      </c>
      <c r="CD95" t="str" cm="1">
        <f t="array" ref="CD95">IF(NOT(AND($BN$16&lt;&gt;"",($BM$16+24)&lt;=$BO$16)),"",IF(T95&lt;&gt;"",IF(T95="-","",T95),IF(ISNUMBER(SEARCH(":",$BP$16)),IFERROR(_xlfn.LET(_xlpm.s,_xlfn.TEXTSPLIT($BP$16,","),_xlpm.k,FIND(":",_xlpm.s),INDEX(TRIM(LEFT(_xlpm.s,_xlpm.k-1)),_xlfn.XMATCH(($BM$16+24),_xlfn.SCAN(0,--MID(_xlpm.s,_xlpm.k+1,9),_xlfn.LAMBDA(_xlpm.a,_xlpm.v,_xlpm.a+_xlpm.v)),1))),""),IF(($BM$16+24)&lt;=$BQ$16,$BP$16,""))))</f>
        <v/>
      </c>
    </row>
    <row r="96" spans="2:82" hidden="1" x14ac:dyDescent="0.45">
      <c r="BA96">
        <f>IF(OR(Catalogo!$C96="",Catalogo!$B96="Espacio libre",Catalogo!$B96="Espacio reservado"),0,COUNTIF($C$13:$C$42,Catalogo!$C96)+IF($E$7=Catalogo!$C96,N($K$7),0)+IF($E$8=Catalogo!$C96,N($N$8),0)+IF(Proyecto!$D$12=Catalogo!$C96,$AQ$4,0)+SUMIF($C$49:$C$58,Catalogo!$C96,$K$49:$K$58))</f>
        <v>1</v>
      </c>
    </row>
    <row r="97" spans="2:82" hidden="1" x14ac:dyDescent="0.45">
      <c r="BA97">
        <f>IF(OR(Catalogo!$C97="",Catalogo!$B97="Espacio libre",Catalogo!$B97="Espacio reservado"),0,COUNTIF($C$13:$C$42,Catalogo!$C97)+IF($E$7=Catalogo!$C97,N($K$7),0)+IF($E$8=Catalogo!$C97,N($N$8),0)+IF(Proyecto!$D$12=Catalogo!$C97,$AQ$4,0)+SUMIF($C$49:$C$58,Catalogo!$C97,$K$49:$K$58))</f>
        <v>0</v>
      </c>
    </row>
    <row r="98" spans="2:82" hidden="1" x14ac:dyDescent="0.45">
      <c r="B98" s="51" t="str">
        <f>IF($BN$17="","Bloque 5 — sin panel","Panel "&amp;$BN$17&amp;"  (puertos "&amp;($BM$17+1)&amp;"-"&amp;MIN($BM$17+24,$BO$17)&amp;")"&amp;IF($BP$17&lt;&gt;"","  · "&amp;$BP$17,"")&amp;"  · "&amp;TEXT(IFERROR(INDEX($BS$13:$BS$28,$BL$17)/$BO$17,0),"0%"))</f>
        <v>Bloque 5 — sin panel</v>
      </c>
      <c r="C98" s="40"/>
      <c r="D98" s="40"/>
      <c r="E98" s="40"/>
      <c r="F98" s="40"/>
      <c r="H98" s="51" t="str">
        <f>IF($BN$18="","Bloque 6 — sin panel","Panel "&amp;$BN$18&amp;"  (puertos "&amp;($BM$18+1)&amp;"-"&amp;MIN($BM$18+24,$BO$18)&amp;")"&amp;IF($BP$18&lt;&gt;"","  · "&amp;$BP$18,"")&amp;"  · "&amp;TEXT(IFERROR(INDEX($BS$13:$BS$28,$BL$18)/$BO$18,0),"0%"))</f>
        <v>Bloque 6 — sin panel</v>
      </c>
      <c r="I98" s="40"/>
      <c r="J98" s="40"/>
      <c r="K98" s="40"/>
      <c r="L98" s="40"/>
      <c r="N98" s="51" t="str">
        <f>IF($BN$19="","Bloque 7 — sin panel","Panel "&amp;$BN$19&amp;"  (puertos "&amp;($BM$19+1)&amp;"-"&amp;MIN($BM$19+24,$BO$19)&amp;")"&amp;IF($BP$19&lt;&gt;"","  · "&amp;$BP$19,"")&amp;"  · "&amp;TEXT(IFERROR(INDEX($BS$13:$BS$28,$BL$19)/$BO$19,0),"0%"))</f>
        <v>Bloque 7 — sin panel</v>
      </c>
      <c r="O98" s="40"/>
      <c r="P98" s="40"/>
      <c r="Q98" s="40"/>
      <c r="R98" s="40"/>
      <c r="T98" s="51" t="str">
        <f>IF($BN$20="","Bloque 8 — sin panel","Panel "&amp;$BN$20&amp;"  (puertos "&amp;($BM$20+1)&amp;"-"&amp;MIN($BM$20+24,$BO$20)&amp;")"&amp;IF($BP$20&lt;&gt;"","  · "&amp;$BP$20,"")&amp;"  · "&amp;TEXT(IFERROR(INDEX($BS$13:$BS$28,$BL$20)/$BO$20,0),"0%"))</f>
        <v>Bloque 8 — sin panel</v>
      </c>
      <c r="U98" s="40"/>
      <c r="V98" s="40"/>
      <c r="W98" s="40"/>
      <c r="X98" s="40"/>
      <c r="BA98">
        <f>IF(OR(Catalogo!$C98="",Catalogo!$B98="Espacio libre",Catalogo!$B98="Espacio reservado"),0,COUNTIF($C$13:$C$42,Catalogo!$C98)+IF($E$7=Catalogo!$C98,N($K$7),0)+IF($E$8=Catalogo!$C98,N($N$8),0)+IF(Proyecto!$D$12=Catalogo!$C98,$AQ$4,0)+SUMIF($C$49:$C$58,Catalogo!$C98,$K$49:$K$58))</f>
        <v>1</v>
      </c>
    </row>
    <row r="99" spans="2:82" hidden="1" x14ac:dyDescent="0.45">
      <c r="B99" s="5" t="s">
        <v>410</v>
      </c>
      <c r="C99" s="5" t="s">
        <v>411</v>
      </c>
      <c r="D99" s="5" t="s">
        <v>389</v>
      </c>
      <c r="E99" s="5" t="s">
        <v>412</v>
      </c>
      <c r="F99" s="5" t="s">
        <v>413</v>
      </c>
      <c r="H99" s="5" t="s">
        <v>410</v>
      </c>
      <c r="I99" s="5" t="s">
        <v>411</v>
      </c>
      <c r="J99" s="5" t="s">
        <v>389</v>
      </c>
      <c r="K99" s="5" t="s">
        <v>412</v>
      </c>
      <c r="L99" s="5" t="s">
        <v>413</v>
      </c>
      <c r="N99" s="5" t="s">
        <v>410</v>
      </c>
      <c r="O99" s="5" t="s">
        <v>411</v>
      </c>
      <c r="P99" s="5" t="s">
        <v>389</v>
      </c>
      <c r="Q99" s="5" t="s">
        <v>412</v>
      </c>
      <c r="R99" s="5" t="s">
        <v>413</v>
      </c>
      <c r="T99" s="5" t="s">
        <v>410</v>
      </c>
      <c r="U99" s="5" t="s">
        <v>411</v>
      </c>
      <c r="V99" s="5" t="s">
        <v>389</v>
      </c>
      <c r="W99" s="5" t="s">
        <v>412</v>
      </c>
      <c r="X99" s="5" t="s">
        <v>413</v>
      </c>
      <c r="BA99">
        <f>IF(OR(Catalogo!$C99="",Catalogo!$B99="Espacio libre",Catalogo!$B99="Espacio reservado"),0,COUNTIF($C$13:$C$42,Catalogo!$C99)+IF($E$7=Catalogo!$C99,N($K$7),0)+IF($E$8=Catalogo!$C99,N($N$8),0)+IF(Proyecto!$D$12=Catalogo!$C99,$AQ$4,0)+SUMIF($C$49:$C$58,Catalogo!$C99,$K$49:$K$58))</f>
        <v>0</v>
      </c>
    </row>
    <row r="100" spans="2:82" hidden="1" x14ac:dyDescent="0.45">
      <c r="B100" s="6"/>
      <c r="C100" s="9" t="str">
        <f>IF(CA100="","",CA100&amp;"-"&amp;TEXT(COUNTIF($CA$72:$CA$95,CA100)+COUNTIF($CB$72:$CB$95,CA100)+COUNTIF($CC$72:$CC$95,CA100)+COUNTIF($CD$72:$CD$95,CA100)+COUNTIF($CA$100:CA100,CA100),"000"))</f>
        <v/>
      </c>
      <c r="D100" s="9" t="str">
        <f>IF(AND($BN$17&lt;&gt;"",($BM$17+1)&lt;=$BO$17),$BN$17,"")</f>
        <v/>
      </c>
      <c r="E100" s="9" t="str">
        <f>IF(AND($BN$17&lt;&gt;"",($BM$17+1)&lt;=$BO$17),TEXT(($BM$17+1),"00"),"")</f>
        <v/>
      </c>
      <c r="F100" s="9" t="str">
        <f>IF(AND($BN$17&lt;&gt;"",($BM$17+1)&lt;=$BO$17),$BN$17&amp;"-"&amp;TEXT(($BM$17+1),"00"),"")</f>
        <v/>
      </c>
      <c r="H100" s="6"/>
      <c r="I100" s="9" t="str">
        <f>IF(CB100="","",CB100&amp;"-"&amp;TEXT(COUNTIF($CA$72:$CA$95,CB100)+COUNTIF($CB$72:$CB$95,CB100)+COUNTIF($CC$72:$CC$95,CB100)+COUNTIF($CD$72:$CD$95,CB100)+COUNTIF($CA$100:$CA$123,CB100)+COUNTIF($CB$100:CB100,CB100),"000"))</f>
        <v/>
      </c>
      <c r="J100" s="9" t="str">
        <f>IF(AND($BN$18&lt;&gt;"",($BM$18+1)&lt;=$BO$18),$BN$18,"")</f>
        <v/>
      </c>
      <c r="K100" s="9" t="str">
        <f>IF(AND($BN$18&lt;&gt;"",($BM$18+1)&lt;=$BO$18),TEXT(($BM$18+1),"00"),"")</f>
        <v/>
      </c>
      <c r="L100" s="9" t="str">
        <f>IF(AND($BN$18&lt;&gt;"",($BM$18+1)&lt;=$BO$18),$BN$18&amp;"-"&amp;TEXT(($BM$18+1),"00"),"")</f>
        <v/>
      </c>
      <c r="N100" s="6"/>
      <c r="O100" s="9" t="str">
        <f>IF(CC100="","",CC100&amp;"-"&amp;TEXT(COUNTIF($CA$72:$CA$95,CC100)+COUNTIF($CB$72:$CB$95,CC100)+COUNTIF($CC$72:$CC$95,CC100)+COUNTIF($CD$72:$CD$95,CC100)+COUNTIF($CA$100:$CA$123,CC100)+COUNTIF($CB$100:$CB$123,CC100)+COUNTIF($CC$100:CC100,CC100),"000"))</f>
        <v/>
      </c>
      <c r="P100" s="9" t="str">
        <f>IF(AND($BN$19&lt;&gt;"",($BM$19+1)&lt;=$BO$19),$BN$19,"")</f>
        <v/>
      </c>
      <c r="Q100" s="9" t="str">
        <f>IF(AND($BN$19&lt;&gt;"",($BM$19+1)&lt;=$BO$19),TEXT(($BM$19+1),"00"),"")</f>
        <v/>
      </c>
      <c r="R100" s="9" t="str">
        <f>IF(AND($BN$19&lt;&gt;"",($BM$19+1)&lt;=$BO$19),$BN$19&amp;"-"&amp;TEXT(($BM$19+1),"00"),"")</f>
        <v/>
      </c>
      <c r="T100" s="6"/>
      <c r="U100" s="9" t="str">
        <f>IF(CD100="","",CD100&amp;"-"&amp;TEXT(COUNTIF($CA$72:$CA$95,CD100)+COUNTIF($CB$72:$CB$95,CD100)+COUNTIF($CC$72:$CC$95,CD100)+COUNTIF($CD$72:$CD$95,CD100)+COUNTIF($CA$100:$CA$123,CD100)+COUNTIF($CB$100:$CB$123,CD100)+COUNTIF($CC$100:$CC$123,CD100)+COUNTIF($CD$100:CD100,CD100),"000"))</f>
        <v/>
      </c>
      <c r="V100" s="9" t="str">
        <f>IF(AND($BN$20&lt;&gt;"",($BM$20+1)&lt;=$BO$20),$BN$20,"")</f>
        <v/>
      </c>
      <c r="W100" s="9" t="str">
        <f>IF(AND($BN$20&lt;&gt;"",($BM$20+1)&lt;=$BO$20),TEXT(($BM$20+1),"00"),"")</f>
        <v/>
      </c>
      <c r="X100" s="9" t="str">
        <f>IF(AND($BN$20&lt;&gt;"",($BM$20+1)&lt;=$BO$20),$BN$20&amp;"-"&amp;TEXT(($BM$20+1),"00"),"")</f>
        <v/>
      </c>
      <c r="BA100">
        <f>IF(OR(Catalogo!$C100="",Catalogo!$B100="Espacio libre",Catalogo!$B100="Espacio reservado"),0,COUNTIF($C$13:$C$42,Catalogo!$C100)+IF($E$7=Catalogo!$C100,N($K$7),0)+IF($E$8=Catalogo!$C100,N($N$8),0)+IF(Proyecto!$D$12=Catalogo!$C100,$AQ$4,0)+SUMIF($C$49:$C$58,Catalogo!$C100,$K$49:$K$58))</f>
        <v>1</v>
      </c>
      <c r="CA100" t="str" cm="1">
        <f t="array" ref="CA100">IF(NOT(AND($BN$17&lt;&gt;"",($BM$17+1)&lt;=$BO$17)),"",IF(B100&lt;&gt;"",IF(B100="-","",B100),IF(ISNUMBER(SEARCH(":",$BP$17)),IFERROR(_xlfn.LET(_xlpm.s,_xlfn.TEXTSPLIT($BP$17,","),_xlpm.k,FIND(":",_xlpm.s),INDEX(TRIM(LEFT(_xlpm.s,_xlpm.k-1)),_xlfn.XMATCH(($BM$17+1),_xlfn.SCAN(0,--MID(_xlpm.s,_xlpm.k+1,9),_xlfn.LAMBDA(_xlpm.a,_xlpm.v,_xlpm.a+_xlpm.v)),1))),""),IF(($BM$17+1)&lt;=$BQ$17,$BP$17,""))))</f>
        <v/>
      </c>
      <c r="CB100" t="str" cm="1">
        <f t="array" ref="CB100">IF(NOT(AND($BN$18&lt;&gt;"",($BM$18+1)&lt;=$BO$18)),"",IF(H100&lt;&gt;"",IF(H100="-","",H100),IF(ISNUMBER(SEARCH(":",$BP$18)),IFERROR(_xlfn.LET(_xlpm.s,_xlfn.TEXTSPLIT($BP$18,","),_xlpm.k,FIND(":",_xlpm.s),INDEX(TRIM(LEFT(_xlpm.s,_xlpm.k-1)),_xlfn.XMATCH(($BM$18+1),_xlfn.SCAN(0,--MID(_xlpm.s,_xlpm.k+1,9),_xlfn.LAMBDA(_xlpm.a,_xlpm.v,_xlpm.a+_xlpm.v)),1))),""),IF(($BM$18+1)&lt;=$BQ$18,$BP$18,""))))</f>
        <v/>
      </c>
      <c r="CC100" t="str" cm="1">
        <f t="array" ref="CC100">IF(NOT(AND($BN$19&lt;&gt;"",($BM$19+1)&lt;=$BO$19)),"",IF(N100&lt;&gt;"",IF(N100="-","",N100),IF(ISNUMBER(SEARCH(":",$BP$19)),IFERROR(_xlfn.LET(_xlpm.s,_xlfn.TEXTSPLIT($BP$19,","),_xlpm.k,FIND(":",_xlpm.s),INDEX(TRIM(LEFT(_xlpm.s,_xlpm.k-1)),_xlfn.XMATCH(($BM$19+1),_xlfn.SCAN(0,--MID(_xlpm.s,_xlpm.k+1,9),_xlfn.LAMBDA(_xlpm.a,_xlpm.v,_xlpm.a+_xlpm.v)),1))),""),IF(($BM$19+1)&lt;=$BQ$19,$BP$19,""))))</f>
        <v/>
      </c>
      <c r="CD100" t="str" cm="1">
        <f t="array" ref="CD100">IF(NOT(AND($BN$20&lt;&gt;"",($BM$20+1)&lt;=$BO$20)),"",IF(T100&lt;&gt;"",IF(T100="-","",T100),IF(ISNUMBER(SEARCH(":",$BP$20)),IFERROR(_xlfn.LET(_xlpm.s,_xlfn.TEXTSPLIT($BP$20,","),_xlpm.k,FIND(":",_xlpm.s),INDEX(TRIM(LEFT(_xlpm.s,_xlpm.k-1)),_xlfn.XMATCH(($BM$20+1),_xlfn.SCAN(0,--MID(_xlpm.s,_xlpm.k+1,9),_xlfn.LAMBDA(_xlpm.a,_xlpm.v,_xlpm.a+_xlpm.v)),1))),""),IF(($BM$20+1)&lt;=$BQ$20,$BP$20,""))))</f>
        <v/>
      </c>
    </row>
    <row r="101" spans="2:82" hidden="1" x14ac:dyDescent="0.45">
      <c r="B101" s="6"/>
      <c r="C101" s="9" t="str">
        <f>IF(CA101="","",CA101&amp;"-"&amp;TEXT(COUNTIF($CA$72:$CA$95,CA101)+COUNTIF($CB$72:$CB$95,CA101)+COUNTIF($CC$72:$CC$95,CA101)+COUNTIF($CD$72:$CD$95,CA101)+COUNTIF($CA$100:CA101,CA101),"000"))</f>
        <v/>
      </c>
      <c r="D101" s="9" t="str">
        <f>IF(AND($BN$17&lt;&gt;"",($BM$17+2)&lt;=$BO$17),$BN$17,"")</f>
        <v/>
      </c>
      <c r="E101" s="9" t="str">
        <f>IF(AND($BN$17&lt;&gt;"",($BM$17+2)&lt;=$BO$17),TEXT(($BM$17+2),"00"),"")</f>
        <v/>
      </c>
      <c r="F101" s="9" t="str">
        <f>IF(AND($BN$17&lt;&gt;"",($BM$17+2)&lt;=$BO$17),$BN$17&amp;"-"&amp;TEXT(($BM$17+2),"00"),"")</f>
        <v/>
      </c>
      <c r="H101" s="6"/>
      <c r="I101" s="9" t="str">
        <f>IF(CB101="","",CB101&amp;"-"&amp;TEXT(COUNTIF($CA$72:$CA$95,CB101)+COUNTIF($CB$72:$CB$95,CB101)+COUNTIF($CC$72:$CC$95,CB101)+COUNTIF($CD$72:$CD$95,CB101)+COUNTIF($CA$100:$CA$123,CB101)+COUNTIF($CB$100:CB101,CB101),"000"))</f>
        <v/>
      </c>
      <c r="J101" s="9" t="str">
        <f>IF(AND($BN$18&lt;&gt;"",($BM$18+2)&lt;=$BO$18),$BN$18,"")</f>
        <v/>
      </c>
      <c r="K101" s="9" t="str">
        <f>IF(AND($BN$18&lt;&gt;"",($BM$18+2)&lt;=$BO$18),TEXT(($BM$18+2),"00"),"")</f>
        <v/>
      </c>
      <c r="L101" s="9" t="str">
        <f>IF(AND($BN$18&lt;&gt;"",($BM$18+2)&lt;=$BO$18),$BN$18&amp;"-"&amp;TEXT(($BM$18+2),"00"),"")</f>
        <v/>
      </c>
      <c r="N101" s="6"/>
      <c r="O101" s="9" t="str">
        <f>IF(CC101="","",CC101&amp;"-"&amp;TEXT(COUNTIF($CA$72:$CA$95,CC101)+COUNTIF($CB$72:$CB$95,CC101)+COUNTIF($CC$72:$CC$95,CC101)+COUNTIF($CD$72:$CD$95,CC101)+COUNTIF($CA$100:$CA$123,CC101)+COUNTIF($CB$100:$CB$123,CC101)+COUNTIF($CC$100:CC101,CC101),"000"))</f>
        <v/>
      </c>
      <c r="P101" s="9" t="str">
        <f>IF(AND($BN$19&lt;&gt;"",($BM$19+2)&lt;=$BO$19),$BN$19,"")</f>
        <v/>
      </c>
      <c r="Q101" s="9" t="str">
        <f>IF(AND($BN$19&lt;&gt;"",($BM$19+2)&lt;=$BO$19),TEXT(($BM$19+2),"00"),"")</f>
        <v/>
      </c>
      <c r="R101" s="9" t="str">
        <f>IF(AND($BN$19&lt;&gt;"",($BM$19+2)&lt;=$BO$19),$BN$19&amp;"-"&amp;TEXT(($BM$19+2),"00"),"")</f>
        <v/>
      </c>
      <c r="T101" s="6"/>
      <c r="U101" s="9" t="str">
        <f>IF(CD101="","",CD101&amp;"-"&amp;TEXT(COUNTIF($CA$72:$CA$95,CD101)+COUNTIF($CB$72:$CB$95,CD101)+COUNTIF($CC$72:$CC$95,CD101)+COUNTIF($CD$72:$CD$95,CD101)+COUNTIF($CA$100:$CA$123,CD101)+COUNTIF($CB$100:$CB$123,CD101)+COUNTIF($CC$100:$CC$123,CD101)+COUNTIF($CD$100:CD101,CD101),"000"))</f>
        <v/>
      </c>
      <c r="V101" s="9" t="str">
        <f>IF(AND($BN$20&lt;&gt;"",($BM$20+2)&lt;=$BO$20),$BN$20,"")</f>
        <v/>
      </c>
      <c r="W101" s="9" t="str">
        <f>IF(AND($BN$20&lt;&gt;"",($BM$20+2)&lt;=$BO$20),TEXT(($BM$20+2),"00"),"")</f>
        <v/>
      </c>
      <c r="X101" s="9" t="str">
        <f>IF(AND($BN$20&lt;&gt;"",($BM$20+2)&lt;=$BO$20),$BN$20&amp;"-"&amp;TEXT(($BM$20+2),"00"),"")</f>
        <v/>
      </c>
      <c r="BA101">
        <f>IF(OR(Catalogo!$C101="",Catalogo!$B101="Espacio libre",Catalogo!$B101="Espacio reservado"),0,COUNTIF($C$13:$C$42,Catalogo!$C101)+IF($E$7=Catalogo!$C101,N($K$7),0)+IF($E$8=Catalogo!$C101,N($N$8),0)+IF(Proyecto!$D$12=Catalogo!$C101,$AQ$4,0)+SUMIF($C$49:$C$58,Catalogo!$C101,$K$49:$K$58))</f>
        <v>0</v>
      </c>
      <c r="CA101" t="str" cm="1">
        <f t="array" ref="CA101">IF(NOT(AND($BN$17&lt;&gt;"",($BM$17+2)&lt;=$BO$17)),"",IF(B101&lt;&gt;"",IF(B101="-","",B101),IF(ISNUMBER(SEARCH(":",$BP$17)),IFERROR(_xlfn.LET(_xlpm.s,_xlfn.TEXTSPLIT($BP$17,","),_xlpm.k,FIND(":",_xlpm.s),INDEX(TRIM(LEFT(_xlpm.s,_xlpm.k-1)),_xlfn.XMATCH(($BM$17+2),_xlfn.SCAN(0,--MID(_xlpm.s,_xlpm.k+1,9),_xlfn.LAMBDA(_xlpm.a,_xlpm.v,_xlpm.a+_xlpm.v)),1))),""),IF(($BM$17+2)&lt;=$BQ$17,$BP$17,""))))</f>
        <v/>
      </c>
      <c r="CB101" t="str" cm="1">
        <f t="array" ref="CB101">IF(NOT(AND($BN$18&lt;&gt;"",($BM$18+2)&lt;=$BO$18)),"",IF(H101&lt;&gt;"",IF(H101="-","",H101),IF(ISNUMBER(SEARCH(":",$BP$18)),IFERROR(_xlfn.LET(_xlpm.s,_xlfn.TEXTSPLIT($BP$18,","),_xlpm.k,FIND(":",_xlpm.s),INDEX(TRIM(LEFT(_xlpm.s,_xlpm.k-1)),_xlfn.XMATCH(($BM$18+2),_xlfn.SCAN(0,--MID(_xlpm.s,_xlpm.k+1,9),_xlfn.LAMBDA(_xlpm.a,_xlpm.v,_xlpm.a+_xlpm.v)),1))),""),IF(($BM$18+2)&lt;=$BQ$18,$BP$18,""))))</f>
        <v/>
      </c>
      <c r="CC101" t="str" cm="1">
        <f t="array" ref="CC101">IF(NOT(AND($BN$19&lt;&gt;"",($BM$19+2)&lt;=$BO$19)),"",IF(N101&lt;&gt;"",IF(N101="-","",N101),IF(ISNUMBER(SEARCH(":",$BP$19)),IFERROR(_xlfn.LET(_xlpm.s,_xlfn.TEXTSPLIT($BP$19,","),_xlpm.k,FIND(":",_xlpm.s),INDEX(TRIM(LEFT(_xlpm.s,_xlpm.k-1)),_xlfn.XMATCH(($BM$19+2),_xlfn.SCAN(0,--MID(_xlpm.s,_xlpm.k+1,9),_xlfn.LAMBDA(_xlpm.a,_xlpm.v,_xlpm.a+_xlpm.v)),1))),""),IF(($BM$19+2)&lt;=$BQ$19,$BP$19,""))))</f>
        <v/>
      </c>
      <c r="CD101" t="str" cm="1">
        <f t="array" ref="CD101">IF(NOT(AND($BN$20&lt;&gt;"",($BM$20+2)&lt;=$BO$20)),"",IF(T101&lt;&gt;"",IF(T101="-","",T101),IF(ISNUMBER(SEARCH(":",$BP$20)),IFERROR(_xlfn.LET(_xlpm.s,_xlfn.TEXTSPLIT($BP$20,","),_xlpm.k,FIND(":",_xlpm.s),INDEX(TRIM(LEFT(_xlpm.s,_xlpm.k-1)),_xlfn.XMATCH(($BM$20+2),_xlfn.SCAN(0,--MID(_xlpm.s,_xlpm.k+1,9),_xlfn.LAMBDA(_xlpm.a,_xlpm.v,_xlpm.a+_xlpm.v)),1))),""),IF(($BM$20+2)&lt;=$BQ$20,$BP$20,""))))</f>
        <v/>
      </c>
    </row>
    <row r="102" spans="2:82" hidden="1" x14ac:dyDescent="0.45">
      <c r="B102" s="6"/>
      <c r="C102" s="9" t="str">
        <f>IF(CA102="","",CA102&amp;"-"&amp;TEXT(COUNTIF($CA$72:$CA$95,CA102)+COUNTIF($CB$72:$CB$95,CA102)+COUNTIF($CC$72:$CC$95,CA102)+COUNTIF($CD$72:$CD$95,CA102)+COUNTIF($CA$100:CA102,CA102),"000"))</f>
        <v/>
      </c>
      <c r="D102" s="9" t="str">
        <f>IF(AND($BN$17&lt;&gt;"",($BM$17+3)&lt;=$BO$17),$BN$17,"")</f>
        <v/>
      </c>
      <c r="E102" s="9" t="str">
        <f>IF(AND($BN$17&lt;&gt;"",($BM$17+3)&lt;=$BO$17),TEXT(($BM$17+3),"00"),"")</f>
        <v/>
      </c>
      <c r="F102" s="9" t="str">
        <f>IF(AND($BN$17&lt;&gt;"",($BM$17+3)&lt;=$BO$17),$BN$17&amp;"-"&amp;TEXT(($BM$17+3),"00"),"")</f>
        <v/>
      </c>
      <c r="H102" s="6"/>
      <c r="I102" s="9" t="str">
        <f>IF(CB102="","",CB102&amp;"-"&amp;TEXT(COUNTIF($CA$72:$CA$95,CB102)+COUNTIF($CB$72:$CB$95,CB102)+COUNTIF($CC$72:$CC$95,CB102)+COUNTIF($CD$72:$CD$95,CB102)+COUNTIF($CA$100:$CA$123,CB102)+COUNTIF($CB$100:CB102,CB102),"000"))</f>
        <v/>
      </c>
      <c r="J102" s="9" t="str">
        <f>IF(AND($BN$18&lt;&gt;"",($BM$18+3)&lt;=$BO$18),$BN$18,"")</f>
        <v/>
      </c>
      <c r="K102" s="9" t="str">
        <f>IF(AND($BN$18&lt;&gt;"",($BM$18+3)&lt;=$BO$18),TEXT(($BM$18+3),"00"),"")</f>
        <v/>
      </c>
      <c r="L102" s="9" t="str">
        <f>IF(AND($BN$18&lt;&gt;"",($BM$18+3)&lt;=$BO$18),$BN$18&amp;"-"&amp;TEXT(($BM$18+3),"00"),"")</f>
        <v/>
      </c>
      <c r="N102" s="6"/>
      <c r="O102" s="9" t="str">
        <f>IF(CC102="","",CC102&amp;"-"&amp;TEXT(COUNTIF($CA$72:$CA$95,CC102)+COUNTIF($CB$72:$CB$95,CC102)+COUNTIF($CC$72:$CC$95,CC102)+COUNTIF($CD$72:$CD$95,CC102)+COUNTIF($CA$100:$CA$123,CC102)+COUNTIF($CB$100:$CB$123,CC102)+COUNTIF($CC$100:CC102,CC102),"000"))</f>
        <v/>
      </c>
      <c r="P102" s="9" t="str">
        <f>IF(AND($BN$19&lt;&gt;"",($BM$19+3)&lt;=$BO$19),$BN$19,"")</f>
        <v/>
      </c>
      <c r="Q102" s="9" t="str">
        <f>IF(AND($BN$19&lt;&gt;"",($BM$19+3)&lt;=$BO$19),TEXT(($BM$19+3),"00"),"")</f>
        <v/>
      </c>
      <c r="R102" s="9" t="str">
        <f>IF(AND($BN$19&lt;&gt;"",($BM$19+3)&lt;=$BO$19),$BN$19&amp;"-"&amp;TEXT(($BM$19+3),"00"),"")</f>
        <v/>
      </c>
      <c r="T102" s="6"/>
      <c r="U102" s="9" t="str">
        <f>IF(CD102="","",CD102&amp;"-"&amp;TEXT(COUNTIF($CA$72:$CA$95,CD102)+COUNTIF($CB$72:$CB$95,CD102)+COUNTIF($CC$72:$CC$95,CD102)+COUNTIF($CD$72:$CD$95,CD102)+COUNTIF($CA$100:$CA$123,CD102)+COUNTIF($CB$100:$CB$123,CD102)+COUNTIF($CC$100:$CC$123,CD102)+COUNTIF($CD$100:CD102,CD102),"000"))</f>
        <v/>
      </c>
      <c r="V102" s="9" t="str">
        <f>IF(AND($BN$20&lt;&gt;"",($BM$20+3)&lt;=$BO$20),$BN$20,"")</f>
        <v/>
      </c>
      <c r="W102" s="9" t="str">
        <f>IF(AND($BN$20&lt;&gt;"",($BM$20+3)&lt;=$BO$20),TEXT(($BM$20+3),"00"),"")</f>
        <v/>
      </c>
      <c r="X102" s="9" t="str">
        <f>IF(AND($BN$20&lt;&gt;"",($BM$20+3)&lt;=$BO$20),$BN$20&amp;"-"&amp;TEXT(($BM$20+3),"00"),"")</f>
        <v/>
      </c>
      <c r="BA102">
        <f>IF(OR(Catalogo!$C102="",Catalogo!$B102="Espacio libre",Catalogo!$B102="Espacio reservado"),0,COUNTIF($C$13:$C$42,Catalogo!$C102)+IF($E$7=Catalogo!$C102,N($K$7),0)+IF($E$8=Catalogo!$C102,N($N$8),0)+IF(Proyecto!$D$12=Catalogo!$C102,$AQ$4,0)+SUMIF($C$49:$C$58,Catalogo!$C102,$K$49:$K$58))</f>
        <v>0</v>
      </c>
      <c r="CA102" t="str" cm="1">
        <f t="array" ref="CA102">IF(NOT(AND($BN$17&lt;&gt;"",($BM$17+3)&lt;=$BO$17)),"",IF(B102&lt;&gt;"",IF(B102="-","",B102),IF(ISNUMBER(SEARCH(":",$BP$17)),IFERROR(_xlfn.LET(_xlpm.s,_xlfn.TEXTSPLIT($BP$17,","),_xlpm.k,FIND(":",_xlpm.s),INDEX(TRIM(LEFT(_xlpm.s,_xlpm.k-1)),_xlfn.XMATCH(($BM$17+3),_xlfn.SCAN(0,--MID(_xlpm.s,_xlpm.k+1,9),_xlfn.LAMBDA(_xlpm.a,_xlpm.v,_xlpm.a+_xlpm.v)),1))),""),IF(($BM$17+3)&lt;=$BQ$17,$BP$17,""))))</f>
        <v/>
      </c>
      <c r="CB102" t="str" cm="1">
        <f t="array" ref="CB102">IF(NOT(AND($BN$18&lt;&gt;"",($BM$18+3)&lt;=$BO$18)),"",IF(H102&lt;&gt;"",IF(H102="-","",H102),IF(ISNUMBER(SEARCH(":",$BP$18)),IFERROR(_xlfn.LET(_xlpm.s,_xlfn.TEXTSPLIT($BP$18,","),_xlpm.k,FIND(":",_xlpm.s),INDEX(TRIM(LEFT(_xlpm.s,_xlpm.k-1)),_xlfn.XMATCH(($BM$18+3),_xlfn.SCAN(0,--MID(_xlpm.s,_xlpm.k+1,9),_xlfn.LAMBDA(_xlpm.a,_xlpm.v,_xlpm.a+_xlpm.v)),1))),""),IF(($BM$18+3)&lt;=$BQ$18,$BP$18,""))))</f>
        <v/>
      </c>
      <c r="CC102" t="str" cm="1">
        <f t="array" ref="CC102">IF(NOT(AND($BN$19&lt;&gt;"",($BM$19+3)&lt;=$BO$19)),"",IF(N102&lt;&gt;"",IF(N102="-","",N102),IF(ISNUMBER(SEARCH(":",$BP$19)),IFERROR(_xlfn.LET(_xlpm.s,_xlfn.TEXTSPLIT($BP$19,","),_xlpm.k,FIND(":",_xlpm.s),INDEX(TRIM(LEFT(_xlpm.s,_xlpm.k-1)),_xlfn.XMATCH(($BM$19+3),_xlfn.SCAN(0,--MID(_xlpm.s,_xlpm.k+1,9),_xlfn.LAMBDA(_xlpm.a,_xlpm.v,_xlpm.a+_xlpm.v)),1))),""),IF(($BM$19+3)&lt;=$BQ$19,$BP$19,""))))</f>
        <v/>
      </c>
      <c r="CD102" t="str" cm="1">
        <f t="array" ref="CD102">IF(NOT(AND($BN$20&lt;&gt;"",($BM$20+3)&lt;=$BO$20)),"",IF(T102&lt;&gt;"",IF(T102="-","",T102),IF(ISNUMBER(SEARCH(":",$BP$20)),IFERROR(_xlfn.LET(_xlpm.s,_xlfn.TEXTSPLIT($BP$20,","),_xlpm.k,FIND(":",_xlpm.s),INDEX(TRIM(LEFT(_xlpm.s,_xlpm.k-1)),_xlfn.XMATCH(($BM$20+3),_xlfn.SCAN(0,--MID(_xlpm.s,_xlpm.k+1,9),_xlfn.LAMBDA(_xlpm.a,_xlpm.v,_xlpm.a+_xlpm.v)),1))),""),IF(($BM$20+3)&lt;=$BQ$20,$BP$20,""))))</f>
        <v/>
      </c>
    </row>
    <row r="103" spans="2:82" hidden="1" x14ac:dyDescent="0.45">
      <c r="B103" s="6"/>
      <c r="C103" s="9" t="str">
        <f>IF(CA103="","",CA103&amp;"-"&amp;TEXT(COUNTIF($CA$72:$CA$95,CA103)+COUNTIF($CB$72:$CB$95,CA103)+COUNTIF($CC$72:$CC$95,CA103)+COUNTIF($CD$72:$CD$95,CA103)+COUNTIF($CA$100:CA103,CA103),"000"))</f>
        <v/>
      </c>
      <c r="D103" s="9" t="str">
        <f>IF(AND($BN$17&lt;&gt;"",($BM$17+4)&lt;=$BO$17),$BN$17,"")</f>
        <v/>
      </c>
      <c r="E103" s="9" t="str">
        <f>IF(AND($BN$17&lt;&gt;"",($BM$17+4)&lt;=$BO$17),TEXT(($BM$17+4),"00"),"")</f>
        <v/>
      </c>
      <c r="F103" s="9" t="str">
        <f>IF(AND($BN$17&lt;&gt;"",($BM$17+4)&lt;=$BO$17),$BN$17&amp;"-"&amp;TEXT(($BM$17+4),"00"),"")</f>
        <v/>
      </c>
      <c r="H103" s="6"/>
      <c r="I103" s="9" t="str">
        <f>IF(CB103="","",CB103&amp;"-"&amp;TEXT(COUNTIF($CA$72:$CA$95,CB103)+COUNTIF($CB$72:$CB$95,CB103)+COUNTIF($CC$72:$CC$95,CB103)+COUNTIF($CD$72:$CD$95,CB103)+COUNTIF($CA$100:$CA$123,CB103)+COUNTIF($CB$100:CB103,CB103),"000"))</f>
        <v/>
      </c>
      <c r="J103" s="9" t="str">
        <f>IF(AND($BN$18&lt;&gt;"",($BM$18+4)&lt;=$BO$18),$BN$18,"")</f>
        <v/>
      </c>
      <c r="K103" s="9" t="str">
        <f>IF(AND($BN$18&lt;&gt;"",($BM$18+4)&lt;=$BO$18),TEXT(($BM$18+4),"00"),"")</f>
        <v/>
      </c>
      <c r="L103" s="9" t="str">
        <f>IF(AND($BN$18&lt;&gt;"",($BM$18+4)&lt;=$BO$18),$BN$18&amp;"-"&amp;TEXT(($BM$18+4),"00"),"")</f>
        <v/>
      </c>
      <c r="N103" s="6"/>
      <c r="O103" s="9" t="str">
        <f>IF(CC103="","",CC103&amp;"-"&amp;TEXT(COUNTIF($CA$72:$CA$95,CC103)+COUNTIF($CB$72:$CB$95,CC103)+COUNTIF($CC$72:$CC$95,CC103)+COUNTIF($CD$72:$CD$95,CC103)+COUNTIF($CA$100:$CA$123,CC103)+COUNTIF($CB$100:$CB$123,CC103)+COUNTIF($CC$100:CC103,CC103),"000"))</f>
        <v/>
      </c>
      <c r="P103" s="9" t="str">
        <f>IF(AND($BN$19&lt;&gt;"",($BM$19+4)&lt;=$BO$19),$BN$19,"")</f>
        <v/>
      </c>
      <c r="Q103" s="9" t="str">
        <f>IF(AND($BN$19&lt;&gt;"",($BM$19+4)&lt;=$BO$19),TEXT(($BM$19+4),"00"),"")</f>
        <v/>
      </c>
      <c r="R103" s="9" t="str">
        <f>IF(AND($BN$19&lt;&gt;"",($BM$19+4)&lt;=$BO$19),$BN$19&amp;"-"&amp;TEXT(($BM$19+4),"00"),"")</f>
        <v/>
      </c>
      <c r="T103" s="6"/>
      <c r="U103" s="9" t="str">
        <f>IF(CD103="","",CD103&amp;"-"&amp;TEXT(COUNTIF($CA$72:$CA$95,CD103)+COUNTIF($CB$72:$CB$95,CD103)+COUNTIF($CC$72:$CC$95,CD103)+COUNTIF($CD$72:$CD$95,CD103)+COUNTIF($CA$100:$CA$123,CD103)+COUNTIF($CB$100:$CB$123,CD103)+COUNTIF($CC$100:$CC$123,CD103)+COUNTIF($CD$100:CD103,CD103),"000"))</f>
        <v/>
      </c>
      <c r="V103" s="9" t="str">
        <f>IF(AND($BN$20&lt;&gt;"",($BM$20+4)&lt;=$BO$20),$BN$20,"")</f>
        <v/>
      </c>
      <c r="W103" s="9" t="str">
        <f>IF(AND($BN$20&lt;&gt;"",($BM$20+4)&lt;=$BO$20),TEXT(($BM$20+4),"00"),"")</f>
        <v/>
      </c>
      <c r="X103" s="9" t="str">
        <f>IF(AND($BN$20&lt;&gt;"",($BM$20+4)&lt;=$BO$20),$BN$20&amp;"-"&amp;TEXT(($BM$20+4),"00"),"")</f>
        <v/>
      </c>
      <c r="BA103">
        <f>IF(OR(Catalogo!$C103="",Catalogo!$B103="Espacio libre",Catalogo!$B103="Espacio reservado"),0,COUNTIF($C$13:$C$42,Catalogo!$C103)+IF($E$7=Catalogo!$C103,N($K$7),0)+IF($E$8=Catalogo!$C103,N($N$8),0)+IF(Proyecto!$D$12=Catalogo!$C103,$AQ$4,0)+SUMIF($C$49:$C$58,Catalogo!$C103,$K$49:$K$58))</f>
        <v>0</v>
      </c>
      <c r="CA103" t="str" cm="1">
        <f t="array" ref="CA103">IF(NOT(AND($BN$17&lt;&gt;"",($BM$17+4)&lt;=$BO$17)),"",IF(B103&lt;&gt;"",IF(B103="-","",B103),IF(ISNUMBER(SEARCH(":",$BP$17)),IFERROR(_xlfn.LET(_xlpm.s,_xlfn.TEXTSPLIT($BP$17,","),_xlpm.k,FIND(":",_xlpm.s),INDEX(TRIM(LEFT(_xlpm.s,_xlpm.k-1)),_xlfn.XMATCH(($BM$17+4),_xlfn.SCAN(0,--MID(_xlpm.s,_xlpm.k+1,9),_xlfn.LAMBDA(_xlpm.a,_xlpm.v,_xlpm.a+_xlpm.v)),1))),""),IF(($BM$17+4)&lt;=$BQ$17,$BP$17,""))))</f>
        <v/>
      </c>
      <c r="CB103" t="str" cm="1">
        <f t="array" ref="CB103">IF(NOT(AND($BN$18&lt;&gt;"",($BM$18+4)&lt;=$BO$18)),"",IF(H103&lt;&gt;"",IF(H103="-","",H103),IF(ISNUMBER(SEARCH(":",$BP$18)),IFERROR(_xlfn.LET(_xlpm.s,_xlfn.TEXTSPLIT($BP$18,","),_xlpm.k,FIND(":",_xlpm.s),INDEX(TRIM(LEFT(_xlpm.s,_xlpm.k-1)),_xlfn.XMATCH(($BM$18+4),_xlfn.SCAN(0,--MID(_xlpm.s,_xlpm.k+1,9),_xlfn.LAMBDA(_xlpm.a,_xlpm.v,_xlpm.a+_xlpm.v)),1))),""),IF(($BM$18+4)&lt;=$BQ$18,$BP$18,""))))</f>
        <v/>
      </c>
      <c r="CC103" t="str" cm="1">
        <f t="array" ref="CC103">IF(NOT(AND($BN$19&lt;&gt;"",($BM$19+4)&lt;=$BO$19)),"",IF(N103&lt;&gt;"",IF(N103="-","",N103),IF(ISNUMBER(SEARCH(":",$BP$19)),IFERROR(_xlfn.LET(_xlpm.s,_xlfn.TEXTSPLIT($BP$19,","),_xlpm.k,FIND(":",_xlpm.s),INDEX(TRIM(LEFT(_xlpm.s,_xlpm.k-1)),_xlfn.XMATCH(($BM$19+4),_xlfn.SCAN(0,--MID(_xlpm.s,_xlpm.k+1,9),_xlfn.LAMBDA(_xlpm.a,_xlpm.v,_xlpm.a+_xlpm.v)),1))),""),IF(($BM$19+4)&lt;=$BQ$19,$BP$19,""))))</f>
        <v/>
      </c>
      <c r="CD103" t="str" cm="1">
        <f t="array" ref="CD103">IF(NOT(AND($BN$20&lt;&gt;"",($BM$20+4)&lt;=$BO$20)),"",IF(T103&lt;&gt;"",IF(T103="-","",T103),IF(ISNUMBER(SEARCH(":",$BP$20)),IFERROR(_xlfn.LET(_xlpm.s,_xlfn.TEXTSPLIT($BP$20,","),_xlpm.k,FIND(":",_xlpm.s),INDEX(TRIM(LEFT(_xlpm.s,_xlpm.k-1)),_xlfn.XMATCH(($BM$20+4),_xlfn.SCAN(0,--MID(_xlpm.s,_xlpm.k+1,9),_xlfn.LAMBDA(_xlpm.a,_xlpm.v,_xlpm.a+_xlpm.v)),1))),""),IF(($BM$20+4)&lt;=$BQ$20,$BP$20,""))))</f>
        <v/>
      </c>
    </row>
    <row r="104" spans="2:82" hidden="1" x14ac:dyDescent="0.45">
      <c r="B104" s="6"/>
      <c r="C104" s="9" t="str">
        <f>IF(CA104="","",CA104&amp;"-"&amp;TEXT(COUNTIF($CA$72:$CA$95,CA104)+COUNTIF($CB$72:$CB$95,CA104)+COUNTIF($CC$72:$CC$95,CA104)+COUNTIF($CD$72:$CD$95,CA104)+COUNTIF($CA$100:CA104,CA104),"000"))</f>
        <v/>
      </c>
      <c r="D104" s="9" t="str">
        <f>IF(AND($BN$17&lt;&gt;"",($BM$17+5)&lt;=$BO$17),$BN$17,"")</f>
        <v/>
      </c>
      <c r="E104" s="9" t="str">
        <f>IF(AND($BN$17&lt;&gt;"",($BM$17+5)&lt;=$BO$17),TEXT(($BM$17+5),"00"),"")</f>
        <v/>
      </c>
      <c r="F104" s="9" t="str">
        <f>IF(AND($BN$17&lt;&gt;"",($BM$17+5)&lt;=$BO$17),$BN$17&amp;"-"&amp;TEXT(($BM$17+5),"00"),"")</f>
        <v/>
      </c>
      <c r="H104" s="6"/>
      <c r="I104" s="9" t="str">
        <f>IF(CB104="","",CB104&amp;"-"&amp;TEXT(COUNTIF($CA$72:$CA$95,CB104)+COUNTIF($CB$72:$CB$95,CB104)+COUNTIF($CC$72:$CC$95,CB104)+COUNTIF($CD$72:$CD$95,CB104)+COUNTIF($CA$100:$CA$123,CB104)+COUNTIF($CB$100:CB104,CB104),"000"))</f>
        <v/>
      </c>
      <c r="J104" s="9" t="str">
        <f>IF(AND($BN$18&lt;&gt;"",($BM$18+5)&lt;=$BO$18),$BN$18,"")</f>
        <v/>
      </c>
      <c r="K104" s="9" t="str">
        <f>IF(AND($BN$18&lt;&gt;"",($BM$18+5)&lt;=$BO$18),TEXT(($BM$18+5),"00"),"")</f>
        <v/>
      </c>
      <c r="L104" s="9" t="str">
        <f>IF(AND($BN$18&lt;&gt;"",($BM$18+5)&lt;=$BO$18),$BN$18&amp;"-"&amp;TEXT(($BM$18+5),"00"),"")</f>
        <v/>
      </c>
      <c r="N104" s="6"/>
      <c r="O104" s="9" t="str">
        <f>IF(CC104="","",CC104&amp;"-"&amp;TEXT(COUNTIF($CA$72:$CA$95,CC104)+COUNTIF($CB$72:$CB$95,CC104)+COUNTIF($CC$72:$CC$95,CC104)+COUNTIF($CD$72:$CD$95,CC104)+COUNTIF($CA$100:$CA$123,CC104)+COUNTIF($CB$100:$CB$123,CC104)+COUNTIF($CC$100:CC104,CC104),"000"))</f>
        <v/>
      </c>
      <c r="P104" s="9" t="str">
        <f>IF(AND($BN$19&lt;&gt;"",($BM$19+5)&lt;=$BO$19),$BN$19,"")</f>
        <v/>
      </c>
      <c r="Q104" s="9" t="str">
        <f>IF(AND($BN$19&lt;&gt;"",($BM$19+5)&lt;=$BO$19),TEXT(($BM$19+5),"00"),"")</f>
        <v/>
      </c>
      <c r="R104" s="9" t="str">
        <f>IF(AND($BN$19&lt;&gt;"",($BM$19+5)&lt;=$BO$19),$BN$19&amp;"-"&amp;TEXT(($BM$19+5),"00"),"")</f>
        <v/>
      </c>
      <c r="T104" s="6"/>
      <c r="U104" s="9" t="str">
        <f>IF(CD104="","",CD104&amp;"-"&amp;TEXT(COUNTIF($CA$72:$CA$95,CD104)+COUNTIF($CB$72:$CB$95,CD104)+COUNTIF($CC$72:$CC$95,CD104)+COUNTIF($CD$72:$CD$95,CD104)+COUNTIF($CA$100:$CA$123,CD104)+COUNTIF($CB$100:$CB$123,CD104)+COUNTIF($CC$100:$CC$123,CD104)+COUNTIF($CD$100:CD104,CD104),"000"))</f>
        <v/>
      </c>
      <c r="V104" s="9" t="str">
        <f>IF(AND($BN$20&lt;&gt;"",($BM$20+5)&lt;=$BO$20),$BN$20,"")</f>
        <v/>
      </c>
      <c r="W104" s="9" t="str">
        <f>IF(AND($BN$20&lt;&gt;"",($BM$20+5)&lt;=$BO$20),TEXT(($BM$20+5),"00"),"")</f>
        <v/>
      </c>
      <c r="X104" s="9" t="str">
        <f>IF(AND($BN$20&lt;&gt;"",($BM$20+5)&lt;=$BO$20),$BN$20&amp;"-"&amp;TEXT(($BM$20+5),"00"),"")</f>
        <v/>
      </c>
      <c r="BA104">
        <f>IF(OR(Catalogo!$C104="",Catalogo!$B104="Espacio libre",Catalogo!$B104="Espacio reservado"),0,COUNTIF($C$13:$C$42,Catalogo!$C104)+IF($E$7=Catalogo!$C104,N($K$7),0)+IF($E$8=Catalogo!$C104,N($N$8),0)+IF(Proyecto!$D$12=Catalogo!$C104,$AQ$4,0)+SUMIF($C$49:$C$58,Catalogo!$C104,$K$49:$K$58))</f>
        <v>0</v>
      </c>
      <c r="CA104" t="str" cm="1">
        <f t="array" ref="CA104">IF(NOT(AND($BN$17&lt;&gt;"",($BM$17+5)&lt;=$BO$17)),"",IF(B104&lt;&gt;"",IF(B104="-","",B104),IF(ISNUMBER(SEARCH(":",$BP$17)),IFERROR(_xlfn.LET(_xlpm.s,_xlfn.TEXTSPLIT($BP$17,","),_xlpm.k,FIND(":",_xlpm.s),INDEX(TRIM(LEFT(_xlpm.s,_xlpm.k-1)),_xlfn.XMATCH(($BM$17+5),_xlfn.SCAN(0,--MID(_xlpm.s,_xlpm.k+1,9),_xlfn.LAMBDA(_xlpm.a,_xlpm.v,_xlpm.a+_xlpm.v)),1))),""),IF(($BM$17+5)&lt;=$BQ$17,$BP$17,""))))</f>
        <v/>
      </c>
      <c r="CB104" t="str" cm="1">
        <f t="array" ref="CB104">IF(NOT(AND($BN$18&lt;&gt;"",($BM$18+5)&lt;=$BO$18)),"",IF(H104&lt;&gt;"",IF(H104="-","",H104),IF(ISNUMBER(SEARCH(":",$BP$18)),IFERROR(_xlfn.LET(_xlpm.s,_xlfn.TEXTSPLIT($BP$18,","),_xlpm.k,FIND(":",_xlpm.s),INDEX(TRIM(LEFT(_xlpm.s,_xlpm.k-1)),_xlfn.XMATCH(($BM$18+5),_xlfn.SCAN(0,--MID(_xlpm.s,_xlpm.k+1,9),_xlfn.LAMBDA(_xlpm.a,_xlpm.v,_xlpm.a+_xlpm.v)),1))),""),IF(($BM$18+5)&lt;=$BQ$18,$BP$18,""))))</f>
        <v/>
      </c>
      <c r="CC104" t="str" cm="1">
        <f t="array" ref="CC104">IF(NOT(AND($BN$19&lt;&gt;"",($BM$19+5)&lt;=$BO$19)),"",IF(N104&lt;&gt;"",IF(N104="-","",N104),IF(ISNUMBER(SEARCH(":",$BP$19)),IFERROR(_xlfn.LET(_xlpm.s,_xlfn.TEXTSPLIT($BP$19,","),_xlpm.k,FIND(":",_xlpm.s),INDEX(TRIM(LEFT(_xlpm.s,_xlpm.k-1)),_xlfn.XMATCH(($BM$19+5),_xlfn.SCAN(0,--MID(_xlpm.s,_xlpm.k+1,9),_xlfn.LAMBDA(_xlpm.a,_xlpm.v,_xlpm.a+_xlpm.v)),1))),""),IF(($BM$19+5)&lt;=$BQ$19,$BP$19,""))))</f>
        <v/>
      </c>
      <c r="CD104" t="str" cm="1">
        <f t="array" ref="CD104">IF(NOT(AND($BN$20&lt;&gt;"",($BM$20+5)&lt;=$BO$20)),"",IF(T104&lt;&gt;"",IF(T104="-","",T104),IF(ISNUMBER(SEARCH(":",$BP$20)),IFERROR(_xlfn.LET(_xlpm.s,_xlfn.TEXTSPLIT($BP$20,","),_xlpm.k,FIND(":",_xlpm.s),INDEX(TRIM(LEFT(_xlpm.s,_xlpm.k-1)),_xlfn.XMATCH(($BM$20+5),_xlfn.SCAN(0,--MID(_xlpm.s,_xlpm.k+1,9),_xlfn.LAMBDA(_xlpm.a,_xlpm.v,_xlpm.a+_xlpm.v)),1))),""),IF(($BM$20+5)&lt;=$BQ$20,$BP$20,""))))</f>
        <v/>
      </c>
    </row>
    <row r="105" spans="2:82" hidden="1" x14ac:dyDescent="0.45">
      <c r="B105" s="6"/>
      <c r="C105" s="9" t="str">
        <f>IF(CA105="","",CA105&amp;"-"&amp;TEXT(COUNTIF($CA$72:$CA$95,CA105)+COUNTIF($CB$72:$CB$95,CA105)+COUNTIF($CC$72:$CC$95,CA105)+COUNTIF($CD$72:$CD$95,CA105)+COUNTIF($CA$100:CA105,CA105),"000"))</f>
        <v/>
      </c>
      <c r="D105" s="9" t="str">
        <f>IF(AND($BN$17&lt;&gt;"",($BM$17+6)&lt;=$BO$17),$BN$17,"")</f>
        <v/>
      </c>
      <c r="E105" s="9" t="str">
        <f>IF(AND($BN$17&lt;&gt;"",($BM$17+6)&lt;=$BO$17),TEXT(($BM$17+6),"00"),"")</f>
        <v/>
      </c>
      <c r="F105" s="9" t="str">
        <f>IF(AND($BN$17&lt;&gt;"",($BM$17+6)&lt;=$BO$17),$BN$17&amp;"-"&amp;TEXT(($BM$17+6),"00"),"")</f>
        <v/>
      </c>
      <c r="H105" s="6"/>
      <c r="I105" s="9" t="str">
        <f>IF(CB105="","",CB105&amp;"-"&amp;TEXT(COUNTIF($CA$72:$CA$95,CB105)+COUNTIF($CB$72:$CB$95,CB105)+COUNTIF($CC$72:$CC$95,CB105)+COUNTIF($CD$72:$CD$95,CB105)+COUNTIF($CA$100:$CA$123,CB105)+COUNTIF($CB$100:CB105,CB105),"000"))</f>
        <v/>
      </c>
      <c r="J105" s="9" t="str">
        <f>IF(AND($BN$18&lt;&gt;"",($BM$18+6)&lt;=$BO$18),$BN$18,"")</f>
        <v/>
      </c>
      <c r="K105" s="9" t="str">
        <f>IF(AND($BN$18&lt;&gt;"",($BM$18+6)&lt;=$BO$18),TEXT(($BM$18+6),"00"),"")</f>
        <v/>
      </c>
      <c r="L105" s="9" t="str">
        <f>IF(AND($BN$18&lt;&gt;"",($BM$18+6)&lt;=$BO$18),$BN$18&amp;"-"&amp;TEXT(($BM$18+6),"00"),"")</f>
        <v/>
      </c>
      <c r="N105" s="6"/>
      <c r="O105" s="9" t="str">
        <f>IF(CC105="","",CC105&amp;"-"&amp;TEXT(COUNTIF($CA$72:$CA$95,CC105)+COUNTIF($CB$72:$CB$95,CC105)+COUNTIF($CC$72:$CC$95,CC105)+COUNTIF($CD$72:$CD$95,CC105)+COUNTIF($CA$100:$CA$123,CC105)+COUNTIF($CB$100:$CB$123,CC105)+COUNTIF($CC$100:CC105,CC105),"000"))</f>
        <v/>
      </c>
      <c r="P105" s="9" t="str">
        <f>IF(AND($BN$19&lt;&gt;"",($BM$19+6)&lt;=$BO$19),$BN$19,"")</f>
        <v/>
      </c>
      <c r="Q105" s="9" t="str">
        <f>IF(AND($BN$19&lt;&gt;"",($BM$19+6)&lt;=$BO$19),TEXT(($BM$19+6),"00"),"")</f>
        <v/>
      </c>
      <c r="R105" s="9" t="str">
        <f>IF(AND($BN$19&lt;&gt;"",($BM$19+6)&lt;=$BO$19),$BN$19&amp;"-"&amp;TEXT(($BM$19+6),"00"),"")</f>
        <v/>
      </c>
      <c r="T105" s="6"/>
      <c r="U105" s="9" t="str">
        <f>IF(CD105="","",CD105&amp;"-"&amp;TEXT(COUNTIF($CA$72:$CA$95,CD105)+COUNTIF($CB$72:$CB$95,CD105)+COUNTIF($CC$72:$CC$95,CD105)+COUNTIF($CD$72:$CD$95,CD105)+COUNTIF($CA$100:$CA$123,CD105)+COUNTIF($CB$100:$CB$123,CD105)+COUNTIF($CC$100:$CC$123,CD105)+COUNTIF($CD$100:CD105,CD105),"000"))</f>
        <v/>
      </c>
      <c r="V105" s="9" t="str">
        <f>IF(AND($BN$20&lt;&gt;"",($BM$20+6)&lt;=$BO$20),$BN$20,"")</f>
        <v/>
      </c>
      <c r="W105" s="9" t="str">
        <f>IF(AND($BN$20&lt;&gt;"",($BM$20+6)&lt;=$BO$20),TEXT(($BM$20+6),"00"),"")</f>
        <v/>
      </c>
      <c r="X105" s="9" t="str">
        <f>IF(AND($BN$20&lt;&gt;"",($BM$20+6)&lt;=$BO$20),$BN$20&amp;"-"&amp;TEXT(($BM$20+6),"00"),"")</f>
        <v/>
      </c>
      <c r="BA105">
        <f>IF(OR(Catalogo!$C105="",Catalogo!$B105="Espacio libre",Catalogo!$B105="Espacio reservado"),0,COUNTIF($C$13:$C$42,Catalogo!$C105)+IF($E$7=Catalogo!$C105,N($K$7),0)+IF($E$8=Catalogo!$C105,N($N$8),0)+IF(Proyecto!$D$12=Catalogo!$C105,$AQ$4,0)+SUMIF($C$49:$C$58,Catalogo!$C105,$K$49:$K$58))</f>
        <v>0</v>
      </c>
      <c r="CA105" t="str" cm="1">
        <f t="array" ref="CA105">IF(NOT(AND($BN$17&lt;&gt;"",($BM$17+6)&lt;=$BO$17)),"",IF(B105&lt;&gt;"",IF(B105="-","",B105),IF(ISNUMBER(SEARCH(":",$BP$17)),IFERROR(_xlfn.LET(_xlpm.s,_xlfn.TEXTSPLIT($BP$17,","),_xlpm.k,FIND(":",_xlpm.s),INDEX(TRIM(LEFT(_xlpm.s,_xlpm.k-1)),_xlfn.XMATCH(($BM$17+6),_xlfn.SCAN(0,--MID(_xlpm.s,_xlpm.k+1,9),_xlfn.LAMBDA(_xlpm.a,_xlpm.v,_xlpm.a+_xlpm.v)),1))),""),IF(($BM$17+6)&lt;=$BQ$17,$BP$17,""))))</f>
        <v/>
      </c>
      <c r="CB105" t="str" cm="1">
        <f t="array" ref="CB105">IF(NOT(AND($BN$18&lt;&gt;"",($BM$18+6)&lt;=$BO$18)),"",IF(H105&lt;&gt;"",IF(H105="-","",H105),IF(ISNUMBER(SEARCH(":",$BP$18)),IFERROR(_xlfn.LET(_xlpm.s,_xlfn.TEXTSPLIT($BP$18,","),_xlpm.k,FIND(":",_xlpm.s),INDEX(TRIM(LEFT(_xlpm.s,_xlpm.k-1)),_xlfn.XMATCH(($BM$18+6),_xlfn.SCAN(0,--MID(_xlpm.s,_xlpm.k+1,9),_xlfn.LAMBDA(_xlpm.a,_xlpm.v,_xlpm.a+_xlpm.v)),1))),""),IF(($BM$18+6)&lt;=$BQ$18,$BP$18,""))))</f>
        <v/>
      </c>
      <c r="CC105" t="str" cm="1">
        <f t="array" ref="CC105">IF(NOT(AND($BN$19&lt;&gt;"",($BM$19+6)&lt;=$BO$19)),"",IF(N105&lt;&gt;"",IF(N105="-","",N105),IF(ISNUMBER(SEARCH(":",$BP$19)),IFERROR(_xlfn.LET(_xlpm.s,_xlfn.TEXTSPLIT($BP$19,","),_xlpm.k,FIND(":",_xlpm.s),INDEX(TRIM(LEFT(_xlpm.s,_xlpm.k-1)),_xlfn.XMATCH(($BM$19+6),_xlfn.SCAN(0,--MID(_xlpm.s,_xlpm.k+1,9),_xlfn.LAMBDA(_xlpm.a,_xlpm.v,_xlpm.a+_xlpm.v)),1))),""),IF(($BM$19+6)&lt;=$BQ$19,$BP$19,""))))</f>
        <v/>
      </c>
      <c r="CD105" t="str" cm="1">
        <f t="array" ref="CD105">IF(NOT(AND($BN$20&lt;&gt;"",($BM$20+6)&lt;=$BO$20)),"",IF(T105&lt;&gt;"",IF(T105="-","",T105),IF(ISNUMBER(SEARCH(":",$BP$20)),IFERROR(_xlfn.LET(_xlpm.s,_xlfn.TEXTSPLIT($BP$20,","),_xlpm.k,FIND(":",_xlpm.s),INDEX(TRIM(LEFT(_xlpm.s,_xlpm.k-1)),_xlfn.XMATCH(($BM$20+6),_xlfn.SCAN(0,--MID(_xlpm.s,_xlpm.k+1,9),_xlfn.LAMBDA(_xlpm.a,_xlpm.v,_xlpm.a+_xlpm.v)),1))),""),IF(($BM$20+6)&lt;=$BQ$20,$BP$20,""))))</f>
        <v/>
      </c>
    </row>
    <row r="106" spans="2:82" hidden="1" x14ac:dyDescent="0.45">
      <c r="B106" s="6"/>
      <c r="C106" s="9" t="str">
        <f>IF(CA106="","",CA106&amp;"-"&amp;TEXT(COUNTIF($CA$72:$CA$95,CA106)+COUNTIF($CB$72:$CB$95,CA106)+COUNTIF($CC$72:$CC$95,CA106)+COUNTIF($CD$72:$CD$95,CA106)+COUNTIF($CA$100:CA106,CA106),"000"))</f>
        <v/>
      </c>
      <c r="D106" s="9" t="str">
        <f>IF(AND($BN$17&lt;&gt;"",($BM$17+7)&lt;=$BO$17),$BN$17,"")</f>
        <v/>
      </c>
      <c r="E106" s="9" t="str">
        <f>IF(AND($BN$17&lt;&gt;"",($BM$17+7)&lt;=$BO$17),TEXT(($BM$17+7),"00"),"")</f>
        <v/>
      </c>
      <c r="F106" s="9" t="str">
        <f>IF(AND($BN$17&lt;&gt;"",($BM$17+7)&lt;=$BO$17),$BN$17&amp;"-"&amp;TEXT(($BM$17+7),"00"),"")</f>
        <v/>
      </c>
      <c r="H106" s="6"/>
      <c r="I106" s="9" t="str">
        <f>IF(CB106="","",CB106&amp;"-"&amp;TEXT(COUNTIF($CA$72:$CA$95,CB106)+COUNTIF($CB$72:$CB$95,CB106)+COUNTIF($CC$72:$CC$95,CB106)+COUNTIF($CD$72:$CD$95,CB106)+COUNTIF($CA$100:$CA$123,CB106)+COUNTIF($CB$100:CB106,CB106),"000"))</f>
        <v/>
      </c>
      <c r="J106" s="9" t="str">
        <f>IF(AND($BN$18&lt;&gt;"",($BM$18+7)&lt;=$BO$18),$BN$18,"")</f>
        <v/>
      </c>
      <c r="K106" s="9" t="str">
        <f>IF(AND($BN$18&lt;&gt;"",($BM$18+7)&lt;=$BO$18),TEXT(($BM$18+7),"00"),"")</f>
        <v/>
      </c>
      <c r="L106" s="9" t="str">
        <f>IF(AND($BN$18&lt;&gt;"",($BM$18+7)&lt;=$BO$18),$BN$18&amp;"-"&amp;TEXT(($BM$18+7),"00"),"")</f>
        <v/>
      </c>
      <c r="N106" s="6"/>
      <c r="O106" s="9" t="str">
        <f>IF(CC106="","",CC106&amp;"-"&amp;TEXT(COUNTIF($CA$72:$CA$95,CC106)+COUNTIF($CB$72:$CB$95,CC106)+COUNTIF($CC$72:$CC$95,CC106)+COUNTIF($CD$72:$CD$95,CC106)+COUNTIF($CA$100:$CA$123,CC106)+COUNTIF($CB$100:$CB$123,CC106)+COUNTIF($CC$100:CC106,CC106),"000"))</f>
        <v/>
      </c>
      <c r="P106" s="9" t="str">
        <f>IF(AND($BN$19&lt;&gt;"",($BM$19+7)&lt;=$BO$19),$BN$19,"")</f>
        <v/>
      </c>
      <c r="Q106" s="9" t="str">
        <f>IF(AND($BN$19&lt;&gt;"",($BM$19+7)&lt;=$BO$19),TEXT(($BM$19+7),"00"),"")</f>
        <v/>
      </c>
      <c r="R106" s="9" t="str">
        <f>IF(AND($BN$19&lt;&gt;"",($BM$19+7)&lt;=$BO$19),$BN$19&amp;"-"&amp;TEXT(($BM$19+7),"00"),"")</f>
        <v/>
      </c>
      <c r="T106" s="6"/>
      <c r="U106" s="9" t="str">
        <f>IF(CD106="","",CD106&amp;"-"&amp;TEXT(COUNTIF($CA$72:$CA$95,CD106)+COUNTIF($CB$72:$CB$95,CD106)+COUNTIF($CC$72:$CC$95,CD106)+COUNTIF($CD$72:$CD$95,CD106)+COUNTIF($CA$100:$CA$123,CD106)+COUNTIF($CB$100:$CB$123,CD106)+COUNTIF($CC$100:$CC$123,CD106)+COUNTIF($CD$100:CD106,CD106),"000"))</f>
        <v/>
      </c>
      <c r="V106" s="9" t="str">
        <f>IF(AND($BN$20&lt;&gt;"",($BM$20+7)&lt;=$BO$20),$BN$20,"")</f>
        <v/>
      </c>
      <c r="W106" s="9" t="str">
        <f>IF(AND($BN$20&lt;&gt;"",($BM$20+7)&lt;=$BO$20),TEXT(($BM$20+7),"00"),"")</f>
        <v/>
      </c>
      <c r="X106" s="9" t="str">
        <f>IF(AND($BN$20&lt;&gt;"",($BM$20+7)&lt;=$BO$20),$BN$20&amp;"-"&amp;TEXT(($BM$20+7),"00"),"")</f>
        <v/>
      </c>
      <c r="BA106">
        <f>IF(OR(Catalogo!$C106="",Catalogo!$B106="Espacio libre",Catalogo!$B106="Espacio reservado"),0,COUNTIF($C$13:$C$42,Catalogo!$C106)+IF($E$7=Catalogo!$C106,N($K$7),0)+IF($E$8=Catalogo!$C106,N($N$8),0)+IF(Proyecto!$D$12=Catalogo!$C106,$AQ$4,0)+SUMIF($C$49:$C$58,Catalogo!$C106,$K$49:$K$58))</f>
        <v>0</v>
      </c>
      <c r="CA106" t="str" cm="1">
        <f t="array" ref="CA106">IF(NOT(AND($BN$17&lt;&gt;"",($BM$17+7)&lt;=$BO$17)),"",IF(B106&lt;&gt;"",IF(B106="-","",B106),IF(ISNUMBER(SEARCH(":",$BP$17)),IFERROR(_xlfn.LET(_xlpm.s,_xlfn.TEXTSPLIT($BP$17,","),_xlpm.k,FIND(":",_xlpm.s),INDEX(TRIM(LEFT(_xlpm.s,_xlpm.k-1)),_xlfn.XMATCH(($BM$17+7),_xlfn.SCAN(0,--MID(_xlpm.s,_xlpm.k+1,9),_xlfn.LAMBDA(_xlpm.a,_xlpm.v,_xlpm.a+_xlpm.v)),1))),""),IF(($BM$17+7)&lt;=$BQ$17,$BP$17,""))))</f>
        <v/>
      </c>
      <c r="CB106" t="str" cm="1">
        <f t="array" ref="CB106">IF(NOT(AND($BN$18&lt;&gt;"",($BM$18+7)&lt;=$BO$18)),"",IF(H106&lt;&gt;"",IF(H106="-","",H106),IF(ISNUMBER(SEARCH(":",$BP$18)),IFERROR(_xlfn.LET(_xlpm.s,_xlfn.TEXTSPLIT($BP$18,","),_xlpm.k,FIND(":",_xlpm.s),INDEX(TRIM(LEFT(_xlpm.s,_xlpm.k-1)),_xlfn.XMATCH(($BM$18+7),_xlfn.SCAN(0,--MID(_xlpm.s,_xlpm.k+1,9),_xlfn.LAMBDA(_xlpm.a,_xlpm.v,_xlpm.a+_xlpm.v)),1))),""),IF(($BM$18+7)&lt;=$BQ$18,$BP$18,""))))</f>
        <v/>
      </c>
      <c r="CC106" t="str" cm="1">
        <f t="array" ref="CC106">IF(NOT(AND($BN$19&lt;&gt;"",($BM$19+7)&lt;=$BO$19)),"",IF(N106&lt;&gt;"",IF(N106="-","",N106),IF(ISNUMBER(SEARCH(":",$BP$19)),IFERROR(_xlfn.LET(_xlpm.s,_xlfn.TEXTSPLIT($BP$19,","),_xlpm.k,FIND(":",_xlpm.s),INDEX(TRIM(LEFT(_xlpm.s,_xlpm.k-1)),_xlfn.XMATCH(($BM$19+7),_xlfn.SCAN(0,--MID(_xlpm.s,_xlpm.k+1,9),_xlfn.LAMBDA(_xlpm.a,_xlpm.v,_xlpm.a+_xlpm.v)),1))),""),IF(($BM$19+7)&lt;=$BQ$19,$BP$19,""))))</f>
        <v/>
      </c>
      <c r="CD106" t="str" cm="1">
        <f t="array" ref="CD106">IF(NOT(AND($BN$20&lt;&gt;"",($BM$20+7)&lt;=$BO$20)),"",IF(T106&lt;&gt;"",IF(T106="-","",T106),IF(ISNUMBER(SEARCH(":",$BP$20)),IFERROR(_xlfn.LET(_xlpm.s,_xlfn.TEXTSPLIT($BP$20,","),_xlpm.k,FIND(":",_xlpm.s),INDEX(TRIM(LEFT(_xlpm.s,_xlpm.k-1)),_xlfn.XMATCH(($BM$20+7),_xlfn.SCAN(0,--MID(_xlpm.s,_xlpm.k+1,9),_xlfn.LAMBDA(_xlpm.a,_xlpm.v,_xlpm.a+_xlpm.v)),1))),""),IF(($BM$20+7)&lt;=$BQ$20,$BP$20,""))))</f>
        <v/>
      </c>
    </row>
    <row r="107" spans="2:82" hidden="1" x14ac:dyDescent="0.45">
      <c r="B107" s="6"/>
      <c r="C107" s="9" t="str">
        <f>IF(CA107="","",CA107&amp;"-"&amp;TEXT(COUNTIF($CA$72:$CA$95,CA107)+COUNTIF($CB$72:$CB$95,CA107)+COUNTIF($CC$72:$CC$95,CA107)+COUNTIF($CD$72:$CD$95,CA107)+COUNTIF($CA$100:CA107,CA107),"000"))</f>
        <v/>
      </c>
      <c r="D107" s="9" t="str">
        <f>IF(AND($BN$17&lt;&gt;"",($BM$17+8)&lt;=$BO$17),$BN$17,"")</f>
        <v/>
      </c>
      <c r="E107" s="9" t="str">
        <f>IF(AND($BN$17&lt;&gt;"",($BM$17+8)&lt;=$BO$17),TEXT(($BM$17+8),"00"),"")</f>
        <v/>
      </c>
      <c r="F107" s="9" t="str">
        <f>IF(AND($BN$17&lt;&gt;"",($BM$17+8)&lt;=$BO$17),$BN$17&amp;"-"&amp;TEXT(($BM$17+8),"00"),"")</f>
        <v/>
      </c>
      <c r="H107" s="6"/>
      <c r="I107" s="9" t="str">
        <f>IF(CB107="","",CB107&amp;"-"&amp;TEXT(COUNTIF($CA$72:$CA$95,CB107)+COUNTIF($CB$72:$CB$95,CB107)+COUNTIF($CC$72:$CC$95,CB107)+COUNTIF($CD$72:$CD$95,CB107)+COUNTIF($CA$100:$CA$123,CB107)+COUNTIF($CB$100:CB107,CB107),"000"))</f>
        <v/>
      </c>
      <c r="J107" s="9" t="str">
        <f>IF(AND($BN$18&lt;&gt;"",($BM$18+8)&lt;=$BO$18),$BN$18,"")</f>
        <v/>
      </c>
      <c r="K107" s="9" t="str">
        <f>IF(AND($BN$18&lt;&gt;"",($BM$18+8)&lt;=$BO$18),TEXT(($BM$18+8),"00"),"")</f>
        <v/>
      </c>
      <c r="L107" s="9" t="str">
        <f>IF(AND($BN$18&lt;&gt;"",($BM$18+8)&lt;=$BO$18),$BN$18&amp;"-"&amp;TEXT(($BM$18+8),"00"),"")</f>
        <v/>
      </c>
      <c r="N107" s="6"/>
      <c r="O107" s="9" t="str">
        <f>IF(CC107="","",CC107&amp;"-"&amp;TEXT(COUNTIF($CA$72:$CA$95,CC107)+COUNTIF($CB$72:$CB$95,CC107)+COUNTIF($CC$72:$CC$95,CC107)+COUNTIF($CD$72:$CD$95,CC107)+COUNTIF($CA$100:$CA$123,CC107)+COUNTIF($CB$100:$CB$123,CC107)+COUNTIF($CC$100:CC107,CC107),"000"))</f>
        <v/>
      </c>
      <c r="P107" s="9" t="str">
        <f>IF(AND($BN$19&lt;&gt;"",($BM$19+8)&lt;=$BO$19),$BN$19,"")</f>
        <v/>
      </c>
      <c r="Q107" s="9" t="str">
        <f>IF(AND($BN$19&lt;&gt;"",($BM$19+8)&lt;=$BO$19),TEXT(($BM$19+8),"00"),"")</f>
        <v/>
      </c>
      <c r="R107" s="9" t="str">
        <f>IF(AND($BN$19&lt;&gt;"",($BM$19+8)&lt;=$BO$19),$BN$19&amp;"-"&amp;TEXT(($BM$19+8),"00"),"")</f>
        <v/>
      </c>
      <c r="T107" s="6"/>
      <c r="U107" s="9" t="str">
        <f>IF(CD107="","",CD107&amp;"-"&amp;TEXT(COUNTIF($CA$72:$CA$95,CD107)+COUNTIF($CB$72:$CB$95,CD107)+COUNTIF($CC$72:$CC$95,CD107)+COUNTIF($CD$72:$CD$95,CD107)+COUNTIF($CA$100:$CA$123,CD107)+COUNTIF($CB$100:$CB$123,CD107)+COUNTIF($CC$100:$CC$123,CD107)+COUNTIF($CD$100:CD107,CD107),"000"))</f>
        <v/>
      </c>
      <c r="V107" s="9" t="str">
        <f>IF(AND($BN$20&lt;&gt;"",($BM$20+8)&lt;=$BO$20),$BN$20,"")</f>
        <v/>
      </c>
      <c r="W107" s="9" t="str">
        <f>IF(AND($BN$20&lt;&gt;"",($BM$20+8)&lt;=$BO$20),TEXT(($BM$20+8),"00"),"")</f>
        <v/>
      </c>
      <c r="X107" s="9" t="str">
        <f>IF(AND($BN$20&lt;&gt;"",($BM$20+8)&lt;=$BO$20),$BN$20&amp;"-"&amp;TEXT(($BM$20+8),"00"),"")</f>
        <v/>
      </c>
      <c r="BA107">
        <f>IF(OR(Catalogo!$C107="",Catalogo!$B107="Espacio libre",Catalogo!$B107="Espacio reservado"),0,COUNTIF($C$13:$C$42,Catalogo!$C107)+IF($E$7=Catalogo!$C107,N($K$7),0)+IF($E$8=Catalogo!$C107,N($N$8),0)+IF(Proyecto!$D$12=Catalogo!$C107,$AQ$4,0)+SUMIF($C$49:$C$58,Catalogo!$C107,$K$49:$K$58))</f>
        <v>0</v>
      </c>
      <c r="CA107" t="str" cm="1">
        <f t="array" ref="CA107">IF(NOT(AND($BN$17&lt;&gt;"",($BM$17+8)&lt;=$BO$17)),"",IF(B107&lt;&gt;"",IF(B107="-","",B107),IF(ISNUMBER(SEARCH(":",$BP$17)),IFERROR(_xlfn.LET(_xlpm.s,_xlfn.TEXTSPLIT($BP$17,","),_xlpm.k,FIND(":",_xlpm.s),INDEX(TRIM(LEFT(_xlpm.s,_xlpm.k-1)),_xlfn.XMATCH(($BM$17+8),_xlfn.SCAN(0,--MID(_xlpm.s,_xlpm.k+1,9),_xlfn.LAMBDA(_xlpm.a,_xlpm.v,_xlpm.a+_xlpm.v)),1))),""),IF(($BM$17+8)&lt;=$BQ$17,$BP$17,""))))</f>
        <v/>
      </c>
      <c r="CB107" t="str" cm="1">
        <f t="array" ref="CB107">IF(NOT(AND($BN$18&lt;&gt;"",($BM$18+8)&lt;=$BO$18)),"",IF(H107&lt;&gt;"",IF(H107="-","",H107),IF(ISNUMBER(SEARCH(":",$BP$18)),IFERROR(_xlfn.LET(_xlpm.s,_xlfn.TEXTSPLIT($BP$18,","),_xlpm.k,FIND(":",_xlpm.s),INDEX(TRIM(LEFT(_xlpm.s,_xlpm.k-1)),_xlfn.XMATCH(($BM$18+8),_xlfn.SCAN(0,--MID(_xlpm.s,_xlpm.k+1,9),_xlfn.LAMBDA(_xlpm.a,_xlpm.v,_xlpm.a+_xlpm.v)),1))),""),IF(($BM$18+8)&lt;=$BQ$18,$BP$18,""))))</f>
        <v/>
      </c>
      <c r="CC107" t="str" cm="1">
        <f t="array" ref="CC107">IF(NOT(AND($BN$19&lt;&gt;"",($BM$19+8)&lt;=$BO$19)),"",IF(N107&lt;&gt;"",IF(N107="-","",N107),IF(ISNUMBER(SEARCH(":",$BP$19)),IFERROR(_xlfn.LET(_xlpm.s,_xlfn.TEXTSPLIT($BP$19,","),_xlpm.k,FIND(":",_xlpm.s),INDEX(TRIM(LEFT(_xlpm.s,_xlpm.k-1)),_xlfn.XMATCH(($BM$19+8),_xlfn.SCAN(0,--MID(_xlpm.s,_xlpm.k+1,9),_xlfn.LAMBDA(_xlpm.a,_xlpm.v,_xlpm.a+_xlpm.v)),1))),""),IF(($BM$19+8)&lt;=$BQ$19,$BP$19,""))))</f>
        <v/>
      </c>
      <c r="CD107" t="str" cm="1">
        <f t="array" ref="CD107">IF(NOT(AND($BN$20&lt;&gt;"",($BM$20+8)&lt;=$BO$20)),"",IF(T107&lt;&gt;"",IF(T107="-","",T107),IF(ISNUMBER(SEARCH(":",$BP$20)),IFERROR(_xlfn.LET(_xlpm.s,_xlfn.TEXTSPLIT($BP$20,","),_xlpm.k,FIND(":",_xlpm.s),INDEX(TRIM(LEFT(_xlpm.s,_xlpm.k-1)),_xlfn.XMATCH(($BM$20+8),_xlfn.SCAN(0,--MID(_xlpm.s,_xlpm.k+1,9),_xlfn.LAMBDA(_xlpm.a,_xlpm.v,_xlpm.a+_xlpm.v)),1))),""),IF(($BM$20+8)&lt;=$BQ$20,$BP$20,""))))</f>
        <v/>
      </c>
    </row>
    <row r="108" spans="2:82" hidden="1" x14ac:dyDescent="0.45">
      <c r="B108" s="6"/>
      <c r="C108" s="9" t="str">
        <f>IF(CA108="","",CA108&amp;"-"&amp;TEXT(COUNTIF($CA$72:$CA$95,CA108)+COUNTIF($CB$72:$CB$95,CA108)+COUNTIF($CC$72:$CC$95,CA108)+COUNTIF($CD$72:$CD$95,CA108)+COUNTIF($CA$100:CA108,CA108),"000"))</f>
        <v/>
      </c>
      <c r="D108" s="9" t="str">
        <f>IF(AND($BN$17&lt;&gt;"",($BM$17+9)&lt;=$BO$17),$BN$17,"")</f>
        <v/>
      </c>
      <c r="E108" s="9" t="str">
        <f>IF(AND($BN$17&lt;&gt;"",($BM$17+9)&lt;=$BO$17),TEXT(($BM$17+9),"00"),"")</f>
        <v/>
      </c>
      <c r="F108" s="9" t="str">
        <f>IF(AND($BN$17&lt;&gt;"",($BM$17+9)&lt;=$BO$17),$BN$17&amp;"-"&amp;TEXT(($BM$17+9),"00"),"")</f>
        <v/>
      </c>
      <c r="H108" s="6"/>
      <c r="I108" s="9" t="str">
        <f>IF(CB108="","",CB108&amp;"-"&amp;TEXT(COUNTIF($CA$72:$CA$95,CB108)+COUNTIF($CB$72:$CB$95,CB108)+COUNTIF($CC$72:$CC$95,CB108)+COUNTIF($CD$72:$CD$95,CB108)+COUNTIF($CA$100:$CA$123,CB108)+COUNTIF($CB$100:CB108,CB108),"000"))</f>
        <v/>
      </c>
      <c r="J108" s="9" t="str">
        <f>IF(AND($BN$18&lt;&gt;"",($BM$18+9)&lt;=$BO$18),$BN$18,"")</f>
        <v/>
      </c>
      <c r="K108" s="9" t="str">
        <f>IF(AND($BN$18&lt;&gt;"",($BM$18+9)&lt;=$BO$18),TEXT(($BM$18+9),"00"),"")</f>
        <v/>
      </c>
      <c r="L108" s="9" t="str">
        <f>IF(AND($BN$18&lt;&gt;"",($BM$18+9)&lt;=$BO$18),$BN$18&amp;"-"&amp;TEXT(($BM$18+9),"00"),"")</f>
        <v/>
      </c>
      <c r="N108" s="6"/>
      <c r="O108" s="9" t="str">
        <f>IF(CC108="","",CC108&amp;"-"&amp;TEXT(COUNTIF($CA$72:$CA$95,CC108)+COUNTIF($CB$72:$CB$95,CC108)+COUNTIF($CC$72:$CC$95,CC108)+COUNTIF($CD$72:$CD$95,CC108)+COUNTIF($CA$100:$CA$123,CC108)+COUNTIF($CB$100:$CB$123,CC108)+COUNTIF($CC$100:CC108,CC108),"000"))</f>
        <v/>
      </c>
      <c r="P108" s="9" t="str">
        <f>IF(AND($BN$19&lt;&gt;"",($BM$19+9)&lt;=$BO$19),$BN$19,"")</f>
        <v/>
      </c>
      <c r="Q108" s="9" t="str">
        <f>IF(AND($BN$19&lt;&gt;"",($BM$19+9)&lt;=$BO$19),TEXT(($BM$19+9),"00"),"")</f>
        <v/>
      </c>
      <c r="R108" s="9" t="str">
        <f>IF(AND($BN$19&lt;&gt;"",($BM$19+9)&lt;=$BO$19),$BN$19&amp;"-"&amp;TEXT(($BM$19+9),"00"),"")</f>
        <v/>
      </c>
      <c r="T108" s="6"/>
      <c r="U108" s="9" t="str">
        <f>IF(CD108="","",CD108&amp;"-"&amp;TEXT(COUNTIF($CA$72:$CA$95,CD108)+COUNTIF($CB$72:$CB$95,CD108)+COUNTIF($CC$72:$CC$95,CD108)+COUNTIF($CD$72:$CD$95,CD108)+COUNTIF($CA$100:$CA$123,CD108)+COUNTIF($CB$100:$CB$123,CD108)+COUNTIF($CC$100:$CC$123,CD108)+COUNTIF($CD$100:CD108,CD108),"000"))</f>
        <v/>
      </c>
      <c r="V108" s="9" t="str">
        <f>IF(AND($BN$20&lt;&gt;"",($BM$20+9)&lt;=$BO$20),$BN$20,"")</f>
        <v/>
      </c>
      <c r="W108" s="9" t="str">
        <f>IF(AND($BN$20&lt;&gt;"",($BM$20+9)&lt;=$BO$20),TEXT(($BM$20+9),"00"),"")</f>
        <v/>
      </c>
      <c r="X108" s="9" t="str">
        <f>IF(AND($BN$20&lt;&gt;"",($BM$20+9)&lt;=$BO$20),$BN$20&amp;"-"&amp;TEXT(($BM$20+9),"00"),"")</f>
        <v/>
      </c>
      <c r="BA108">
        <f>IF(OR(Catalogo!$C108="",Catalogo!$B108="Espacio libre",Catalogo!$B108="Espacio reservado"),0,COUNTIF($C$13:$C$42,Catalogo!$C108)+IF($E$7=Catalogo!$C108,N($K$7),0)+IF($E$8=Catalogo!$C108,N($N$8),0)+IF(Proyecto!$D$12=Catalogo!$C108,$AQ$4,0)+SUMIF($C$49:$C$58,Catalogo!$C108,$K$49:$K$58))</f>
        <v>0</v>
      </c>
      <c r="CA108" t="str" cm="1">
        <f t="array" ref="CA108">IF(NOT(AND($BN$17&lt;&gt;"",($BM$17+9)&lt;=$BO$17)),"",IF(B108&lt;&gt;"",IF(B108="-","",B108),IF(ISNUMBER(SEARCH(":",$BP$17)),IFERROR(_xlfn.LET(_xlpm.s,_xlfn.TEXTSPLIT($BP$17,","),_xlpm.k,FIND(":",_xlpm.s),INDEX(TRIM(LEFT(_xlpm.s,_xlpm.k-1)),_xlfn.XMATCH(($BM$17+9),_xlfn.SCAN(0,--MID(_xlpm.s,_xlpm.k+1,9),_xlfn.LAMBDA(_xlpm.a,_xlpm.v,_xlpm.a+_xlpm.v)),1))),""),IF(($BM$17+9)&lt;=$BQ$17,$BP$17,""))))</f>
        <v/>
      </c>
      <c r="CB108" t="str" cm="1">
        <f t="array" ref="CB108">IF(NOT(AND($BN$18&lt;&gt;"",($BM$18+9)&lt;=$BO$18)),"",IF(H108&lt;&gt;"",IF(H108="-","",H108),IF(ISNUMBER(SEARCH(":",$BP$18)),IFERROR(_xlfn.LET(_xlpm.s,_xlfn.TEXTSPLIT($BP$18,","),_xlpm.k,FIND(":",_xlpm.s),INDEX(TRIM(LEFT(_xlpm.s,_xlpm.k-1)),_xlfn.XMATCH(($BM$18+9),_xlfn.SCAN(0,--MID(_xlpm.s,_xlpm.k+1,9),_xlfn.LAMBDA(_xlpm.a,_xlpm.v,_xlpm.a+_xlpm.v)),1))),""),IF(($BM$18+9)&lt;=$BQ$18,$BP$18,""))))</f>
        <v/>
      </c>
      <c r="CC108" t="str" cm="1">
        <f t="array" ref="CC108">IF(NOT(AND($BN$19&lt;&gt;"",($BM$19+9)&lt;=$BO$19)),"",IF(N108&lt;&gt;"",IF(N108="-","",N108),IF(ISNUMBER(SEARCH(":",$BP$19)),IFERROR(_xlfn.LET(_xlpm.s,_xlfn.TEXTSPLIT($BP$19,","),_xlpm.k,FIND(":",_xlpm.s),INDEX(TRIM(LEFT(_xlpm.s,_xlpm.k-1)),_xlfn.XMATCH(($BM$19+9),_xlfn.SCAN(0,--MID(_xlpm.s,_xlpm.k+1,9),_xlfn.LAMBDA(_xlpm.a,_xlpm.v,_xlpm.a+_xlpm.v)),1))),""),IF(($BM$19+9)&lt;=$BQ$19,$BP$19,""))))</f>
        <v/>
      </c>
      <c r="CD108" t="str" cm="1">
        <f t="array" ref="CD108">IF(NOT(AND($BN$20&lt;&gt;"",($BM$20+9)&lt;=$BO$20)),"",IF(T108&lt;&gt;"",IF(T108="-","",T108),IF(ISNUMBER(SEARCH(":",$BP$20)),IFERROR(_xlfn.LET(_xlpm.s,_xlfn.TEXTSPLIT($BP$20,","),_xlpm.k,FIND(":",_xlpm.s),INDEX(TRIM(LEFT(_xlpm.s,_xlpm.k-1)),_xlfn.XMATCH(($BM$20+9),_xlfn.SCAN(0,--MID(_xlpm.s,_xlpm.k+1,9),_xlfn.LAMBDA(_xlpm.a,_xlpm.v,_xlpm.a+_xlpm.v)),1))),""),IF(($BM$20+9)&lt;=$BQ$20,$BP$20,""))))</f>
        <v/>
      </c>
    </row>
    <row r="109" spans="2:82" hidden="1" x14ac:dyDescent="0.45">
      <c r="B109" s="6"/>
      <c r="C109" s="9" t="str">
        <f>IF(CA109="","",CA109&amp;"-"&amp;TEXT(COUNTIF($CA$72:$CA$95,CA109)+COUNTIF($CB$72:$CB$95,CA109)+COUNTIF($CC$72:$CC$95,CA109)+COUNTIF($CD$72:$CD$95,CA109)+COUNTIF($CA$100:CA109,CA109),"000"))</f>
        <v/>
      </c>
      <c r="D109" s="9" t="str">
        <f>IF(AND($BN$17&lt;&gt;"",($BM$17+10)&lt;=$BO$17),$BN$17,"")</f>
        <v/>
      </c>
      <c r="E109" s="9" t="str">
        <f>IF(AND($BN$17&lt;&gt;"",($BM$17+10)&lt;=$BO$17),TEXT(($BM$17+10),"00"),"")</f>
        <v/>
      </c>
      <c r="F109" s="9" t="str">
        <f>IF(AND($BN$17&lt;&gt;"",($BM$17+10)&lt;=$BO$17),$BN$17&amp;"-"&amp;TEXT(($BM$17+10),"00"),"")</f>
        <v/>
      </c>
      <c r="H109" s="6"/>
      <c r="I109" s="9" t="str">
        <f>IF(CB109="","",CB109&amp;"-"&amp;TEXT(COUNTIF($CA$72:$CA$95,CB109)+COUNTIF($CB$72:$CB$95,CB109)+COUNTIF($CC$72:$CC$95,CB109)+COUNTIF($CD$72:$CD$95,CB109)+COUNTIF($CA$100:$CA$123,CB109)+COUNTIF($CB$100:CB109,CB109),"000"))</f>
        <v/>
      </c>
      <c r="J109" s="9" t="str">
        <f>IF(AND($BN$18&lt;&gt;"",($BM$18+10)&lt;=$BO$18),$BN$18,"")</f>
        <v/>
      </c>
      <c r="K109" s="9" t="str">
        <f>IF(AND($BN$18&lt;&gt;"",($BM$18+10)&lt;=$BO$18),TEXT(($BM$18+10),"00"),"")</f>
        <v/>
      </c>
      <c r="L109" s="9" t="str">
        <f>IF(AND($BN$18&lt;&gt;"",($BM$18+10)&lt;=$BO$18),$BN$18&amp;"-"&amp;TEXT(($BM$18+10),"00"),"")</f>
        <v/>
      </c>
      <c r="N109" s="6"/>
      <c r="O109" s="9" t="str">
        <f>IF(CC109="","",CC109&amp;"-"&amp;TEXT(COUNTIF($CA$72:$CA$95,CC109)+COUNTIF($CB$72:$CB$95,CC109)+COUNTIF($CC$72:$CC$95,CC109)+COUNTIF($CD$72:$CD$95,CC109)+COUNTIF($CA$100:$CA$123,CC109)+COUNTIF($CB$100:$CB$123,CC109)+COUNTIF($CC$100:CC109,CC109),"000"))</f>
        <v/>
      </c>
      <c r="P109" s="9" t="str">
        <f>IF(AND($BN$19&lt;&gt;"",($BM$19+10)&lt;=$BO$19),$BN$19,"")</f>
        <v/>
      </c>
      <c r="Q109" s="9" t="str">
        <f>IF(AND($BN$19&lt;&gt;"",($BM$19+10)&lt;=$BO$19),TEXT(($BM$19+10),"00"),"")</f>
        <v/>
      </c>
      <c r="R109" s="9" t="str">
        <f>IF(AND($BN$19&lt;&gt;"",($BM$19+10)&lt;=$BO$19),$BN$19&amp;"-"&amp;TEXT(($BM$19+10),"00"),"")</f>
        <v/>
      </c>
      <c r="T109" s="6"/>
      <c r="U109" s="9" t="str">
        <f>IF(CD109="","",CD109&amp;"-"&amp;TEXT(COUNTIF($CA$72:$CA$95,CD109)+COUNTIF($CB$72:$CB$95,CD109)+COUNTIF($CC$72:$CC$95,CD109)+COUNTIF($CD$72:$CD$95,CD109)+COUNTIF($CA$100:$CA$123,CD109)+COUNTIF($CB$100:$CB$123,CD109)+COUNTIF($CC$100:$CC$123,CD109)+COUNTIF($CD$100:CD109,CD109),"000"))</f>
        <v/>
      </c>
      <c r="V109" s="9" t="str">
        <f>IF(AND($BN$20&lt;&gt;"",($BM$20+10)&lt;=$BO$20),$BN$20,"")</f>
        <v/>
      </c>
      <c r="W109" s="9" t="str">
        <f>IF(AND($BN$20&lt;&gt;"",($BM$20+10)&lt;=$BO$20),TEXT(($BM$20+10),"00"),"")</f>
        <v/>
      </c>
      <c r="X109" s="9" t="str">
        <f>IF(AND($BN$20&lt;&gt;"",($BM$20+10)&lt;=$BO$20),$BN$20&amp;"-"&amp;TEXT(($BM$20+10),"00"),"")</f>
        <v/>
      </c>
      <c r="BA109">
        <f>IF(OR(Catalogo!$C109="",Catalogo!$B109="Espacio libre",Catalogo!$B109="Espacio reservado"),0,COUNTIF($C$13:$C$42,Catalogo!$C109)+IF($E$7=Catalogo!$C109,N($K$7),0)+IF($E$8=Catalogo!$C109,N($N$8),0)+IF(Proyecto!$D$12=Catalogo!$C109,$AQ$4,0)+SUMIF($C$49:$C$58,Catalogo!$C109,$K$49:$K$58))</f>
        <v>0</v>
      </c>
      <c r="CA109" t="str" cm="1">
        <f t="array" ref="CA109">IF(NOT(AND($BN$17&lt;&gt;"",($BM$17+10)&lt;=$BO$17)),"",IF(B109&lt;&gt;"",IF(B109="-","",B109),IF(ISNUMBER(SEARCH(":",$BP$17)),IFERROR(_xlfn.LET(_xlpm.s,_xlfn.TEXTSPLIT($BP$17,","),_xlpm.k,FIND(":",_xlpm.s),INDEX(TRIM(LEFT(_xlpm.s,_xlpm.k-1)),_xlfn.XMATCH(($BM$17+10),_xlfn.SCAN(0,--MID(_xlpm.s,_xlpm.k+1,9),_xlfn.LAMBDA(_xlpm.a,_xlpm.v,_xlpm.a+_xlpm.v)),1))),""),IF(($BM$17+10)&lt;=$BQ$17,$BP$17,""))))</f>
        <v/>
      </c>
      <c r="CB109" t="str" cm="1">
        <f t="array" ref="CB109">IF(NOT(AND($BN$18&lt;&gt;"",($BM$18+10)&lt;=$BO$18)),"",IF(H109&lt;&gt;"",IF(H109="-","",H109),IF(ISNUMBER(SEARCH(":",$BP$18)),IFERROR(_xlfn.LET(_xlpm.s,_xlfn.TEXTSPLIT($BP$18,","),_xlpm.k,FIND(":",_xlpm.s),INDEX(TRIM(LEFT(_xlpm.s,_xlpm.k-1)),_xlfn.XMATCH(($BM$18+10),_xlfn.SCAN(0,--MID(_xlpm.s,_xlpm.k+1,9),_xlfn.LAMBDA(_xlpm.a,_xlpm.v,_xlpm.a+_xlpm.v)),1))),""),IF(($BM$18+10)&lt;=$BQ$18,$BP$18,""))))</f>
        <v/>
      </c>
      <c r="CC109" t="str" cm="1">
        <f t="array" ref="CC109">IF(NOT(AND($BN$19&lt;&gt;"",($BM$19+10)&lt;=$BO$19)),"",IF(N109&lt;&gt;"",IF(N109="-","",N109),IF(ISNUMBER(SEARCH(":",$BP$19)),IFERROR(_xlfn.LET(_xlpm.s,_xlfn.TEXTSPLIT($BP$19,","),_xlpm.k,FIND(":",_xlpm.s),INDEX(TRIM(LEFT(_xlpm.s,_xlpm.k-1)),_xlfn.XMATCH(($BM$19+10),_xlfn.SCAN(0,--MID(_xlpm.s,_xlpm.k+1,9),_xlfn.LAMBDA(_xlpm.a,_xlpm.v,_xlpm.a+_xlpm.v)),1))),""),IF(($BM$19+10)&lt;=$BQ$19,$BP$19,""))))</f>
        <v/>
      </c>
      <c r="CD109" t="str" cm="1">
        <f t="array" ref="CD109">IF(NOT(AND($BN$20&lt;&gt;"",($BM$20+10)&lt;=$BO$20)),"",IF(T109&lt;&gt;"",IF(T109="-","",T109),IF(ISNUMBER(SEARCH(":",$BP$20)),IFERROR(_xlfn.LET(_xlpm.s,_xlfn.TEXTSPLIT($BP$20,","),_xlpm.k,FIND(":",_xlpm.s),INDEX(TRIM(LEFT(_xlpm.s,_xlpm.k-1)),_xlfn.XMATCH(($BM$20+10),_xlfn.SCAN(0,--MID(_xlpm.s,_xlpm.k+1,9),_xlfn.LAMBDA(_xlpm.a,_xlpm.v,_xlpm.a+_xlpm.v)),1))),""),IF(($BM$20+10)&lt;=$BQ$20,$BP$20,""))))</f>
        <v/>
      </c>
    </row>
    <row r="110" spans="2:82" hidden="1" x14ac:dyDescent="0.45">
      <c r="B110" s="6"/>
      <c r="C110" s="9" t="str">
        <f>IF(CA110="","",CA110&amp;"-"&amp;TEXT(COUNTIF($CA$72:$CA$95,CA110)+COUNTIF($CB$72:$CB$95,CA110)+COUNTIF($CC$72:$CC$95,CA110)+COUNTIF($CD$72:$CD$95,CA110)+COUNTIF($CA$100:CA110,CA110),"000"))</f>
        <v/>
      </c>
      <c r="D110" s="9" t="str">
        <f>IF(AND($BN$17&lt;&gt;"",($BM$17+11)&lt;=$BO$17),$BN$17,"")</f>
        <v/>
      </c>
      <c r="E110" s="9" t="str">
        <f>IF(AND($BN$17&lt;&gt;"",($BM$17+11)&lt;=$BO$17),TEXT(($BM$17+11),"00"),"")</f>
        <v/>
      </c>
      <c r="F110" s="9" t="str">
        <f>IF(AND($BN$17&lt;&gt;"",($BM$17+11)&lt;=$BO$17),$BN$17&amp;"-"&amp;TEXT(($BM$17+11),"00"),"")</f>
        <v/>
      </c>
      <c r="H110" s="6"/>
      <c r="I110" s="9" t="str">
        <f>IF(CB110="","",CB110&amp;"-"&amp;TEXT(COUNTIF($CA$72:$CA$95,CB110)+COUNTIF($CB$72:$CB$95,CB110)+COUNTIF($CC$72:$CC$95,CB110)+COUNTIF($CD$72:$CD$95,CB110)+COUNTIF($CA$100:$CA$123,CB110)+COUNTIF($CB$100:CB110,CB110),"000"))</f>
        <v/>
      </c>
      <c r="J110" s="9" t="str">
        <f>IF(AND($BN$18&lt;&gt;"",($BM$18+11)&lt;=$BO$18),$BN$18,"")</f>
        <v/>
      </c>
      <c r="K110" s="9" t="str">
        <f>IF(AND($BN$18&lt;&gt;"",($BM$18+11)&lt;=$BO$18),TEXT(($BM$18+11),"00"),"")</f>
        <v/>
      </c>
      <c r="L110" s="9" t="str">
        <f>IF(AND($BN$18&lt;&gt;"",($BM$18+11)&lt;=$BO$18),$BN$18&amp;"-"&amp;TEXT(($BM$18+11),"00"),"")</f>
        <v/>
      </c>
      <c r="N110" s="6"/>
      <c r="O110" s="9" t="str">
        <f>IF(CC110="","",CC110&amp;"-"&amp;TEXT(COUNTIF($CA$72:$CA$95,CC110)+COUNTIF($CB$72:$CB$95,CC110)+COUNTIF($CC$72:$CC$95,CC110)+COUNTIF($CD$72:$CD$95,CC110)+COUNTIF($CA$100:$CA$123,CC110)+COUNTIF($CB$100:$CB$123,CC110)+COUNTIF($CC$100:CC110,CC110),"000"))</f>
        <v/>
      </c>
      <c r="P110" s="9" t="str">
        <f>IF(AND($BN$19&lt;&gt;"",($BM$19+11)&lt;=$BO$19),$BN$19,"")</f>
        <v/>
      </c>
      <c r="Q110" s="9" t="str">
        <f>IF(AND($BN$19&lt;&gt;"",($BM$19+11)&lt;=$BO$19),TEXT(($BM$19+11),"00"),"")</f>
        <v/>
      </c>
      <c r="R110" s="9" t="str">
        <f>IF(AND($BN$19&lt;&gt;"",($BM$19+11)&lt;=$BO$19),$BN$19&amp;"-"&amp;TEXT(($BM$19+11),"00"),"")</f>
        <v/>
      </c>
      <c r="T110" s="6"/>
      <c r="U110" s="9" t="str">
        <f>IF(CD110="","",CD110&amp;"-"&amp;TEXT(COUNTIF($CA$72:$CA$95,CD110)+COUNTIF($CB$72:$CB$95,CD110)+COUNTIF($CC$72:$CC$95,CD110)+COUNTIF($CD$72:$CD$95,CD110)+COUNTIF($CA$100:$CA$123,CD110)+COUNTIF($CB$100:$CB$123,CD110)+COUNTIF($CC$100:$CC$123,CD110)+COUNTIF($CD$100:CD110,CD110),"000"))</f>
        <v/>
      </c>
      <c r="V110" s="9" t="str">
        <f>IF(AND($BN$20&lt;&gt;"",($BM$20+11)&lt;=$BO$20),$BN$20,"")</f>
        <v/>
      </c>
      <c r="W110" s="9" t="str">
        <f>IF(AND($BN$20&lt;&gt;"",($BM$20+11)&lt;=$BO$20),TEXT(($BM$20+11),"00"),"")</f>
        <v/>
      </c>
      <c r="X110" s="9" t="str">
        <f>IF(AND($BN$20&lt;&gt;"",($BM$20+11)&lt;=$BO$20),$BN$20&amp;"-"&amp;TEXT(($BM$20+11),"00"),"")</f>
        <v/>
      </c>
      <c r="BA110">
        <f>IF(OR(Catalogo!$C110="",Catalogo!$B110="Espacio libre",Catalogo!$B110="Espacio reservado"),0,COUNTIF($C$13:$C$42,Catalogo!$C110)+IF($E$7=Catalogo!$C110,N($K$7),0)+IF($E$8=Catalogo!$C110,N($N$8),0)+IF(Proyecto!$D$12=Catalogo!$C110,$AQ$4,0)+SUMIF($C$49:$C$58,Catalogo!$C110,$K$49:$K$58))</f>
        <v>0</v>
      </c>
      <c r="CA110" t="str" cm="1">
        <f t="array" ref="CA110">IF(NOT(AND($BN$17&lt;&gt;"",($BM$17+11)&lt;=$BO$17)),"",IF(B110&lt;&gt;"",IF(B110="-","",B110),IF(ISNUMBER(SEARCH(":",$BP$17)),IFERROR(_xlfn.LET(_xlpm.s,_xlfn.TEXTSPLIT($BP$17,","),_xlpm.k,FIND(":",_xlpm.s),INDEX(TRIM(LEFT(_xlpm.s,_xlpm.k-1)),_xlfn.XMATCH(($BM$17+11),_xlfn.SCAN(0,--MID(_xlpm.s,_xlpm.k+1,9),_xlfn.LAMBDA(_xlpm.a,_xlpm.v,_xlpm.a+_xlpm.v)),1))),""),IF(($BM$17+11)&lt;=$BQ$17,$BP$17,""))))</f>
        <v/>
      </c>
      <c r="CB110" t="str" cm="1">
        <f t="array" ref="CB110">IF(NOT(AND($BN$18&lt;&gt;"",($BM$18+11)&lt;=$BO$18)),"",IF(H110&lt;&gt;"",IF(H110="-","",H110),IF(ISNUMBER(SEARCH(":",$BP$18)),IFERROR(_xlfn.LET(_xlpm.s,_xlfn.TEXTSPLIT($BP$18,","),_xlpm.k,FIND(":",_xlpm.s),INDEX(TRIM(LEFT(_xlpm.s,_xlpm.k-1)),_xlfn.XMATCH(($BM$18+11),_xlfn.SCAN(0,--MID(_xlpm.s,_xlpm.k+1,9),_xlfn.LAMBDA(_xlpm.a,_xlpm.v,_xlpm.a+_xlpm.v)),1))),""),IF(($BM$18+11)&lt;=$BQ$18,$BP$18,""))))</f>
        <v/>
      </c>
      <c r="CC110" t="str" cm="1">
        <f t="array" ref="CC110">IF(NOT(AND($BN$19&lt;&gt;"",($BM$19+11)&lt;=$BO$19)),"",IF(N110&lt;&gt;"",IF(N110="-","",N110),IF(ISNUMBER(SEARCH(":",$BP$19)),IFERROR(_xlfn.LET(_xlpm.s,_xlfn.TEXTSPLIT($BP$19,","),_xlpm.k,FIND(":",_xlpm.s),INDEX(TRIM(LEFT(_xlpm.s,_xlpm.k-1)),_xlfn.XMATCH(($BM$19+11),_xlfn.SCAN(0,--MID(_xlpm.s,_xlpm.k+1,9),_xlfn.LAMBDA(_xlpm.a,_xlpm.v,_xlpm.a+_xlpm.v)),1))),""),IF(($BM$19+11)&lt;=$BQ$19,$BP$19,""))))</f>
        <v/>
      </c>
      <c r="CD110" t="str" cm="1">
        <f t="array" ref="CD110">IF(NOT(AND($BN$20&lt;&gt;"",($BM$20+11)&lt;=$BO$20)),"",IF(T110&lt;&gt;"",IF(T110="-","",T110),IF(ISNUMBER(SEARCH(":",$BP$20)),IFERROR(_xlfn.LET(_xlpm.s,_xlfn.TEXTSPLIT($BP$20,","),_xlpm.k,FIND(":",_xlpm.s),INDEX(TRIM(LEFT(_xlpm.s,_xlpm.k-1)),_xlfn.XMATCH(($BM$20+11),_xlfn.SCAN(0,--MID(_xlpm.s,_xlpm.k+1,9),_xlfn.LAMBDA(_xlpm.a,_xlpm.v,_xlpm.a+_xlpm.v)),1))),""),IF(($BM$20+11)&lt;=$BQ$20,$BP$20,""))))</f>
        <v/>
      </c>
    </row>
    <row r="111" spans="2:82" hidden="1" x14ac:dyDescent="0.45">
      <c r="B111" s="6"/>
      <c r="C111" s="9" t="str">
        <f>IF(CA111="","",CA111&amp;"-"&amp;TEXT(COUNTIF($CA$72:$CA$95,CA111)+COUNTIF($CB$72:$CB$95,CA111)+COUNTIF($CC$72:$CC$95,CA111)+COUNTIF($CD$72:$CD$95,CA111)+COUNTIF($CA$100:CA111,CA111),"000"))</f>
        <v/>
      </c>
      <c r="D111" s="9" t="str">
        <f>IF(AND($BN$17&lt;&gt;"",($BM$17+12)&lt;=$BO$17),$BN$17,"")</f>
        <v/>
      </c>
      <c r="E111" s="9" t="str">
        <f>IF(AND($BN$17&lt;&gt;"",($BM$17+12)&lt;=$BO$17),TEXT(($BM$17+12),"00"),"")</f>
        <v/>
      </c>
      <c r="F111" s="9" t="str">
        <f>IF(AND($BN$17&lt;&gt;"",($BM$17+12)&lt;=$BO$17),$BN$17&amp;"-"&amp;TEXT(($BM$17+12),"00"),"")</f>
        <v/>
      </c>
      <c r="H111" s="6"/>
      <c r="I111" s="9" t="str">
        <f>IF(CB111="","",CB111&amp;"-"&amp;TEXT(COUNTIF($CA$72:$CA$95,CB111)+COUNTIF($CB$72:$CB$95,CB111)+COUNTIF($CC$72:$CC$95,CB111)+COUNTIF($CD$72:$CD$95,CB111)+COUNTIF($CA$100:$CA$123,CB111)+COUNTIF($CB$100:CB111,CB111),"000"))</f>
        <v/>
      </c>
      <c r="J111" s="9" t="str">
        <f>IF(AND($BN$18&lt;&gt;"",($BM$18+12)&lt;=$BO$18),$BN$18,"")</f>
        <v/>
      </c>
      <c r="K111" s="9" t="str">
        <f>IF(AND($BN$18&lt;&gt;"",($BM$18+12)&lt;=$BO$18),TEXT(($BM$18+12),"00"),"")</f>
        <v/>
      </c>
      <c r="L111" s="9" t="str">
        <f>IF(AND($BN$18&lt;&gt;"",($BM$18+12)&lt;=$BO$18),$BN$18&amp;"-"&amp;TEXT(($BM$18+12),"00"),"")</f>
        <v/>
      </c>
      <c r="N111" s="6"/>
      <c r="O111" s="9" t="str">
        <f>IF(CC111="","",CC111&amp;"-"&amp;TEXT(COUNTIF($CA$72:$CA$95,CC111)+COUNTIF($CB$72:$CB$95,CC111)+COUNTIF($CC$72:$CC$95,CC111)+COUNTIF($CD$72:$CD$95,CC111)+COUNTIF($CA$100:$CA$123,CC111)+COUNTIF($CB$100:$CB$123,CC111)+COUNTIF($CC$100:CC111,CC111),"000"))</f>
        <v/>
      </c>
      <c r="P111" s="9" t="str">
        <f>IF(AND($BN$19&lt;&gt;"",($BM$19+12)&lt;=$BO$19),$BN$19,"")</f>
        <v/>
      </c>
      <c r="Q111" s="9" t="str">
        <f>IF(AND($BN$19&lt;&gt;"",($BM$19+12)&lt;=$BO$19),TEXT(($BM$19+12),"00"),"")</f>
        <v/>
      </c>
      <c r="R111" s="9" t="str">
        <f>IF(AND($BN$19&lt;&gt;"",($BM$19+12)&lt;=$BO$19),$BN$19&amp;"-"&amp;TEXT(($BM$19+12),"00"),"")</f>
        <v/>
      </c>
      <c r="T111" s="6"/>
      <c r="U111" s="9" t="str">
        <f>IF(CD111="","",CD111&amp;"-"&amp;TEXT(COUNTIF($CA$72:$CA$95,CD111)+COUNTIF($CB$72:$CB$95,CD111)+COUNTIF($CC$72:$CC$95,CD111)+COUNTIF($CD$72:$CD$95,CD111)+COUNTIF($CA$100:$CA$123,CD111)+COUNTIF($CB$100:$CB$123,CD111)+COUNTIF($CC$100:$CC$123,CD111)+COUNTIF($CD$100:CD111,CD111),"000"))</f>
        <v/>
      </c>
      <c r="V111" s="9" t="str">
        <f>IF(AND($BN$20&lt;&gt;"",($BM$20+12)&lt;=$BO$20),$BN$20,"")</f>
        <v/>
      </c>
      <c r="W111" s="9" t="str">
        <f>IF(AND($BN$20&lt;&gt;"",($BM$20+12)&lt;=$BO$20),TEXT(($BM$20+12),"00"),"")</f>
        <v/>
      </c>
      <c r="X111" s="9" t="str">
        <f>IF(AND($BN$20&lt;&gt;"",($BM$20+12)&lt;=$BO$20),$BN$20&amp;"-"&amp;TEXT(($BM$20+12),"00"),"")</f>
        <v/>
      </c>
      <c r="BA111">
        <f>IF(OR(Catalogo!$C111="",Catalogo!$B111="Espacio libre",Catalogo!$B111="Espacio reservado"),0,COUNTIF($C$13:$C$42,Catalogo!$C111)+IF($E$7=Catalogo!$C111,N($K$7),0)+IF($E$8=Catalogo!$C111,N($N$8),0)+IF(Proyecto!$D$12=Catalogo!$C111,$AQ$4,0)+SUMIF($C$49:$C$58,Catalogo!$C111,$K$49:$K$58))</f>
        <v>1</v>
      </c>
      <c r="CA111" t="str" cm="1">
        <f t="array" ref="CA111">IF(NOT(AND($BN$17&lt;&gt;"",($BM$17+12)&lt;=$BO$17)),"",IF(B111&lt;&gt;"",IF(B111="-","",B111),IF(ISNUMBER(SEARCH(":",$BP$17)),IFERROR(_xlfn.LET(_xlpm.s,_xlfn.TEXTSPLIT($BP$17,","),_xlpm.k,FIND(":",_xlpm.s),INDEX(TRIM(LEFT(_xlpm.s,_xlpm.k-1)),_xlfn.XMATCH(($BM$17+12),_xlfn.SCAN(0,--MID(_xlpm.s,_xlpm.k+1,9),_xlfn.LAMBDA(_xlpm.a,_xlpm.v,_xlpm.a+_xlpm.v)),1))),""),IF(($BM$17+12)&lt;=$BQ$17,$BP$17,""))))</f>
        <v/>
      </c>
      <c r="CB111" t="str" cm="1">
        <f t="array" ref="CB111">IF(NOT(AND($BN$18&lt;&gt;"",($BM$18+12)&lt;=$BO$18)),"",IF(H111&lt;&gt;"",IF(H111="-","",H111),IF(ISNUMBER(SEARCH(":",$BP$18)),IFERROR(_xlfn.LET(_xlpm.s,_xlfn.TEXTSPLIT($BP$18,","),_xlpm.k,FIND(":",_xlpm.s),INDEX(TRIM(LEFT(_xlpm.s,_xlpm.k-1)),_xlfn.XMATCH(($BM$18+12),_xlfn.SCAN(0,--MID(_xlpm.s,_xlpm.k+1,9),_xlfn.LAMBDA(_xlpm.a,_xlpm.v,_xlpm.a+_xlpm.v)),1))),""),IF(($BM$18+12)&lt;=$BQ$18,$BP$18,""))))</f>
        <v/>
      </c>
      <c r="CC111" t="str" cm="1">
        <f t="array" ref="CC111">IF(NOT(AND($BN$19&lt;&gt;"",($BM$19+12)&lt;=$BO$19)),"",IF(N111&lt;&gt;"",IF(N111="-","",N111),IF(ISNUMBER(SEARCH(":",$BP$19)),IFERROR(_xlfn.LET(_xlpm.s,_xlfn.TEXTSPLIT($BP$19,","),_xlpm.k,FIND(":",_xlpm.s),INDEX(TRIM(LEFT(_xlpm.s,_xlpm.k-1)),_xlfn.XMATCH(($BM$19+12),_xlfn.SCAN(0,--MID(_xlpm.s,_xlpm.k+1,9),_xlfn.LAMBDA(_xlpm.a,_xlpm.v,_xlpm.a+_xlpm.v)),1))),""),IF(($BM$19+12)&lt;=$BQ$19,$BP$19,""))))</f>
        <v/>
      </c>
      <c r="CD111" t="str" cm="1">
        <f t="array" ref="CD111">IF(NOT(AND($BN$20&lt;&gt;"",($BM$20+12)&lt;=$BO$20)),"",IF(T111&lt;&gt;"",IF(T111="-","",T111),IF(ISNUMBER(SEARCH(":",$BP$20)),IFERROR(_xlfn.LET(_xlpm.s,_xlfn.TEXTSPLIT($BP$20,","),_xlpm.k,FIND(":",_xlpm.s),INDEX(TRIM(LEFT(_xlpm.s,_xlpm.k-1)),_xlfn.XMATCH(($BM$20+12),_xlfn.SCAN(0,--MID(_xlpm.s,_xlpm.k+1,9),_xlfn.LAMBDA(_xlpm.a,_xlpm.v,_xlpm.a+_xlpm.v)),1))),""),IF(($BM$20+12)&lt;=$BQ$20,$BP$20,""))))</f>
        <v/>
      </c>
    </row>
    <row r="112" spans="2:82" hidden="1" x14ac:dyDescent="0.45">
      <c r="B112" s="6"/>
      <c r="C112" s="9" t="str">
        <f>IF(CA112="","",CA112&amp;"-"&amp;TEXT(COUNTIF($CA$72:$CA$95,CA112)+COUNTIF($CB$72:$CB$95,CA112)+COUNTIF($CC$72:$CC$95,CA112)+COUNTIF($CD$72:$CD$95,CA112)+COUNTIF($CA$100:CA112,CA112),"000"))</f>
        <v/>
      </c>
      <c r="D112" s="9" t="str">
        <f>IF(AND($BN$17&lt;&gt;"",($BM$17+13)&lt;=$BO$17),$BN$17,"")</f>
        <v/>
      </c>
      <c r="E112" s="9" t="str">
        <f>IF(AND($BN$17&lt;&gt;"",($BM$17+13)&lt;=$BO$17),TEXT(($BM$17+13),"00"),"")</f>
        <v/>
      </c>
      <c r="F112" s="9" t="str">
        <f>IF(AND($BN$17&lt;&gt;"",($BM$17+13)&lt;=$BO$17),$BN$17&amp;"-"&amp;TEXT(($BM$17+13),"00"),"")</f>
        <v/>
      </c>
      <c r="H112" s="6"/>
      <c r="I112" s="9" t="str">
        <f>IF(CB112="","",CB112&amp;"-"&amp;TEXT(COUNTIF($CA$72:$CA$95,CB112)+COUNTIF($CB$72:$CB$95,CB112)+COUNTIF($CC$72:$CC$95,CB112)+COUNTIF($CD$72:$CD$95,CB112)+COUNTIF($CA$100:$CA$123,CB112)+COUNTIF($CB$100:CB112,CB112),"000"))</f>
        <v/>
      </c>
      <c r="J112" s="9" t="str">
        <f>IF(AND($BN$18&lt;&gt;"",($BM$18+13)&lt;=$BO$18),$BN$18,"")</f>
        <v/>
      </c>
      <c r="K112" s="9" t="str">
        <f>IF(AND($BN$18&lt;&gt;"",($BM$18+13)&lt;=$BO$18),TEXT(($BM$18+13),"00"),"")</f>
        <v/>
      </c>
      <c r="L112" s="9" t="str">
        <f>IF(AND($BN$18&lt;&gt;"",($BM$18+13)&lt;=$BO$18),$BN$18&amp;"-"&amp;TEXT(($BM$18+13),"00"),"")</f>
        <v/>
      </c>
      <c r="N112" s="6"/>
      <c r="O112" s="9" t="str">
        <f>IF(CC112="","",CC112&amp;"-"&amp;TEXT(COUNTIF($CA$72:$CA$95,CC112)+COUNTIF($CB$72:$CB$95,CC112)+COUNTIF($CC$72:$CC$95,CC112)+COUNTIF($CD$72:$CD$95,CC112)+COUNTIF($CA$100:$CA$123,CC112)+COUNTIF($CB$100:$CB$123,CC112)+COUNTIF($CC$100:CC112,CC112),"000"))</f>
        <v/>
      </c>
      <c r="P112" s="9" t="str">
        <f>IF(AND($BN$19&lt;&gt;"",($BM$19+13)&lt;=$BO$19),$BN$19,"")</f>
        <v/>
      </c>
      <c r="Q112" s="9" t="str">
        <f>IF(AND($BN$19&lt;&gt;"",($BM$19+13)&lt;=$BO$19),TEXT(($BM$19+13),"00"),"")</f>
        <v/>
      </c>
      <c r="R112" s="9" t="str">
        <f>IF(AND($BN$19&lt;&gt;"",($BM$19+13)&lt;=$BO$19),$BN$19&amp;"-"&amp;TEXT(($BM$19+13),"00"),"")</f>
        <v/>
      </c>
      <c r="T112" s="6"/>
      <c r="U112" s="9" t="str">
        <f>IF(CD112="","",CD112&amp;"-"&amp;TEXT(COUNTIF($CA$72:$CA$95,CD112)+COUNTIF($CB$72:$CB$95,CD112)+COUNTIF($CC$72:$CC$95,CD112)+COUNTIF($CD$72:$CD$95,CD112)+COUNTIF($CA$100:$CA$123,CD112)+COUNTIF($CB$100:$CB$123,CD112)+COUNTIF($CC$100:$CC$123,CD112)+COUNTIF($CD$100:CD112,CD112),"000"))</f>
        <v/>
      </c>
      <c r="V112" s="9" t="str">
        <f>IF(AND($BN$20&lt;&gt;"",($BM$20+13)&lt;=$BO$20),$BN$20,"")</f>
        <v/>
      </c>
      <c r="W112" s="9" t="str">
        <f>IF(AND($BN$20&lt;&gt;"",($BM$20+13)&lt;=$BO$20),TEXT(($BM$20+13),"00"),"")</f>
        <v/>
      </c>
      <c r="X112" s="9" t="str">
        <f>IF(AND($BN$20&lt;&gt;"",($BM$20+13)&lt;=$BO$20),$BN$20&amp;"-"&amp;TEXT(($BM$20+13),"00"),"")</f>
        <v/>
      </c>
      <c r="BA112">
        <f>IF(OR(Catalogo!$C112="",Catalogo!$B112="Espacio libre",Catalogo!$B112="Espacio reservado"),0,COUNTIF($C$13:$C$42,Catalogo!$C112)+IF($E$7=Catalogo!$C112,N($K$7),0)+IF($E$8=Catalogo!$C112,N($N$8),0)+IF(Proyecto!$D$12=Catalogo!$C112,$AQ$4,0)+SUMIF($C$49:$C$58,Catalogo!$C112,$K$49:$K$58))</f>
        <v>24</v>
      </c>
      <c r="CA112" t="str" cm="1">
        <f t="array" ref="CA112">IF(NOT(AND($BN$17&lt;&gt;"",($BM$17+13)&lt;=$BO$17)),"",IF(B112&lt;&gt;"",IF(B112="-","",B112),IF(ISNUMBER(SEARCH(":",$BP$17)),IFERROR(_xlfn.LET(_xlpm.s,_xlfn.TEXTSPLIT($BP$17,","),_xlpm.k,FIND(":",_xlpm.s),INDEX(TRIM(LEFT(_xlpm.s,_xlpm.k-1)),_xlfn.XMATCH(($BM$17+13),_xlfn.SCAN(0,--MID(_xlpm.s,_xlpm.k+1,9),_xlfn.LAMBDA(_xlpm.a,_xlpm.v,_xlpm.a+_xlpm.v)),1))),""),IF(($BM$17+13)&lt;=$BQ$17,$BP$17,""))))</f>
        <v/>
      </c>
      <c r="CB112" t="str" cm="1">
        <f t="array" ref="CB112">IF(NOT(AND($BN$18&lt;&gt;"",($BM$18+13)&lt;=$BO$18)),"",IF(H112&lt;&gt;"",IF(H112="-","",H112),IF(ISNUMBER(SEARCH(":",$BP$18)),IFERROR(_xlfn.LET(_xlpm.s,_xlfn.TEXTSPLIT($BP$18,","),_xlpm.k,FIND(":",_xlpm.s),INDEX(TRIM(LEFT(_xlpm.s,_xlpm.k-1)),_xlfn.XMATCH(($BM$18+13),_xlfn.SCAN(0,--MID(_xlpm.s,_xlpm.k+1,9),_xlfn.LAMBDA(_xlpm.a,_xlpm.v,_xlpm.a+_xlpm.v)),1))),""),IF(($BM$18+13)&lt;=$BQ$18,$BP$18,""))))</f>
        <v/>
      </c>
      <c r="CC112" t="str" cm="1">
        <f t="array" ref="CC112">IF(NOT(AND($BN$19&lt;&gt;"",($BM$19+13)&lt;=$BO$19)),"",IF(N112&lt;&gt;"",IF(N112="-","",N112),IF(ISNUMBER(SEARCH(":",$BP$19)),IFERROR(_xlfn.LET(_xlpm.s,_xlfn.TEXTSPLIT($BP$19,","),_xlpm.k,FIND(":",_xlpm.s),INDEX(TRIM(LEFT(_xlpm.s,_xlpm.k-1)),_xlfn.XMATCH(($BM$19+13),_xlfn.SCAN(0,--MID(_xlpm.s,_xlpm.k+1,9),_xlfn.LAMBDA(_xlpm.a,_xlpm.v,_xlpm.a+_xlpm.v)),1))),""),IF(($BM$19+13)&lt;=$BQ$19,$BP$19,""))))</f>
        <v/>
      </c>
      <c r="CD112" t="str" cm="1">
        <f t="array" ref="CD112">IF(NOT(AND($BN$20&lt;&gt;"",($BM$20+13)&lt;=$BO$20)),"",IF(T112&lt;&gt;"",IF(T112="-","",T112),IF(ISNUMBER(SEARCH(":",$BP$20)),IFERROR(_xlfn.LET(_xlpm.s,_xlfn.TEXTSPLIT($BP$20,","),_xlpm.k,FIND(":",_xlpm.s),INDEX(TRIM(LEFT(_xlpm.s,_xlpm.k-1)),_xlfn.XMATCH(($BM$20+13),_xlfn.SCAN(0,--MID(_xlpm.s,_xlpm.k+1,9),_xlfn.LAMBDA(_xlpm.a,_xlpm.v,_xlpm.a+_xlpm.v)),1))),""),IF(($BM$20+13)&lt;=$BQ$20,$BP$20,""))))</f>
        <v/>
      </c>
    </row>
    <row r="113" spans="2:82" hidden="1" x14ac:dyDescent="0.45">
      <c r="B113" s="6"/>
      <c r="C113" s="9" t="str">
        <f>IF(CA113="","",CA113&amp;"-"&amp;TEXT(COUNTIF($CA$72:$CA$95,CA113)+COUNTIF($CB$72:$CB$95,CA113)+COUNTIF($CC$72:$CC$95,CA113)+COUNTIF($CD$72:$CD$95,CA113)+COUNTIF($CA$100:CA113,CA113),"000"))</f>
        <v/>
      </c>
      <c r="D113" s="9" t="str">
        <f>IF(AND($BN$17&lt;&gt;"",($BM$17+14)&lt;=$BO$17),$BN$17,"")</f>
        <v/>
      </c>
      <c r="E113" s="9" t="str">
        <f>IF(AND($BN$17&lt;&gt;"",($BM$17+14)&lt;=$BO$17),TEXT(($BM$17+14),"00"),"")</f>
        <v/>
      </c>
      <c r="F113" s="9" t="str">
        <f>IF(AND($BN$17&lt;&gt;"",($BM$17+14)&lt;=$BO$17),$BN$17&amp;"-"&amp;TEXT(($BM$17+14),"00"),"")</f>
        <v/>
      </c>
      <c r="H113" s="6"/>
      <c r="I113" s="9" t="str">
        <f>IF(CB113="","",CB113&amp;"-"&amp;TEXT(COUNTIF($CA$72:$CA$95,CB113)+COUNTIF($CB$72:$CB$95,CB113)+COUNTIF($CC$72:$CC$95,CB113)+COUNTIF($CD$72:$CD$95,CB113)+COUNTIF($CA$100:$CA$123,CB113)+COUNTIF($CB$100:CB113,CB113),"000"))</f>
        <v/>
      </c>
      <c r="J113" s="9" t="str">
        <f>IF(AND($BN$18&lt;&gt;"",($BM$18+14)&lt;=$BO$18),$BN$18,"")</f>
        <v/>
      </c>
      <c r="K113" s="9" t="str">
        <f>IF(AND($BN$18&lt;&gt;"",($BM$18+14)&lt;=$BO$18),TEXT(($BM$18+14),"00"),"")</f>
        <v/>
      </c>
      <c r="L113" s="9" t="str">
        <f>IF(AND($BN$18&lt;&gt;"",($BM$18+14)&lt;=$BO$18),$BN$18&amp;"-"&amp;TEXT(($BM$18+14),"00"),"")</f>
        <v/>
      </c>
      <c r="N113" s="6"/>
      <c r="O113" s="9" t="str">
        <f>IF(CC113="","",CC113&amp;"-"&amp;TEXT(COUNTIF($CA$72:$CA$95,CC113)+COUNTIF($CB$72:$CB$95,CC113)+COUNTIF($CC$72:$CC$95,CC113)+COUNTIF($CD$72:$CD$95,CC113)+COUNTIF($CA$100:$CA$123,CC113)+COUNTIF($CB$100:$CB$123,CC113)+COUNTIF($CC$100:CC113,CC113),"000"))</f>
        <v/>
      </c>
      <c r="P113" s="9" t="str">
        <f>IF(AND($BN$19&lt;&gt;"",($BM$19+14)&lt;=$BO$19),$BN$19,"")</f>
        <v/>
      </c>
      <c r="Q113" s="9" t="str">
        <f>IF(AND($BN$19&lt;&gt;"",($BM$19+14)&lt;=$BO$19),TEXT(($BM$19+14),"00"),"")</f>
        <v/>
      </c>
      <c r="R113" s="9" t="str">
        <f>IF(AND($BN$19&lt;&gt;"",($BM$19+14)&lt;=$BO$19),$BN$19&amp;"-"&amp;TEXT(($BM$19+14),"00"),"")</f>
        <v/>
      </c>
      <c r="T113" s="6"/>
      <c r="U113" s="9" t="str">
        <f>IF(CD113="","",CD113&amp;"-"&amp;TEXT(COUNTIF($CA$72:$CA$95,CD113)+COUNTIF($CB$72:$CB$95,CD113)+COUNTIF($CC$72:$CC$95,CD113)+COUNTIF($CD$72:$CD$95,CD113)+COUNTIF($CA$100:$CA$123,CD113)+COUNTIF($CB$100:$CB$123,CD113)+COUNTIF($CC$100:$CC$123,CD113)+COUNTIF($CD$100:CD113,CD113),"000"))</f>
        <v/>
      </c>
      <c r="V113" s="9" t="str">
        <f>IF(AND($BN$20&lt;&gt;"",($BM$20+14)&lt;=$BO$20),$BN$20,"")</f>
        <v/>
      </c>
      <c r="W113" s="9" t="str">
        <f>IF(AND($BN$20&lt;&gt;"",($BM$20+14)&lt;=$BO$20),TEXT(($BM$20+14),"00"),"")</f>
        <v/>
      </c>
      <c r="X113" s="9" t="str">
        <f>IF(AND($BN$20&lt;&gt;"",($BM$20+14)&lt;=$BO$20),$BN$20&amp;"-"&amp;TEXT(($BM$20+14),"00"),"")</f>
        <v/>
      </c>
      <c r="BA113">
        <f>IF(OR(Catalogo!$C113="",Catalogo!$B113="Espacio libre",Catalogo!$B113="Espacio reservado"),0,COUNTIF($C$13:$C$42,Catalogo!$C113)+IF($E$7=Catalogo!$C113,N($K$7),0)+IF($E$8=Catalogo!$C113,N($N$8),0)+IF(Proyecto!$D$12=Catalogo!$C113,$AQ$4,0)+SUMIF($C$49:$C$58,Catalogo!$C113,$K$49:$K$58))</f>
        <v>0</v>
      </c>
      <c r="CA113" t="str" cm="1">
        <f t="array" ref="CA113">IF(NOT(AND($BN$17&lt;&gt;"",($BM$17+14)&lt;=$BO$17)),"",IF(B113&lt;&gt;"",IF(B113="-","",B113),IF(ISNUMBER(SEARCH(":",$BP$17)),IFERROR(_xlfn.LET(_xlpm.s,_xlfn.TEXTSPLIT($BP$17,","),_xlpm.k,FIND(":",_xlpm.s),INDEX(TRIM(LEFT(_xlpm.s,_xlpm.k-1)),_xlfn.XMATCH(($BM$17+14),_xlfn.SCAN(0,--MID(_xlpm.s,_xlpm.k+1,9),_xlfn.LAMBDA(_xlpm.a,_xlpm.v,_xlpm.a+_xlpm.v)),1))),""),IF(($BM$17+14)&lt;=$BQ$17,$BP$17,""))))</f>
        <v/>
      </c>
      <c r="CB113" t="str" cm="1">
        <f t="array" ref="CB113">IF(NOT(AND($BN$18&lt;&gt;"",($BM$18+14)&lt;=$BO$18)),"",IF(H113&lt;&gt;"",IF(H113="-","",H113),IF(ISNUMBER(SEARCH(":",$BP$18)),IFERROR(_xlfn.LET(_xlpm.s,_xlfn.TEXTSPLIT($BP$18,","),_xlpm.k,FIND(":",_xlpm.s),INDEX(TRIM(LEFT(_xlpm.s,_xlpm.k-1)),_xlfn.XMATCH(($BM$18+14),_xlfn.SCAN(0,--MID(_xlpm.s,_xlpm.k+1,9),_xlfn.LAMBDA(_xlpm.a,_xlpm.v,_xlpm.a+_xlpm.v)),1))),""),IF(($BM$18+14)&lt;=$BQ$18,$BP$18,""))))</f>
        <v/>
      </c>
      <c r="CC113" t="str" cm="1">
        <f t="array" ref="CC113">IF(NOT(AND($BN$19&lt;&gt;"",($BM$19+14)&lt;=$BO$19)),"",IF(N113&lt;&gt;"",IF(N113="-","",N113),IF(ISNUMBER(SEARCH(":",$BP$19)),IFERROR(_xlfn.LET(_xlpm.s,_xlfn.TEXTSPLIT($BP$19,","),_xlpm.k,FIND(":",_xlpm.s),INDEX(TRIM(LEFT(_xlpm.s,_xlpm.k-1)),_xlfn.XMATCH(($BM$19+14),_xlfn.SCAN(0,--MID(_xlpm.s,_xlpm.k+1,9),_xlfn.LAMBDA(_xlpm.a,_xlpm.v,_xlpm.a+_xlpm.v)),1))),""),IF(($BM$19+14)&lt;=$BQ$19,$BP$19,""))))</f>
        <v/>
      </c>
      <c r="CD113" t="str" cm="1">
        <f t="array" ref="CD113">IF(NOT(AND($BN$20&lt;&gt;"",($BM$20+14)&lt;=$BO$20)),"",IF(T113&lt;&gt;"",IF(T113="-","",T113),IF(ISNUMBER(SEARCH(":",$BP$20)),IFERROR(_xlfn.LET(_xlpm.s,_xlfn.TEXTSPLIT($BP$20,","),_xlpm.k,FIND(":",_xlpm.s),INDEX(TRIM(LEFT(_xlpm.s,_xlpm.k-1)),_xlfn.XMATCH(($BM$20+14),_xlfn.SCAN(0,--MID(_xlpm.s,_xlpm.k+1,9),_xlfn.LAMBDA(_xlpm.a,_xlpm.v,_xlpm.a+_xlpm.v)),1))),""),IF(($BM$20+14)&lt;=$BQ$20,$BP$20,""))))</f>
        <v/>
      </c>
    </row>
    <row r="114" spans="2:82" hidden="1" x14ac:dyDescent="0.45">
      <c r="B114" s="6"/>
      <c r="C114" s="9" t="str">
        <f>IF(CA114="","",CA114&amp;"-"&amp;TEXT(COUNTIF($CA$72:$CA$95,CA114)+COUNTIF($CB$72:$CB$95,CA114)+COUNTIF($CC$72:$CC$95,CA114)+COUNTIF($CD$72:$CD$95,CA114)+COUNTIF($CA$100:CA114,CA114),"000"))</f>
        <v/>
      </c>
      <c r="D114" s="9" t="str">
        <f>IF(AND($BN$17&lt;&gt;"",($BM$17+15)&lt;=$BO$17),$BN$17,"")</f>
        <v/>
      </c>
      <c r="E114" s="9" t="str">
        <f>IF(AND($BN$17&lt;&gt;"",($BM$17+15)&lt;=$BO$17),TEXT(($BM$17+15),"00"),"")</f>
        <v/>
      </c>
      <c r="F114" s="9" t="str">
        <f>IF(AND($BN$17&lt;&gt;"",($BM$17+15)&lt;=$BO$17),$BN$17&amp;"-"&amp;TEXT(($BM$17+15),"00"),"")</f>
        <v/>
      </c>
      <c r="H114" s="6"/>
      <c r="I114" s="9" t="str">
        <f>IF(CB114="","",CB114&amp;"-"&amp;TEXT(COUNTIF($CA$72:$CA$95,CB114)+COUNTIF($CB$72:$CB$95,CB114)+COUNTIF($CC$72:$CC$95,CB114)+COUNTIF($CD$72:$CD$95,CB114)+COUNTIF($CA$100:$CA$123,CB114)+COUNTIF($CB$100:CB114,CB114),"000"))</f>
        <v/>
      </c>
      <c r="J114" s="9" t="str">
        <f>IF(AND($BN$18&lt;&gt;"",($BM$18+15)&lt;=$BO$18),$BN$18,"")</f>
        <v/>
      </c>
      <c r="K114" s="9" t="str">
        <f>IF(AND($BN$18&lt;&gt;"",($BM$18+15)&lt;=$BO$18),TEXT(($BM$18+15),"00"),"")</f>
        <v/>
      </c>
      <c r="L114" s="9" t="str">
        <f>IF(AND($BN$18&lt;&gt;"",($BM$18+15)&lt;=$BO$18),$BN$18&amp;"-"&amp;TEXT(($BM$18+15),"00"),"")</f>
        <v/>
      </c>
      <c r="N114" s="6"/>
      <c r="O114" s="9" t="str">
        <f>IF(CC114="","",CC114&amp;"-"&amp;TEXT(COUNTIF($CA$72:$CA$95,CC114)+COUNTIF($CB$72:$CB$95,CC114)+COUNTIF($CC$72:$CC$95,CC114)+COUNTIF($CD$72:$CD$95,CC114)+COUNTIF($CA$100:$CA$123,CC114)+COUNTIF($CB$100:$CB$123,CC114)+COUNTIF($CC$100:CC114,CC114),"000"))</f>
        <v/>
      </c>
      <c r="P114" s="9" t="str">
        <f>IF(AND($BN$19&lt;&gt;"",($BM$19+15)&lt;=$BO$19),$BN$19,"")</f>
        <v/>
      </c>
      <c r="Q114" s="9" t="str">
        <f>IF(AND($BN$19&lt;&gt;"",($BM$19+15)&lt;=$BO$19),TEXT(($BM$19+15),"00"),"")</f>
        <v/>
      </c>
      <c r="R114" s="9" t="str">
        <f>IF(AND($BN$19&lt;&gt;"",($BM$19+15)&lt;=$BO$19),$BN$19&amp;"-"&amp;TEXT(($BM$19+15),"00"),"")</f>
        <v/>
      </c>
      <c r="T114" s="6"/>
      <c r="U114" s="9" t="str">
        <f>IF(CD114="","",CD114&amp;"-"&amp;TEXT(COUNTIF($CA$72:$CA$95,CD114)+COUNTIF($CB$72:$CB$95,CD114)+COUNTIF($CC$72:$CC$95,CD114)+COUNTIF($CD$72:$CD$95,CD114)+COUNTIF($CA$100:$CA$123,CD114)+COUNTIF($CB$100:$CB$123,CD114)+COUNTIF($CC$100:$CC$123,CD114)+COUNTIF($CD$100:CD114,CD114),"000"))</f>
        <v/>
      </c>
      <c r="V114" s="9" t="str">
        <f>IF(AND($BN$20&lt;&gt;"",($BM$20+15)&lt;=$BO$20),$BN$20,"")</f>
        <v/>
      </c>
      <c r="W114" s="9" t="str">
        <f>IF(AND($BN$20&lt;&gt;"",($BM$20+15)&lt;=$BO$20),TEXT(($BM$20+15),"00"),"")</f>
        <v/>
      </c>
      <c r="X114" s="9" t="str">
        <f>IF(AND($BN$20&lt;&gt;"",($BM$20+15)&lt;=$BO$20),$BN$20&amp;"-"&amp;TEXT(($BM$20+15),"00"),"")</f>
        <v/>
      </c>
      <c r="BA114">
        <f>IF(OR(Catalogo!$C114="",Catalogo!$B114="Espacio libre",Catalogo!$B114="Espacio reservado"),0,COUNTIF($C$13:$C$42,Catalogo!$C114)+IF($E$7=Catalogo!$C114,N($K$7),0)+IF($E$8=Catalogo!$C114,N($N$8),0)+IF(Proyecto!$D$12=Catalogo!$C114,$AQ$4,0)+SUMIF($C$49:$C$58,Catalogo!$C114,$K$49:$K$58))</f>
        <v>0</v>
      </c>
      <c r="CA114" t="str" cm="1">
        <f t="array" ref="CA114">IF(NOT(AND($BN$17&lt;&gt;"",($BM$17+15)&lt;=$BO$17)),"",IF(B114&lt;&gt;"",IF(B114="-","",B114),IF(ISNUMBER(SEARCH(":",$BP$17)),IFERROR(_xlfn.LET(_xlpm.s,_xlfn.TEXTSPLIT($BP$17,","),_xlpm.k,FIND(":",_xlpm.s),INDEX(TRIM(LEFT(_xlpm.s,_xlpm.k-1)),_xlfn.XMATCH(($BM$17+15),_xlfn.SCAN(0,--MID(_xlpm.s,_xlpm.k+1,9),_xlfn.LAMBDA(_xlpm.a,_xlpm.v,_xlpm.a+_xlpm.v)),1))),""),IF(($BM$17+15)&lt;=$BQ$17,$BP$17,""))))</f>
        <v/>
      </c>
      <c r="CB114" t="str" cm="1">
        <f t="array" ref="CB114">IF(NOT(AND($BN$18&lt;&gt;"",($BM$18+15)&lt;=$BO$18)),"",IF(H114&lt;&gt;"",IF(H114="-","",H114),IF(ISNUMBER(SEARCH(":",$BP$18)),IFERROR(_xlfn.LET(_xlpm.s,_xlfn.TEXTSPLIT($BP$18,","),_xlpm.k,FIND(":",_xlpm.s),INDEX(TRIM(LEFT(_xlpm.s,_xlpm.k-1)),_xlfn.XMATCH(($BM$18+15),_xlfn.SCAN(0,--MID(_xlpm.s,_xlpm.k+1,9),_xlfn.LAMBDA(_xlpm.a,_xlpm.v,_xlpm.a+_xlpm.v)),1))),""),IF(($BM$18+15)&lt;=$BQ$18,$BP$18,""))))</f>
        <v/>
      </c>
      <c r="CC114" t="str" cm="1">
        <f t="array" ref="CC114">IF(NOT(AND($BN$19&lt;&gt;"",($BM$19+15)&lt;=$BO$19)),"",IF(N114&lt;&gt;"",IF(N114="-","",N114),IF(ISNUMBER(SEARCH(":",$BP$19)),IFERROR(_xlfn.LET(_xlpm.s,_xlfn.TEXTSPLIT($BP$19,","),_xlpm.k,FIND(":",_xlpm.s),INDEX(TRIM(LEFT(_xlpm.s,_xlpm.k-1)),_xlfn.XMATCH(($BM$19+15),_xlfn.SCAN(0,--MID(_xlpm.s,_xlpm.k+1,9),_xlfn.LAMBDA(_xlpm.a,_xlpm.v,_xlpm.a+_xlpm.v)),1))),""),IF(($BM$19+15)&lt;=$BQ$19,$BP$19,""))))</f>
        <v/>
      </c>
      <c r="CD114" t="str" cm="1">
        <f t="array" ref="CD114">IF(NOT(AND($BN$20&lt;&gt;"",($BM$20+15)&lt;=$BO$20)),"",IF(T114&lt;&gt;"",IF(T114="-","",T114),IF(ISNUMBER(SEARCH(":",$BP$20)),IFERROR(_xlfn.LET(_xlpm.s,_xlfn.TEXTSPLIT($BP$20,","),_xlpm.k,FIND(":",_xlpm.s),INDEX(TRIM(LEFT(_xlpm.s,_xlpm.k-1)),_xlfn.XMATCH(($BM$20+15),_xlfn.SCAN(0,--MID(_xlpm.s,_xlpm.k+1,9),_xlfn.LAMBDA(_xlpm.a,_xlpm.v,_xlpm.a+_xlpm.v)),1))),""),IF(($BM$20+15)&lt;=$BQ$20,$BP$20,""))))</f>
        <v/>
      </c>
    </row>
    <row r="115" spans="2:82" hidden="1" x14ac:dyDescent="0.45">
      <c r="B115" s="6"/>
      <c r="C115" s="9" t="str">
        <f>IF(CA115="","",CA115&amp;"-"&amp;TEXT(COUNTIF($CA$72:$CA$95,CA115)+COUNTIF($CB$72:$CB$95,CA115)+COUNTIF($CC$72:$CC$95,CA115)+COUNTIF($CD$72:$CD$95,CA115)+COUNTIF($CA$100:CA115,CA115),"000"))</f>
        <v/>
      </c>
      <c r="D115" s="9" t="str">
        <f>IF(AND($BN$17&lt;&gt;"",($BM$17+16)&lt;=$BO$17),$BN$17,"")</f>
        <v/>
      </c>
      <c r="E115" s="9" t="str">
        <f>IF(AND($BN$17&lt;&gt;"",($BM$17+16)&lt;=$BO$17),TEXT(($BM$17+16),"00"),"")</f>
        <v/>
      </c>
      <c r="F115" s="9" t="str">
        <f>IF(AND($BN$17&lt;&gt;"",($BM$17+16)&lt;=$BO$17),$BN$17&amp;"-"&amp;TEXT(($BM$17+16),"00"),"")</f>
        <v/>
      </c>
      <c r="H115" s="6"/>
      <c r="I115" s="9" t="str">
        <f>IF(CB115="","",CB115&amp;"-"&amp;TEXT(COUNTIF($CA$72:$CA$95,CB115)+COUNTIF($CB$72:$CB$95,CB115)+COUNTIF($CC$72:$CC$95,CB115)+COUNTIF($CD$72:$CD$95,CB115)+COUNTIF($CA$100:$CA$123,CB115)+COUNTIF($CB$100:CB115,CB115),"000"))</f>
        <v/>
      </c>
      <c r="J115" s="9" t="str">
        <f>IF(AND($BN$18&lt;&gt;"",($BM$18+16)&lt;=$BO$18),$BN$18,"")</f>
        <v/>
      </c>
      <c r="K115" s="9" t="str">
        <f>IF(AND($BN$18&lt;&gt;"",($BM$18+16)&lt;=$BO$18),TEXT(($BM$18+16),"00"),"")</f>
        <v/>
      </c>
      <c r="L115" s="9" t="str">
        <f>IF(AND($BN$18&lt;&gt;"",($BM$18+16)&lt;=$BO$18),$BN$18&amp;"-"&amp;TEXT(($BM$18+16),"00"),"")</f>
        <v/>
      </c>
      <c r="N115" s="6"/>
      <c r="O115" s="9" t="str">
        <f>IF(CC115="","",CC115&amp;"-"&amp;TEXT(COUNTIF($CA$72:$CA$95,CC115)+COUNTIF($CB$72:$CB$95,CC115)+COUNTIF($CC$72:$CC$95,CC115)+COUNTIF($CD$72:$CD$95,CC115)+COUNTIF($CA$100:$CA$123,CC115)+COUNTIF($CB$100:$CB$123,CC115)+COUNTIF($CC$100:CC115,CC115),"000"))</f>
        <v/>
      </c>
      <c r="P115" s="9" t="str">
        <f>IF(AND($BN$19&lt;&gt;"",($BM$19+16)&lt;=$BO$19),$BN$19,"")</f>
        <v/>
      </c>
      <c r="Q115" s="9" t="str">
        <f>IF(AND($BN$19&lt;&gt;"",($BM$19+16)&lt;=$BO$19),TEXT(($BM$19+16),"00"),"")</f>
        <v/>
      </c>
      <c r="R115" s="9" t="str">
        <f>IF(AND($BN$19&lt;&gt;"",($BM$19+16)&lt;=$BO$19),$BN$19&amp;"-"&amp;TEXT(($BM$19+16),"00"),"")</f>
        <v/>
      </c>
      <c r="T115" s="6"/>
      <c r="U115" s="9" t="str">
        <f>IF(CD115="","",CD115&amp;"-"&amp;TEXT(COUNTIF($CA$72:$CA$95,CD115)+COUNTIF($CB$72:$CB$95,CD115)+COUNTIF($CC$72:$CC$95,CD115)+COUNTIF($CD$72:$CD$95,CD115)+COUNTIF($CA$100:$CA$123,CD115)+COUNTIF($CB$100:$CB$123,CD115)+COUNTIF($CC$100:$CC$123,CD115)+COUNTIF($CD$100:CD115,CD115),"000"))</f>
        <v/>
      </c>
      <c r="V115" s="9" t="str">
        <f>IF(AND($BN$20&lt;&gt;"",($BM$20+16)&lt;=$BO$20),$BN$20,"")</f>
        <v/>
      </c>
      <c r="W115" s="9" t="str">
        <f>IF(AND($BN$20&lt;&gt;"",($BM$20+16)&lt;=$BO$20),TEXT(($BM$20+16),"00"),"")</f>
        <v/>
      </c>
      <c r="X115" s="9" t="str">
        <f>IF(AND($BN$20&lt;&gt;"",($BM$20+16)&lt;=$BO$20),$BN$20&amp;"-"&amp;TEXT(($BM$20+16),"00"),"")</f>
        <v/>
      </c>
      <c r="BA115">
        <f>IF(OR(Catalogo!$C115="",Catalogo!$B115="Espacio libre",Catalogo!$B115="Espacio reservado"),0,COUNTIF($C$13:$C$42,Catalogo!$C115)+IF($E$7=Catalogo!$C115,N($K$7),0)+IF($E$8=Catalogo!$C115,N($N$8),0)+IF(Proyecto!$D$12=Catalogo!$C115,$AQ$4,0)+SUMIF($C$49:$C$58,Catalogo!$C115,$K$49:$K$58))</f>
        <v>0</v>
      </c>
      <c r="CA115" t="str" cm="1">
        <f t="array" ref="CA115">IF(NOT(AND($BN$17&lt;&gt;"",($BM$17+16)&lt;=$BO$17)),"",IF(B115&lt;&gt;"",IF(B115="-","",B115),IF(ISNUMBER(SEARCH(":",$BP$17)),IFERROR(_xlfn.LET(_xlpm.s,_xlfn.TEXTSPLIT($BP$17,","),_xlpm.k,FIND(":",_xlpm.s),INDEX(TRIM(LEFT(_xlpm.s,_xlpm.k-1)),_xlfn.XMATCH(($BM$17+16),_xlfn.SCAN(0,--MID(_xlpm.s,_xlpm.k+1,9),_xlfn.LAMBDA(_xlpm.a,_xlpm.v,_xlpm.a+_xlpm.v)),1))),""),IF(($BM$17+16)&lt;=$BQ$17,$BP$17,""))))</f>
        <v/>
      </c>
      <c r="CB115" t="str" cm="1">
        <f t="array" ref="CB115">IF(NOT(AND($BN$18&lt;&gt;"",($BM$18+16)&lt;=$BO$18)),"",IF(H115&lt;&gt;"",IF(H115="-","",H115),IF(ISNUMBER(SEARCH(":",$BP$18)),IFERROR(_xlfn.LET(_xlpm.s,_xlfn.TEXTSPLIT($BP$18,","),_xlpm.k,FIND(":",_xlpm.s),INDEX(TRIM(LEFT(_xlpm.s,_xlpm.k-1)),_xlfn.XMATCH(($BM$18+16),_xlfn.SCAN(0,--MID(_xlpm.s,_xlpm.k+1,9),_xlfn.LAMBDA(_xlpm.a,_xlpm.v,_xlpm.a+_xlpm.v)),1))),""),IF(($BM$18+16)&lt;=$BQ$18,$BP$18,""))))</f>
        <v/>
      </c>
      <c r="CC115" t="str" cm="1">
        <f t="array" ref="CC115">IF(NOT(AND($BN$19&lt;&gt;"",($BM$19+16)&lt;=$BO$19)),"",IF(N115&lt;&gt;"",IF(N115="-","",N115),IF(ISNUMBER(SEARCH(":",$BP$19)),IFERROR(_xlfn.LET(_xlpm.s,_xlfn.TEXTSPLIT($BP$19,","),_xlpm.k,FIND(":",_xlpm.s),INDEX(TRIM(LEFT(_xlpm.s,_xlpm.k-1)),_xlfn.XMATCH(($BM$19+16),_xlfn.SCAN(0,--MID(_xlpm.s,_xlpm.k+1,9),_xlfn.LAMBDA(_xlpm.a,_xlpm.v,_xlpm.a+_xlpm.v)),1))),""),IF(($BM$19+16)&lt;=$BQ$19,$BP$19,""))))</f>
        <v/>
      </c>
      <c r="CD115" t="str" cm="1">
        <f t="array" ref="CD115">IF(NOT(AND($BN$20&lt;&gt;"",($BM$20+16)&lt;=$BO$20)),"",IF(T115&lt;&gt;"",IF(T115="-","",T115),IF(ISNUMBER(SEARCH(":",$BP$20)),IFERROR(_xlfn.LET(_xlpm.s,_xlfn.TEXTSPLIT($BP$20,","),_xlpm.k,FIND(":",_xlpm.s),INDEX(TRIM(LEFT(_xlpm.s,_xlpm.k-1)),_xlfn.XMATCH(($BM$20+16),_xlfn.SCAN(0,--MID(_xlpm.s,_xlpm.k+1,9),_xlfn.LAMBDA(_xlpm.a,_xlpm.v,_xlpm.a+_xlpm.v)),1))),""),IF(($BM$20+16)&lt;=$BQ$20,$BP$20,""))))</f>
        <v/>
      </c>
    </row>
    <row r="116" spans="2:82" hidden="1" x14ac:dyDescent="0.45">
      <c r="B116" s="6"/>
      <c r="C116" s="9" t="str">
        <f>IF(CA116="","",CA116&amp;"-"&amp;TEXT(COUNTIF($CA$72:$CA$95,CA116)+COUNTIF($CB$72:$CB$95,CA116)+COUNTIF($CC$72:$CC$95,CA116)+COUNTIF($CD$72:$CD$95,CA116)+COUNTIF($CA$100:CA116,CA116),"000"))</f>
        <v/>
      </c>
      <c r="D116" s="9" t="str">
        <f>IF(AND($BN$17&lt;&gt;"",($BM$17+17)&lt;=$BO$17),$BN$17,"")</f>
        <v/>
      </c>
      <c r="E116" s="9" t="str">
        <f>IF(AND($BN$17&lt;&gt;"",($BM$17+17)&lt;=$BO$17),TEXT(($BM$17+17),"00"),"")</f>
        <v/>
      </c>
      <c r="F116" s="9" t="str">
        <f>IF(AND($BN$17&lt;&gt;"",($BM$17+17)&lt;=$BO$17),$BN$17&amp;"-"&amp;TEXT(($BM$17+17),"00"),"")</f>
        <v/>
      </c>
      <c r="H116" s="6"/>
      <c r="I116" s="9" t="str">
        <f>IF(CB116="","",CB116&amp;"-"&amp;TEXT(COUNTIF($CA$72:$CA$95,CB116)+COUNTIF($CB$72:$CB$95,CB116)+COUNTIF($CC$72:$CC$95,CB116)+COUNTIF($CD$72:$CD$95,CB116)+COUNTIF($CA$100:$CA$123,CB116)+COUNTIF($CB$100:CB116,CB116),"000"))</f>
        <v/>
      </c>
      <c r="J116" s="9" t="str">
        <f>IF(AND($BN$18&lt;&gt;"",($BM$18+17)&lt;=$BO$18),$BN$18,"")</f>
        <v/>
      </c>
      <c r="K116" s="9" t="str">
        <f>IF(AND($BN$18&lt;&gt;"",($BM$18+17)&lt;=$BO$18),TEXT(($BM$18+17),"00"),"")</f>
        <v/>
      </c>
      <c r="L116" s="9" t="str">
        <f>IF(AND($BN$18&lt;&gt;"",($BM$18+17)&lt;=$BO$18),$BN$18&amp;"-"&amp;TEXT(($BM$18+17),"00"),"")</f>
        <v/>
      </c>
      <c r="N116" s="6"/>
      <c r="O116" s="9" t="str">
        <f>IF(CC116="","",CC116&amp;"-"&amp;TEXT(COUNTIF($CA$72:$CA$95,CC116)+COUNTIF($CB$72:$CB$95,CC116)+COUNTIF($CC$72:$CC$95,CC116)+COUNTIF($CD$72:$CD$95,CC116)+COUNTIF($CA$100:$CA$123,CC116)+COUNTIF($CB$100:$CB$123,CC116)+COUNTIF($CC$100:CC116,CC116),"000"))</f>
        <v/>
      </c>
      <c r="P116" s="9" t="str">
        <f>IF(AND($BN$19&lt;&gt;"",($BM$19+17)&lt;=$BO$19),$BN$19,"")</f>
        <v/>
      </c>
      <c r="Q116" s="9" t="str">
        <f>IF(AND($BN$19&lt;&gt;"",($BM$19+17)&lt;=$BO$19),TEXT(($BM$19+17),"00"),"")</f>
        <v/>
      </c>
      <c r="R116" s="9" t="str">
        <f>IF(AND($BN$19&lt;&gt;"",($BM$19+17)&lt;=$BO$19),$BN$19&amp;"-"&amp;TEXT(($BM$19+17),"00"),"")</f>
        <v/>
      </c>
      <c r="T116" s="6"/>
      <c r="U116" s="9" t="str">
        <f>IF(CD116="","",CD116&amp;"-"&amp;TEXT(COUNTIF($CA$72:$CA$95,CD116)+COUNTIF($CB$72:$CB$95,CD116)+COUNTIF($CC$72:$CC$95,CD116)+COUNTIF($CD$72:$CD$95,CD116)+COUNTIF($CA$100:$CA$123,CD116)+COUNTIF($CB$100:$CB$123,CD116)+COUNTIF($CC$100:$CC$123,CD116)+COUNTIF($CD$100:CD116,CD116),"000"))</f>
        <v/>
      </c>
      <c r="V116" s="9" t="str">
        <f>IF(AND($BN$20&lt;&gt;"",($BM$20+17)&lt;=$BO$20),$BN$20,"")</f>
        <v/>
      </c>
      <c r="W116" s="9" t="str">
        <f>IF(AND($BN$20&lt;&gt;"",($BM$20+17)&lt;=$BO$20),TEXT(($BM$20+17),"00"),"")</f>
        <v/>
      </c>
      <c r="X116" s="9" t="str">
        <f>IF(AND($BN$20&lt;&gt;"",($BM$20+17)&lt;=$BO$20),$BN$20&amp;"-"&amp;TEXT(($BM$20+17),"00"),"")</f>
        <v/>
      </c>
      <c r="BA116">
        <f>IF(OR(Catalogo!$C116="",Catalogo!$B116="Espacio libre",Catalogo!$B116="Espacio reservado"),0,COUNTIF($C$13:$C$42,Catalogo!$C116)+IF($E$7=Catalogo!$C116,N($K$7),0)+IF($E$8=Catalogo!$C116,N($N$8),0)+IF(Proyecto!$D$12=Catalogo!$C116,$AQ$4,0)+SUMIF($C$49:$C$58,Catalogo!$C116,$K$49:$K$58))</f>
        <v>0</v>
      </c>
      <c r="CA116" t="str" cm="1">
        <f t="array" ref="CA116">IF(NOT(AND($BN$17&lt;&gt;"",($BM$17+17)&lt;=$BO$17)),"",IF(B116&lt;&gt;"",IF(B116="-","",B116),IF(ISNUMBER(SEARCH(":",$BP$17)),IFERROR(_xlfn.LET(_xlpm.s,_xlfn.TEXTSPLIT($BP$17,","),_xlpm.k,FIND(":",_xlpm.s),INDEX(TRIM(LEFT(_xlpm.s,_xlpm.k-1)),_xlfn.XMATCH(($BM$17+17),_xlfn.SCAN(0,--MID(_xlpm.s,_xlpm.k+1,9),_xlfn.LAMBDA(_xlpm.a,_xlpm.v,_xlpm.a+_xlpm.v)),1))),""),IF(($BM$17+17)&lt;=$BQ$17,$BP$17,""))))</f>
        <v/>
      </c>
      <c r="CB116" t="str" cm="1">
        <f t="array" ref="CB116">IF(NOT(AND($BN$18&lt;&gt;"",($BM$18+17)&lt;=$BO$18)),"",IF(H116&lt;&gt;"",IF(H116="-","",H116),IF(ISNUMBER(SEARCH(":",$BP$18)),IFERROR(_xlfn.LET(_xlpm.s,_xlfn.TEXTSPLIT($BP$18,","),_xlpm.k,FIND(":",_xlpm.s),INDEX(TRIM(LEFT(_xlpm.s,_xlpm.k-1)),_xlfn.XMATCH(($BM$18+17),_xlfn.SCAN(0,--MID(_xlpm.s,_xlpm.k+1,9),_xlfn.LAMBDA(_xlpm.a,_xlpm.v,_xlpm.a+_xlpm.v)),1))),""),IF(($BM$18+17)&lt;=$BQ$18,$BP$18,""))))</f>
        <v/>
      </c>
      <c r="CC116" t="str" cm="1">
        <f t="array" ref="CC116">IF(NOT(AND($BN$19&lt;&gt;"",($BM$19+17)&lt;=$BO$19)),"",IF(N116&lt;&gt;"",IF(N116="-","",N116),IF(ISNUMBER(SEARCH(":",$BP$19)),IFERROR(_xlfn.LET(_xlpm.s,_xlfn.TEXTSPLIT($BP$19,","),_xlpm.k,FIND(":",_xlpm.s),INDEX(TRIM(LEFT(_xlpm.s,_xlpm.k-1)),_xlfn.XMATCH(($BM$19+17),_xlfn.SCAN(0,--MID(_xlpm.s,_xlpm.k+1,9),_xlfn.LAMBDA(_xlpm.a,_xlpm.v,_xlpm.a+_xlpm.v)),1))),""),IF(($BM$19+17)&lt;=$BQ$19,$BP$19,""))))</f>
        <v/>
      </c>
      <c r="CD116" t="str" cm="1">
        <f t="array" ref="CD116">IF(NOT(AND($BN$20&lt;&gt;"",($BM$20+17)&lt;=$BO$20)),"",IF(T116&lt;&gt;"",IF(T116="-","",T116),IF(ISNUMBER(SEARCH(":",$BP$20)),IFERROR(_xlfn.LET(_xlpm.s,_xlfn.TEXTSPLIT($BP$20,","),_xlpm.k,FIND(":",_xlpm.s),INDEX(TRIM(LEFT(_xlpm.s,_xlpm.k-1)),_xlfn.XMATCH(($BM$20+17),_xlfn.SCAN(0,--MID(_xlpm.s,_xlpm.k+1,9),_xlfn.LAMBDA(_xlpm.a,_xlpm.v,_xlpm.a+_xlpm.v)),1))),""),IF(($BM$20+17)&lt;=$BQ$20,$BP$20,""))))</f>
        <v/>
      </c>
    </row>
    <row r="117" spans="2:82" hidden="1" x14ac:dyDescent="0.45">
      <c r="B117" s="6"/>
      <c r="C117" s="9" t="str">
        <f>IF(CA117="","",CA117&amp;"-"&amp;TEXT(COUNTIF($CA$72:$CA$95,CA117)+COUNTIF($CB$72:$CB$95,CA117)+COUNTIF($CC$72:$CC$95,CA117)+COUNTIF($CD$72:$CD$95,CA117)+COUNTIF($CA$100:CA117,CA117),"000"))</f>
        <v/>
      </c>
      <c r="D117" s="9" t="str">
        <f>IF(AND($BN$17&lt;&gt;"",($BM$17+18)&lt;=$BO$17),$BN$17,"")</f>
        <v/>
      </c>
      <c r="E117" s="9" t="str">
        <f>IF(AND($BN$17&lt;&gt;"",($BM$17+18)&lt;=$BO$17),TEXT(($BM$17+18),"00"),"")</f>
        <v/>
      </c>
      <c r="F117" s="9" t="str">
        <f>IF(AND($BN$17&lt;&gt;"",($BM$17+18)&lt;=$BO$17),$BN$17&amp;"-"&amp;TEXT(($BM$17+18),"00"),"")</f>
        <v/>
      </c>
      <c r="H117" s="6"/>
      <c r="I117" s="9" t="str">
        <f>IF(CB117="","",CB117&amp;"-"&amp;TEXT(COUNTIF($CA$72:$CA$95,CB117)+COUNTIF($CB$72:$CB$95,CB117)+COUNTIF($CC$72:$CC$95,CB117)+COUNTIF($CD$72:$CD$95,CB117)+COUNTIF($CA$100:$CA$123,CB117)+COUNTIF($CB$100:CB117,CB117),"000"))</f>
        <v/>
      </c>
      <c r="J117" s="9" t="str">
        <f>IF(AND($BN$18&lt;&gt;"",($BM$18+18)&lt;=$BO$18),$BN$18,"")</f>
        <v/>
      </c>
      <c r="K117" s="9" t="str">
        <f>IF(AND($BN$18&lt;&gt;"",($BM$18+18)&lt;=$BO$18),TEXT(($BM$18+18),"00"),"")</f>
        <v/>
      </c>
      <c r="L117" s="9" t="str">
        <f>IF(AND($BN$18&lt;&gt;"",($BM$18+18)&lt;=$BO$18),$BN$18&amp;"-"&amp;TEXT(($BM$18+18),"00"),"")</f>
        <v/>
      </c>
      <c r="N117" s="6"/>
      <c r="O117" s="9" t="str">
        <f>IF(CC117="","",CC117&amp;"-"&amp;TEXT(COUNTIF($CA$72:$CA$95,CC117)+COUNTIF($CB$72:$CB$95,CC117)+COUNTIF($CC$72:$CC$95,CC117)+COUNTIF($CD$72:$CD$95,CC117)+COUNTIF($CA$100:$CA$123,CC117)+COUNTIF($CB$100:$CB$123,CC117)+COUNTIF($CC$100:CC117,CC117),"000"))</f>
        <v/>
      </c>
      <c r="P117" s="9" t="str">
        <f>IF(AND($BN$19&lt;&gt;"",($BM$19+18)&lt;=$BO$19),$BN$19,"")</f>
        <v/>
      </c>
      <c r="Q117" s="9" t="str">
        <f>IF(AND($BN$19&lt;&gt;"",($BM$19+18)&lt;=$BO$19),TEXT(($BM$19+18),"00"),"")</f>
        <v/>
      </c>
      <c r="R117" s="9" t="str">
        <f>IF(AND($BN$19&lt;&gt;"",($BM$19+18)&lt;=$BO$19),$BN$19&amp;"-"&amp;TEXT(($BM$19+18),"00"),"")</f>
        <v/>
      </c>
      <c r="T117" s="6"/>
      <c r="U117" s="9" t="str">
        <f>IF(CD117="","",CD117&amp;"-"&amp;TEXT(COUNTIF($CA$72:$CA$95,CD117)+COUNTIF($CB$72:$CB$95,CD117)+COUNTIF($CC$72:$CC$95,CD117)+COUNTIF($CD$72:$CD$95,CD117)+COUNTIF($CA$100:$CA$123,CD117)+COUNTIF($CB$100:$CB$123,CD117)+COUNTIF($CC$100:$CC$123,CD117)+COUNTIF($CD$100:CD117,CD117),"000"))</f>
        <v/>
      </c>
      <c r="V117" s="9" t="str">
        <f>IF(AND($BN$20&lt;&gt;"",($BM$20+18)&lt;=$BO$20),$BN$20,"")</f>
        <v/>
      </c>
      <c r="W117" s="9" t="str">
        <f>IF(AND($BN$20&lt;&gt;"",($BM$20+18)&lt;=$BO$20),TEXT(($BM$20+18),"00"),"")</f>
        <v/>
      </c>
      <c r="X117" s="9" t="str">
        <f>IF(AND($BN$20&lt;&gt;"",($BM$20+18)&lt;=$BO$20),$BN$20&amp;"-"&amp;TEXT(($BM$20+18),"00"),"")</f>
        <v/>
      </c>
      <c r="BA117">
        <f>IF(OR(Catalogo!$C117="",Catalogo!$B117="Espacio libre",Catalogo!$B117="Espacio reservado"),0,COUNTIF($C$13:$C$42,Catalogo!$C117)+IF($E$7=Catalogo!$C117,N($K$7),0)+IF($E$8=Catalogo!$C117,N($N$8),0)+IF(Proyecto!$D$12=Catalogo!$C117,$AQ$4,0)+SUMIF($C$49:$C$58,Catalogo!$C117,$K$49:$K$58))</f>
        <v>0</v>
      </c>
      <c r="CA117" t="str" cm="1">
        <f t="array" ref="CA117">IF(NOT(AND($BN$17&lt;&gt;"",($BM$17+18)&lt;=$BO$17)),"",IF(B117&lt;&gt;"",IF(B117="-","",B117),IF(ISNUMBER(SEARCH(":",$BP$17)),IFERROR(_xlfn.LET(_xlpm.s,_xlfn.TEXTSPLIT($BP$17,","),_xlpm.k,FIND(":",_xlpm.s),INDEX(TRIM(LEFT(_xlpm.s,_xlpm.k-1)),_xlfn.XMATCH(($BM$17+18),_xlfn.SCAN(0,--MID(_xlpm.s,_xlpm.k+1,9),_xlfn.LAMBDA(_xlpm.a,_xlpm.v,_xlpm.a+_xlpm.v)),1))),""),IF(($BM$17+18)&lt;=$BQ$17,$BP$17,""))))</f>
        <v/>
      </c>
      <c r="CB117" t="str" cm="1">
        <f t="array" ref="CB117">IF(NOT(AND($BN$18&lt;&gt;"",($BM$18+18)&lt;=$BO$18)),"",IF(H117&lt;&gt;"",IF(H117="-","",H117),IF(ISNUMBER(SEARCH(":",$BP$18)),IFERROR(_xlfn.LET(_xlpm.s,_xlfn.TEXTSPLIT($BP$18,","),_xlpm.k,FIND(":",_xlpm.s),INDEX(TRIM(LEFT(_xlpm.s,_xlpm.k-1)),_xlfn.XMATCH(($BM$18+18),_xlfn.SCAN(0,--MID(_xlpm.s,_xlpm.k+1,9),_xlfn.LAMBDA(_xlpm.a,_xlpm.v,_xlpm.a+_xlpm.v)),1))),""),IF(($BM$18+18)&lt;=$BQ$18,$BP$18,""))))</f>
        <v/>
      </c>
      <c r="CC117" t="str" cm="1">
        <f t="array" ref="CC117">IF(NOT(AND($BN$19&lt;&gt;"",($BM$19+18)&lt;=$BO$19)),"",IF(N117&lt;&gt;"",IF(N117="-","",N117),IF(ISNUMBER(SEARCH(":",$BP$19)),IFERROR(_xlfn.LET(_xlpm.s,_xlfn.TEXTSPLIT($BP$19,","),_xlpm.k,FIND(":",_xlpm.s),INDEX(TRIM(LEFT(_xlpm.s,_xlpm.k-1)),_xlfn.XMATCH(($BM$19+18),_xlfn.SCAN(0,--MID(_xlpm.s,_xlpm.k+1,9),_xlfn.LAMBDA(_xlpm.a,_xlpm.v,_xlpm.a+_xlpm.v)),1))),""),IF(($BM$19+18)&lt;=$BQ$19,$BP$19,""))))</f>
        <v/>
      </c>
      <c r="CD117" t="str" cm="1">
        <f t="array" ref="CD117">IF(NOT(AND($BN$20&lt;&gt;"",($BM$20+18)&lt;=$BO$20)),"",IF(T117&lt;&gt;"",IF(T117="-","",T117),IF(ISNUMBER(SEARCH(":",$BP$20)),IFERROR(_xlfn.LET(_xlpm.s,_xlfn.TEXTSPLIT($BP$20,","),_xlpm.k,FIND(":",_xlpm.s),INDEX(TRIM(LEFT(_xlpm.s,_xlpm.k-1)),_xlfn.XMATCH(($BM$20+18),_xlfn.SCAN(0,--MID(_xlpm.s,_xlpm.k+1,9),_xlfn.LAMBDA(_xlpm.a,_xlpm.v,_xlpm.a+_xlpm.v)),1))),""),IF(($BM$20+18)&lt;=$BQ$20,$BP$20,""))))</f>
        <v/>
      </c>
    </row>
    <row r="118" spans="2:82" hidden="1" x14ac:dyDescent="0.45">
      <c r="B118" s="6"/>
      <c r="C118" s="9" t="str">
        <f>IF(CA118="","",CA118&amp;"-"&amp;TEXT(COUNTIF($CA$72:$CA$95,CA118)+COUNTIF($CB$72:$CB$95,CA118)+COUNTIF($CC$72:$CC$95,CA118)+COUNTIF($CD$72:$CD$95,CA118)+COUNTIF($CA$100:CA118,CA118),"000"))</f>
        <v/>
      </c>
      <c r="D118" s="9" t="str">
        <f>IF(AND($BN$17&lt;&gt;"",($BM$17+19)&lt;=$BO$17),$BN$17,"")</f>
        <v/>
      </c>
      <c r="E118" s="9" t="str">
        <f>IF(AND($BN$17&lt;&gt;"",($BM$17+19)&lt;=$BO$17),TEXT(($BM$17+19),"00"),"")</f>
        <v/>
      </c>
      <c r="F118" s="9" t="str">
        <f>IF(AND($BN$17&lt;&gt;"",($BM$17+19)&lt;=$BO$17),$BN$17&amp;"-"&amp;TEXT(($BM$17+19),"00"),"")</f>
        <v/>
      </c>
      <c r="H118" s="6"/>
      <c r="I118" s="9" t="str">
        <f>IF(CB118="","",CB118&amp;"-"&amp;TEXT(COUNTIF($CA$72:$CA$95,CB118)+COUNTIF($CB$72:$CB$95,CB118)+COUNTIF($CC$72:$CC$95,CB118)+COUNTIF($CD$72:$CD$95,CB118)+COUNTIF($CA$100:$CA$123,CB118)+COUNTIF($CB$100:CB118,CB118),"000"))</f>
        <v/>
      </c>
      <c r="J118" s="9" t="str">
        <f>IF(AND($BN$18&lt;&gt;"",($BM$18+19)&lt;=$BO$18),$BN$18,"")</f>
        <v/>
      </c>
      <c r="K118" s="9" t="str">
        <f>IF(AND($BN$18&lt;&gt;"",($BM$18+19)&lt;=$BO$18),TEXT(($BM$18+19),"00"),"")</f>
        <v/>
      </c>
      <c r="L118" s="9" t="str">
        <f>IF(AND($BN$18&lt;&gt;"",($BM$18+19)&lt;=$BO$18),$BN$18&amp;"-"&amp;TEXT(($BM$18+19),"00"),"")</f>
        <v/>
      </c>
      <c r="N118" s="6"/>
      <c r="O118" s="9" t="str">
        <f>IF(CC118="","",CC118&amp;"-"&amp;TEXT(COUNTIF($CA$72:$CA$95,CC118)+COUNTIF($CB$72:$CB$95,CC118)+COUNTIF($CC$72:$CC$95,CC118)+COUNTIF($CD$72:$CD$95,CC118)+COUNTIF($CA$100:$CA$123,CC118)+COUNTIF($CB$100:$CB$123,CC118)+COUNTIF($CC$100:CC118,CC118),"000"))</f>
        <v/>
      </c>
      <c r="P118" s="9" t="str">
        <f>IF(AND($BN$19&lt;&gt;"",($BM$19+19)&lt;=$BO$19),$BN$19,"")</f>
        <v/>
      </c>
      <c r="Q118" s="9" t="str">
        <f>IF(AND($BN$19&lt;&gt;"",($BM$19+19)&lt;=$BO$19),TEXT(($BM$19+19),"00"),"")</f>
        <v/>
      </c>
      <c r="R118" s="9" t="str">
        <f>IF(AND($BN$19&lt;&gt;"",($BM$19+19)&lt;=$BO$19),$BN$19&amp;"-"&amp;TEXT(($BM$19+19),"00"),"")</f>
        <v/>
      </c>
      <c r="T118" s="6"/>
      <c r="U118" s="9" t="str">
        <f>IF(CD118="","",CD118&amp;"-"&amp;TEXT(COUNTIF($CA$72:$CA$95,CD118)+COUNTIF($CB$72:$CB$95,CD118)+COUNTIF($CC$72:$CC$95,CD118)+COUNTIF($CD$72:$CD$95,CD118)+COUNTIF($CA$100:$CA$123,CD118)+COUNTIF($CB$100:$CB$123,CD118)+COUNTIF($CC$100:$CC$123,CD118)+COUNTIF($CD$100:CD118,CD118),"000"))</f>
        <v/>
      </c>
      <c r="V118" s="9" t="str">
        <f>IF(AND($BN$20&lt;&gt;"",($BM$20+19)&lt;=$BO$20),$BN$20,"")</f>
        <v/>
      </c>
      <c r="W118" s="9" t="str">
        <f>IF(AND($BN$20&lt;&gt;"",($BM$20+19)&lt;=$BO$20),TEXT(($BM$20+19),"00"),"")</f>
        <v/>
      </c>
      <c r="X118" s="9" t="str">
        <f>IF(AND($BN$20&lt;&gt;"",($BM$20+19)&lt;=$BO$20),$BN$20&amp;"-"&amp;TEXT(($BM$20+19),"00"),"")</f>
        <v/>
      </c>
      <c r="BA118">
        <f>IF(OR(Catalogo!$C118="",Catalogo!$B118="Espacio libre",Catalogo!$B118="Espacio reservado"),0,COUNTIF($C$13:$C$42,Catalogo!$C118)+IF($E$7=Catalogo!$C118,N($K$7),0)+IF($E$8=Catalogo!$C118,N($N$8),0)+IF(Proyecto!$D$12=Catalogo!$C118,$AQ$4,0)+SUMIF($C$49:$C$58,Catalogo!$C118,$K$49:$K$58))</f>
        <v>0</v>
      </c>
      <c r="CA118" t="str" cm="1">
        <f t="array" ref="CA118">IF(NOT(AND($BN$17&lt;&gt;"",($BM$17+19)&lt;=$BO$17)),"",IF(B118&lt;&gt;"",IF(B118="-","",B118),IF(ISNUMBER(SEARCH(":",$BP$17)),IFERROR(_xlfn.LET(_xlpm.s,_xlfn.TEXTSPLIT($BP$17,","),_xlpm.k,FIND(":",_xlpm.s),INDEX(TRIM(LEFT(_xlpm.s,_xlpm.k-1)),_xlfn.XMATCH(($BM$17+19),_xlfn.SCAN(0,--MID(_xlpm.s,_xlpm.k+1,9),_xlfn.LAMBDA(_xlpm.a,_xlpm.v,_xlpm.a+_xlpm.v)),1))),""),IF(($BM$17+19)&lt;=$BQ$17,$BP$17,""))))</f>
        <v/>
      </c>
      <c r="CB118" t="str" cm="1">
        <f t="array" ref="CB118">IF(NOT(AND($BN$18&lt;&gt;"",($BM$18+19)&lt;=$BO$18)),"",IF(H118&lt;&gt;"",IF(H118="-","",H118),IF(ISNUMBER(SEARCH(":",$BP$18)),IFERROR(_xlfn.LET(_xlpm.s,_xlfn.TEXTSPLIT($BP$18,","),_xlpm.k,FIND(":",_xlpm.s),INDEX(TRIM(LEFT(_xlpm.s,_xlpm.k-1)),_xlfn.XMATCH(($BM$18+19),_xlfn.SCAN(0,--MID(_xlpm.s,_xlpm.k+1,9),_xlfn.LAMBDA(_xlpm.a,_xlpm.v,_xlpm.a+_xlpm.v)),1))),""),IF(($BM$18+19)&lt;=$BQ$18,$BP$18,""))))</f>
        <v/>
      </c>
      <c r="CC118" t="str" cm="1">
        <f t="array" ref="CC118">IF(NOT(AND($BN$19&lt;&gt;"",($BM$19+19)&lt;=$BO$19)),"",IF(N118&lt;&gt;"",IF(N118="-","",N118),IF(ISNUMBER(SEARCH(":",$BP$19)),IFERROR(_xlfn.LET(_xlpm.s,_xlfn.TEXTSPLIT($BP$19,","),_xlpm.k,FIND(":",_xlpm.s),INDEX(TRIM(LEFT(_xlpm.s,_xlpm.k-1)),_xlfn.XMATCH(($BM$19+19),_xlfn.SCAN(0,--MID(_xlpm.s,_xlpm.k+1,9),_xlfn.LAMBDA(_xlpm.a,_xlpm.v,_xlpm.a+_xlpm.v)),1))),""),IF(($BM$19+19)&lt;=$BQ$19,$BP$19,""))))</f>
        <v/>
      </c>
      <c r="CD118" t="str" cm="1">
        <f t="array" ref="CD118">IF(NOT(AND($BN$20&lt;&gt;"",($BM$20+19)&lt;=$BO$20)),"",IF(T118&lt;&gt;"",IF(T118="-","",T118),IF(ISNUMBER(SEARCH(":",$BP$20)),IFERROR(_xlfn.LET(_xlpm.s,_xlfn.TEXTSPLIT($BP$20,","),_xlpm.k,FIND(":",_xlpm.s),INDEX(TRIM(LEFT(_xlpm.s,_xlpm.k-1)),_xlfn.XMATCH(($BM$20+19),_xlfn.SCAN(0,--MID(_xlpm.s,_xlpm.k+1,9),_xlfn.LAMBDA(_xlpm.a,_xlpm.v,_xlpm.a+_xlpm.v)),1))),""),IF(($BM$20+19)&lt;=$BQ$20,$BP$20,""))))</f>
        <v/>
      </c>
    </row>
    <row r="119" spans="2:82" hidden="1" x14ac:dyDescent="0.45">
      <c r="B119" s="6"/>
      <c r="C119" s="9" t="str">
        <f>IF(CA119="","",CA119&amp;"-"&amp;TEXT(COUNTIF($CA$72:$CA$95,CA119)+COUNTIF($CB$72:$CB$95,CA119)+COUNTIF($CC$72:$CC$95,CA119)+COUNTIF($CD$72:$CD$95,CA119)+COUNTIF($CA$100:CA119,CA119),"000"))</f>
        <v/>
      </c>
      <c r="D119" s="9" t="str">
        <f>IF(AND($BN$17&lt;&gt;"",($BM$17+20)&lt;=$BO$17),$BN$17,"")</f>
        <v/>
      </c>
      <c r="E119" s="9" t="str">
        <f>IF(AND($BN$17&lt;&gt;"",($BM$17+20)&lt;=$BO$17),TEXT(($BM$17+20),"00"),"")</f>
        <v/>
      </c>
      <c r="F119" s="9" t="str">
        <f>IF(AND($BN$17&lt;&gt;"",($BM$17+20)&lt;=$BO$17),$BN$17&amp;"-"&amp;TEXT(($BM$17+20),"00"),"")</f>
        <v/>
      </c>
      <c r="H119" s="6"/>
      <c r="I119" s="9" t="str">
        <f>IF(CB119="","",CB119&amp;"-"&amp;TEXT(COUNTIF($CA$72:$CA$95,CB119)+COUNTIF($CB$72:$CB$95,CB119)+COUNTIF($CC$72:$CC$95,CB119)+COUNTIF($CD$72:$CD$95,CB119)+COUNTIF($CA$100:$CA$123,CB119)+COUNTIF($CB$100:CB119,CB119),"000"))</f>
        <v/>
      </c>
      <c r="J119" s="9" t="str">
        <f>IF(AND($BN$18&lt;&gt;"",($BM$18+20)&lt;=$BO$18),$BN$18,"")</f>
        <v/>
      </c>
      <c r="K119" s="9" t="str">
        <f>IF(AND($BN$18&lt;&gt;"",($BM$18+20)&lt;=$BO$18),TEXT(($BM$18+20),"00"),"")</f>
        <v/>
      </c>
      <c r="L119" s="9" t="str">
        <f>IF(AND($BN$18&lt;&gt;"",($BM$18+20)&lt;=$BO$18),$BN$18&amp;"-"&amp;TEXT(($BM$18+20),"00"),"")</f>
        <v/>
      </c>
      <c r="N119" s="6"/>
      <c r="O119" s="9" t="str">
        <f>IF(CC119="","",CC119&amp;"-"&amp;TEXT(COUNTIF($CA$72:$CA$95,CC119)+COUNTIF($CB$72:$CB$95,CC119)+COUNTIF($CC$72:$CC$95,CC119)+COUNTIF($CD$72:$CD$95,CC119)+COUNTIF($CA$100:$CA$123,CC119)+COUNTIF($CB$100:$CB$123,CC119)+COUNTIF($CC$100:CC119,CC119),"000"))</f>
        <v/>
      </c>
      <c r="P119" s="9" t="str">
        <f>IF(AND($BN$19&lt;&gt;"",($BM$19+20)&lt;=$BO$19),$BN$19,"")</f>
        <v/>
      </c>
      <c r="Q119" s="9" t="str">
        <f>IF(AND($BN$19&lt;&gt;"",($BM$19+20)&lt;=$BO$19),TEXT(($BM$19+20),"00"),"")</f>
        <v/>
      </c>
      <c r="R119" s="9" t="str">
        <f>IF(AND($BN$19&lt;&gt;"",($BM$19+20)&lt;=$BO$19),$BN$19&amp;"-"&amp;TEXT(($BM$19+20),"00"),"")</f>
        <v/>
      </c>
      <c r="T119" s="6"/>
      <c r="U119" s="9" t="str">
        <f>IF(CD119="","",CD119&amp;"-"&amp;TEXT(COUNTIF($CA$72:$CA$95,CD119)+COUNTIF($CB$72:$CB$95,CD119)+COUNTIF($CC$72:$CC$95,CD119)+COUNTIF($CD$72:$CD$95,CD119)+COUNTIF($CA$100:$CA$123,CD119)+COUNTIF($CB$100:$CB$123,CD119)+COUNTIF($CC$100:$CC$123,CD119)+COUNTIF($CD$100:CD119,CD119),"000"))</f>
        <v/>
      </c>
      <c r="V119" s="9" t="str">
        <f>IF(AND($BN$20&lt;&gt;"",($BM$20+20)&lt;=$BO$20),$BN$20,"")</f>
        <v/>
      </c>
      <c r="W119" s="9" t="str">
        <f>IF(AND($BN$20&lt;&gt;"",($BM$20+20)&lt;=$BO$20),TEXT(($BM$20+20),"00"),"")</f>
        <v/>
      </c>
      <c r="X119" s="9" t="str">
        <f>IF(AND($BN$20&lt;&gt;"",($BM$20+20)&lt;=$BO$20),$BN$20&amp;"-"&amp;TEXT(($BM$20+20),"00"),"")</f>
        <v/>
      </c>
      <c r="BA119">
        <f>IF(OR(Catalogo!$C119="",Catalogo!$B119="Espacio libre",Catalogo!$B119="Espacio reservado"),0,COUNTIF($C$13:$C$42,Catalogo!$C119)+IF($E$7=Catalogo!$C119,N($K$7),0)+IF($E$8=Catalogo!$C119,N($N$8),0)+IF(Proyecto!$D$12=Catalogo!$C119,$AQ$4,0)+SUMIF($C$49:$C$58,Catalogo!$C119,$K$49:$K$58))</f>
        <v>0</v>
      </c>
      <c r="CA119" t="str" cm="1">
        <f t="array" ref="CA119">IF(NOT(AND($BN$17&lt;&gt;"",($BM$17+20)&lt;=$BO$17)),"",IF(B119&lt;&gt;"",IF(B119="-","",B119),IF(ISNUMBER(SEARCH(":",$BP$17)),IFERROR(_xlfn.LET(_xlpm.s,_xlfn.TEXTSPLIT($BP$17,","),_xlpm.k,FIND(":",_xlpm.s),INDEX(TRIM(LEFT(_xlpm.s,_xlpm.k-1)),_xlfn.XMATCH(($BM$17+20),_xlfn.SCAN(0,--MID(_xlpm.s,_xlpm.k+1,9),_xlfn.LAMBDA(_xlpm.a,_xlpm.v,_xlpm.a+_xlpm.v)),1))),""),IF(($BM$17+20)&lt;=$BQ$17,$BP$17,""))))</f>
        <v/>
      </c>
      <c r="CB119" t="str" cm="1">
        <f t="array" ref="CB119">IF(NOT(AND($BN$18&lt;&gt;"",($BM$18+20)&lt;=$BO$18)),"",IF(H119&lt;&gt;"",IF(H119="-","",H119),IF(ISNUMBER(SEARCH(":",$BP$18)),IFERROR(_xlfn.LET(_xlpm.s,_xlfn.TEXTSPLIT($BP$18,","),_xlpm.k,FIND(":",_xlpm.s),INDEX(TRIM(LEFT(_xlpm.s,_xlpm.k-1)),_xlfn.XMATCH(($BM$18+20),_xlfn.SCAN(0,--MID(_xlpm.s,_xlpm.k+1,9),_xlfn.LAMBDA(_xlpm.a,_xlpm.v,_xlpm.a+_xlpm.v)),1))),""),IF(($BM$18+20)&lt;=$BQ$18,$BP$18,""))))</f>
        <v/>
      </c>
      <c r="CC119" t="str" cm="1">
        <f t="array" ref="CC119">IF(NOT(AND($BN$19&lt;&gt;"",($BM$19+20)&lt;=$BO$19)),"",IF(N119&lt;&gt;"",IF(N119="-","",N119),IF(ISNUMBER(SEARCH(":",$BP$19)),IFERROR(_xlfn.LET(_xlpm.s,_xlfn.TEXTSPLIT($BP$19,","),_xlpm.k,FIND(":",_xlpm.s),INDEX(TRIM(LEFT(_xlpm.s,_xlpm.k-1)),_xlfn.XMATCH(($BM$19+20),_xlfn.SCAN(0,--MID(_xlpm.s,_xlpm.k+1,9),_xlfn.LAMBDA(_xlpm.a,_xlpm.v,_xlpm.a+_xlpm.v)),1))),""),IF(($BM$19+20)&lt;=$BQ$19,$BP$19,""))))</f>
        <v/>
      </c>
      <c r="CD119" t="str" cm="1">
        <f t="array" ref="CD119">IF(NOT(AND($BN$20&lt;&gt;"",($BM$20+20)&lt;=$BO$20)),"",IF(T119&lt;&gt;"",IF(T119="-","",T119),IF(ISNUMBER(SEARCH(":",$BP$20)),IFERROR(_xlfn.LET(_xlpm.s,_xlfn.TEXTSPLIT($BP$20,","),_xlpm.k,FIND(":",_xlpm.s),INDEX(TRIM(LEFT(_xlpm.s,_xlpm.k-1)),_xlfn.XMATCH(($BM$20+20),_xlfn.SCAN(0,--MID(_xlpm.s,_xlpm.k+1,9),_xlfn.LAMBDA(_xlpm.a,_xlpm.v,_xlpm.a+_xlpm.v)),1))),""),IF(($BM$20+20)&lt;=$BQ$20,$BP$20,""))))</f>
        <v/>
      </c>
    </row>
    <row r="120" spans="2:82" hidden="1" x14ac:dyDescent="0.45">
      <c r="B120" s="6"/>
      <c r="C120" s="9" t="str">
        <f>IF(CA120="","",CA120&amp;"-"&amp;TEXT(COUNTIF($CA$72:$CA$95,CA120)+COUNTIF($CB$72:$CB$95,CA120)+COUNTIF($CC$72:$CC$95,CA120)+COUNTIF($CD$72:$CD$95,CA120)+COUNTIF($CA$100:CA120,CA120),"000"))</f>
        <v/>
      </c>
      <c r="D120" s="9" t="str">
        <f>IF(AND($BN$17&lt;&gt;"",($BM$17+21)&lt;=$BO$17),$BN$17,"")</f>
        <v/>
      </c>
      <c r="E120" s="9" t="str">
        <f>IF(AND($BN$17&lt;&gt;"",($BM$17+21)&lt;=$BO$17),TEXT(($BM$17+21),"00"),"")</f>
        <v/>
      </c>
      <c r="F120" s="9" t="str">
        <f>IF(AND($BN$17&lt;&gt;"",($BM$17+21)&lt;=$BO$17),$BN$17&amp;"-"&amp;TEXT(($BM$17+21),"00"),"")</f>
        <v/>
      </c>
      <c r="H120" s="6"/>
      <c r="I120" s="9" t="str">
        <f>IF(CB120="","",CB120&amp;"-"&amp;TEXT(COUNTIF($CA$72:$CA$95,CB120)+COUNTIF($CB$72:$CB$95,CB120)+COUNTIF($CC$72:$CC$95,CB120)+COUNTIF($CD$72:$CD$95,CB120)+COUNTIF($CA$100:$CA$123,CB120)+COUNTIF($CB$100:CB120,CB120),"000"))</f>
        <v/>
      </c>
      <c r="J120" s="9" t="str">
        <f>IF(AND($BN$18&lt;&gt;"",($BM$18+21)&lt;=$BO$18),$BN$18,"")</f>
        <v/>
      </c>
      <c r="K120" s="9" t="str">
        <f>IF(AND($BN$18&lt;&gt;"",($BM$18+21)&lt;=$BO$18),TEXT(($BM$18+21),"00"),"")</f>
        <v/>
      </c>
      <c r="L120" s="9" t="str">
        <f>IF(AND($BN$18&lt;&gt;"",($BM$18+21)&lt;=$BO$18),$BN$18&amp;"-"&amp;TEXT(($BM$18+21),"00"),"")</f>
        <v/>
      </c>
      <c r="N120" s="6"/>
      <c r="O120" s="9" t="str">
        <f>IF(CC120="","",CC120&amp;"-"&amp;TEXT(COUNTIF($CA$72:$CA$95,CC120)+COUNTIF($CB$72:$CB$95,CC120)+COUNTIF($CC$72:$CC$95,CC120)+COUNTIF($CD$72:$CD$95,CC120)+COUNTIF($CA$100:$CA$123,CC120)+COUNTIF($CB$100:$CB$123,CC120)+COUNTIF($CC$100:CC120,CC120),"000"))</f>
        <v/>
      </c>
      <c r="P120" s="9" t="str">
        <f>IF(AND($BN$19&lt;&gt;"",($BM$19+21)&lt;=$BO$19),$BN$19,"")</f>
        <v/>
      </c>
      <c r="Q120" s="9" t="str">
        <f>IF(AND($BN$19&lt;&gt;"",($BM$19+21)&lt;=$BO$19),TEXT(($BM$19+21),"00"),"")</f>
        <v/>
      </c>
      <c r="R120" s="9" t="str">
        <f>IF(AND($BN$19&lt;&gt;"",($BM$19+21)&lt;=$BO$19),$BN$19&amp;"-"&amp;TEXT(($BM$19+21),"00"),"")</f>
        <v/>
      </c>
      <c r="T120" s="6"/>
      <c r="U120" s="9" t="str">
        <f>IF(CD120="","",CD120&amp;"-"&amp;TEXT(COUNTIF($CA$72:$CA$95,CD120)+COUNTIF($CB$72:$CB$95,CD120)+COUNTIF($CC$72:$CC$95,CD120)+COUNTIF($CD$72:$CD$95,CD120)+COUNTIF($CA$100:$CA$123,CD120)+COUNTIF($CB$100:$CB$123,CD120)+COUNTIF($CC$100:$CC$123,CD120)+COUNTIF($CD$100:CD120,CD120),"000"))</f>
        <v/>
      </c>
      <c r="V120" s="9" t="str">
        <f>IF(AND($BN$20&lt;&gt;"",($BM$20+21)&lt;=$BO$20),$BN$20,"")</f>
        <v/>
      </c>
      <c r="W120" s="9" t="str">
        <f>IF(AND($BN$20&lt;&gt;"",($BM$20+21)&lt;=$BO$20),TEXT(($BM$20+21),"00"),"")</f>
        <v/>
      </c>
      <c r="X120" s="9" t="str">
        <f>IF(AND($BN$20&lt;&gt;"",($BM$20+21)&lt;=$BO$20),$BN$20&amp;"-"&amp;TEXT(($BM$20+21),"00"),"")</f>
        <v/>
      </c>
      <c r="BA120">
        <f>IF(OR(Catalogo!$C120="",Catalogo!$B120="Espacio libre",Catalogo!$B120="Espacio reservado"),0,COUNTIF($C$13:$C$42,Catalogo!$C120)+IF($E$7=Catalogo!$C120,N($K$7),0)+IF($E$8=Catalogo!$C120,N($N$8),0)+IF(Proyecto!$D$12=Catalogo!$C120,$AQ$4,0)+SUMIF($C$49:$C$58,Catalogo!$C120,$K$49:$K$58))</f>
        <v>0</v>
      </c>
      <c r="CA120" t="str" cm="1">
        <f t="array" ref="CA120">IF(NOT(AND($BN$17&lt;&gt;"",($BM$17+21)&lt;=$BO$17)),"",IF(B120&lt;&gt;"",IF(B120="-","",B120),IF(ISNUMBER(SEARCH(":",$BP$17)),IFERROR(_xlfn.LET(_xlpm.s,_xlfn.TEXTSPLIT($BP$17,","),_xlpm.k,FIND(":",_xlpm.s),INDEX(TRIM(LEFT(_xlpm.s,_xlpm.k-1)),_xlfn.XMATCH(($BM$17+21),_xlfn.SCAN(0,--MID(_xlpm.s,_xlpm.k+1,9),_xlfn.LAMBDA(_xlpm.a,_xlpm.v,_xlpm.a+_xlpm.v)),1))),""),IF(($BM$17+21)&lt;=$BQ$17,$BP$17,""))))</f>
        <v/>
      </c>
      <c r="CB120" t="str" cm="1">
        <f t="array" ref="CB120">IF(NOT(AND($BN$18&lt;&gt;"",($BM$18+21)&lt;=$BO$18)),"",IF(H120&lt;&gt;"",IF(H120="-","",H120),IF(ISNUMBER(SEARCH(":",$BP$18)),IFERROR(_xlfn.LET(_xlpm.s,_xlfn.TEXTSPLIT($BP$18,","),_xlpm.k,FIND(":",_xlpm.s),INDEX(TRIM(LEFT(_xlpm.s,_xlpm.k-1)),_xlfn.XMATCH(($BM$18+21),_xlfn.SCAN(0,--MID(_xlpm.s,_xlpm.k+1,9),_xlfn.LAMBDA(_xlpm.a,_xlpm.v,_xlpm.a+_xlpm.v)),1))),""),IF(($BM$18+21)&lt;=$BQ$18,$BP$18,""))))</f>
        <v/>
      </c>
      <c r="CC120" t="str" cm="1">
        <f t="array" ref="CC120">IF(NOT(AND($BN$19&lt;&gt;"",($BM$19+21)&lt;=$BO$19)),"",IF(N120&lt;&gt;"",IF(N120="-","",N120),IF(ISNUMBER(SEARCH(":",$BP$19)),IFERROR(_xlfn.LET(_xlpm.s,_xlfn.TEXTSPLIT($BP$19,","),_xlpm.k,FIND(":",_xlpm.s),INDEX(TRIM(LEFT(_xlpm.s,_xlpm.k-1)),_xlfn.XMATCH(($BM$19+21),_xlfn.SCAN(0,--MID(_xlpm.s,_xlpm.k+1,9),_xlfn.LAMBDA(_xlpm.a,_xlpm.v,_xlpm.a+_xlpm.v)),1))),""),IF(($BM$19+21)&lt;=$BQ$19,$BP$19,""))))</f>
        <v/>
      </c>
      <c r="CD120" t="str" cm="1">
        <f t="array" ref="CD120">IF(NOT(AND($BN$20&lt;&gt;"",($BM$20+21)&lt;=$BO$20)),"",IF(T120&lt;&gt;"",IF(T120="-","",T120),IF(ISNUMBER(SEARCH(":",$BP$20)),IFERROR(_xlfn.LET(_xlpm.s,_xlfn.TEXTSPLIT($BP$20,","),_xlpm.k,FIND(":",_xlpm.s),INDEX(TRIM(LEFT(_xlpm.s,_xlpm.k-1)),_xlfn.XMATCH(($BM$20+21),_xlfn.SCAN(0,--MID(_xlpm.s,_xlpm.k+1,9),_xlfn.LAMBDA(_xlpm.a,_xlpm.v,_xlpm.a+_xlpm.v)),1))),""),IF(($BM$20+21)&lt;=$BQ$20,$BP$20,""))))</f>
        <v/>
      </c>
    </row>
    <row r="121" spans="2:82" hidden="1" x14ac:dyDescent="0.45">
      <c r="B121" s="6"/>
      <c r="C121" s="9" t="str">
        <f>IF(CA121="","",CA121&amp;"-"&amp;TEXT(COUNTIF($CA$72:$CA$95,CA121)+COUNTIF($CB$72:$CB$95,CA121)+COUNTIF($CC$72:$CC$95,CA121)+COUNTIF($CD$72:$CD$95,CA121)+COUNTIF($CA$100:CA121,CA121),"000"))</f>
        <v/>
      </c>
      <c r="D121" s="9" t="str">
        <f>IF(AND($BN$17&lt;&gt;"",($BM$17+22)&lt;=$BO$17),$BN$17,"")</f>
        <v/>
      </c>
      <c r="E121" s="9" t="str">
        <f>IF(AND($BN$17&lt;&gt;"",($BM$17+22)&lt;=$BO$17),TEXT(($BM$17+22),"00"),"")</f>
        <v/>
      </c>
      <c r="F121" s="9" t="str">
        <f>IF(AND($BN$17&lt;&gt;"",($BM$17+22)&lt;=$BO$17),$BN$17&amp;"-"&amp;TEXT(($BM$17+22),"00"),"")</f>
        <v/>
      </c>
      <c r="H121" s="6"/>
      <c r="I121" s="9" t="str">
        <f>IF(CB121="","",CB121&amp;"-"&amp;TEXT(COUNTIF($CA$72:$CA$95,CB121)+COUNTIF($CB$72:$CB$95,CB121)+COUNTIF($CC$72:$CC$95,CB121)+COUNTIF($CD$72:$CD$95,CB121)+COUNTIF($CA$100:$CA$123,CB121)+COUNTIF($CB$100:CB121,CB121),"000"))</f>
        <v/>
      </c>
      <c r="J121" s="9" t="str">
        <f>IF(AND($BN$18&lt;&gt;"",($BM$18+22)&lt;=$BO$18),$BN$18,"")</f>
        <v/>
      </c>
      <c r="K121" s="9" t="str">
        <f>IF(AND($BN$18&lt;&gt;"",($BM$18+22)&lt;=$BO$18),TEXT(($BM$18+22),"00"),"")</f>
        <v/>
      </c>
      <c r="L121" s="9" t="str">
        <f>IF(AND($BN$18&lt;&gt;"",($BM$18+22)&lt;=$BO$18),$BN$18&amp;"-"&amp;TEXT(($BM$18+22),"00"),"")</f>
        <v/>
      </c>
      <c r="N121" s="6"/>
      <c r="O121" s="9" t="str">
        <f>IF(CC121="","",CC121&amp;"-"&amp;TEXT(COUNTIF($CA$72:$CA$95,CC121)+COUNTIF($CB$72:$CB$95,CC121)+COUNTIF($CC$72:$CC$95,CC121)+COUNTIF($CD$72:$CD$95,CC121)+COUNTIF($CA$100:$CA$123,CC121)+COUNTIF($CB$100:$CB$123,CC121)+COUNTIF($CC$100:CC121,CC121),"000"))</f>
        <v/>
      </c>
      <c r="P121" s="9" t="str">
        <f>IF(AND($BN$19&lt;&gt;"",($BM$19+22)&lt;=$BO$19),$BN$19,"")</f>
        <v/>
      </c>
      <c r="Q121" s="9" t="str">
        <f>IF(AND($BN$19&lt;&gt;"",($BM$19+22)&lt;=$BO$19),TEXT(($BM$19+22),"00"),"")</f>
        <v/>
      </c>
      <c r="R121" s="9" t="str">
        <f>IF(AND($BN$19&lt;&gt;"",($BM$19+22)&lt;=$BO$19),$BN$19&amp;"-"&amp;TEXT(($BM$19+22),"00"),"")</f>
        <v/>
      </c>
      <c r="T121" s="6"/>
      <c r="U121" s="9" t="str">
        <f>IF(CD121="","",CD121&amp;"-"&amp;TEXT(COUNTIF($CA$72:$CA$95,CD121)+COUNTIF($CB$72:$CB$95,CD121)+COUNTIF($CC$72:$CC$95,CD121)+COUNTIF($CD$72:$CD$95,CD121)+COUNTIF($CA$100:$CA$123,CD121)+COUNTIF($CB$100:$CB$123,CD121)+COUNTIF($CC$100:$CC$123,CD121)+COUNTIF($CD$100:CD121,CD121),"000"))</f>
        <v/>
      </c>
      <c r="V121" s="9" t="str">
        <f>IF(AND($BN$20&lt;&gt;"",($BM$20+22)&lt;=$BO$20),$BN$20,"")</f>
        <v/>
      </c>
      <c r="W121" s="9" t="str">
        <f>IF(AND($BN$20&lt;&gt;"",($BM$20+22)&lt;=$BO$20),TEXT(($BM$20+22),"00"),"")</f>
        <v/>
      </c>
      <c r="X121" s="9" t="str">
        <f>IF(AND($BN$20&lt;&gt;"",($BM$20+22)&lt;=$BO$20),$BN$20&amp;"-"&amp;TEXT(($BM$20+22),"00"),"")</f>
        <v/>
      </c>
      <c r="BA121">
        <f>IF(OR(Catalogo!$C121="",Catalogo!$B121="Espacio libre",Catalogo!$B121="Espacio reservado"),0,COUNTIF($C$13:$C$42,Catalogo!$C121)+IF($E$7=Catalogo!$C121,N($K$7),0)+IF($E$8=Catalogo!$C121,N($N$8),0)+IF(Proyecto!$D$12=Catalogo!$C121,$AQ$4,0)+SUMIF($C$49:$C$58,Catalogo!$C121,$K$49:$K$58))</f>
        <v>0</v>
      </c>
      <c r="CA121" t="str" cm="1">
        <f t="array" ref="CA121">IF(NOT(AND($BN$17&lt;&gt;"",($BM$17+22)&lt;=$BO$17)),"",IF(B121&lt;&gt;"",IF(B121="-","",B121),IF(ISNUMBER(SEARCH(":",$BP$17)),IFERROR(_xlfn.LET(_xlpm.s,_xlfn.TEXTSPLIT($BP$17,","),_xlpm.k,FIND(":",_xlpm.s),INDEX(TRIM(LEFT(_xlpm.s,_xlpm.k-1)),_xlfn.XMATCH(($BM$17+22),_xlfn.SCAN(0,--MID(_xlpm.s,_xlpm.k+1,9),_xlfn.LAMBDA(_xlpm.a,_xlpm.v,_xlpm.a+_xlpm.v)),1))),""),IF(($BM$17+22)&lt;=$BQ$17,$BP$17,""))))</f>
        <v/>
      </c>
      <c r="CB121" t="str" cm="1">
        <f t="array" ref="CB121">IF(NOT(AND($BN$18&lt;&gt;"",($BM$18+22)&lt;=$BO$18)),"",IF(H121&lt;&gt;"",IF(H121="-","",H121),IF(ISNUMBER(SEARCH(":",$BP$18)),IFERROR(_xlfn.LET(_xlpm.s,_xlfn.TEXTSPLIT($BP$18,","),_xlpm.k,FIND(":",_xlpm.s),INDEX(TRIM(LEFT(_xlpm.s,_xlpm.k-1)),_xlfn.XMATCH(($BM$18+22),_xlfn.SCAN(0,--MID(_xlpm.s,_xlpm.k+1,9),_xlfn.LAMBDA(_xlpm.a,_xlpm.v,_xlpm.a+_xlpm.v)),1))),""),IF(($BM$18+22)&lt;=$BQ$18,$BP$18,""))))</f>
        <v/>
      </c>
      <c r="CC121" t="str" cm="1">
        <f t="array" ref="CC121">IF(NOT(AND($BN$19&lt;&gt;"",($BM$19+22)&lt;=$BO$19)),"",IF(N121&lt;&gt;"",IF(N121="-","",N121),IF(ISNUMBER(SEARCH(":",$BP$19)),IFERROR(_xlfn.LET(_xlpm.s,_xlfn.TEXTSPLIT($BP$19,","),_xlpm.k,FIND(":",_xlpm.s),INDEX(TRIM(LEFT(_xlpm.s,_xlpm.k-1)),_xlfn.XMATCH(($BM$19+22),_xlfn.SCAN(0,--MID(_xlpm.s,_xlpm.k+1,9),_xlfn.LAMBDA(_xlpm.a,_xlpm.v,_xlpm.a+_xlpm.v)),1))),""),IF(($BM$19+22)&lt;=$BQ$19,$BP$19,""))))</f>
        <v/>
      </c>
      <c r="CD121" t="str" cm="1">
        <f t="array" ref="CD121">IF(NOT(AND($BN$20&lt;&gt;"",($BM$20+22)&lt;=$BO$20)),"",IF(T121&lt;&gt;"",IF(T121="-","",T121),IF(ISNUMBER(SEARCH(":",$BP$20)),IFERROR(_xlfn.LET(_xlpm.s,_xlfn.TEXTSPLIT($BP$20,","),_xlpm.k,FIND(":",_xlpm.s),INDEX(TRIM(LEFT(_xlpm.s,_xlpm.k-1)),_xlfn.XMATCH(($BM$20+22),_xlfn.SCAN(0,--MID(_xlpm.s,_xlpm.k+1,9),_xlfn.LAMBDA(_xlpm.a,_xlpm.v,_xlpm.a+_xlpm.v)),1))),""),IF(($BM$20+22)&lt;=$BQ$20,$BP$20,""))))</f>
        <v/>
      </c>
    </row>
    <row r="122" spans="2:82" hidden="1" x14ac:dyDescent="0.45">
      <c r="B122" s="6"/>
      <c r="C122" s="9" t="str">
        <f>IF(CA122="","",CA122&amp;"-"&amp;TEXT(COUNTIF($CA$72:$CA$95,CA122)+COUNTIF($CB$72:$CB$95,CA122)+COUNTIF($CC$72:$CC$95,CA122)+COUNTIF($CD$72:$CD$95,CA122)+COUNTIF($CA$100:CA122,CA122),"000"))</f>
        <v/>
      </c>
      <c r="D122" s="9" t="str">
        <f>IF(AND($BN$17&lt;&gt;"",($BM$17+23)&lt;=$BO$17),$BN$17,"")</f>
        <v/>
      </c>
      <c r="E122" s="9" t="str">
        <f>IF(AND($BN$17&lt;&gt;"",($BM$17+23)&lt;=$BO$17),TEXT(($BM$17+23),"00"),"")</f>
        <v/>
      </c>
      <c r="F122" s="9" t="str">
        <f>IF(AND($BN$17&lt;&gt;"",($BM$17+23)&lt;=$BO$17),$BN$17&amp;"-"&amp;TEXT(($BM$17+23),"00"),"")</f>
        <v/>
      </c>
      <c r="H122" s="6"/>
      <c r="I122" s="9" t="str">
        <f>IF(CB122="","",CB122&amp;"-"&amp;TEXT(COUNTIF($CA$72:$CA$95,CB122)+COUNTIF($CB$72:$CB$95,CB122)+COUNTIF($CC$72:$CC$95,CB122)+COUNTIF($CD$72:$CD$95,CB122)+COUNTIF($CA$100:$CA$123,CB122)+COUNTIF($CB$100:CB122,CB122),"000"))</f>
        <v/>
      </c>
      <c r="J122" s="9" t="str">
        <f>IF(AND($BN$18&lt;&gt;"",($BM$18+23)&lt;=$BO$18),$BN$18,"")</f>
        <v/>
      </c>
      <c r="K122" s="9" t="str">
        <f>IF(AND($BN$18&lt;&gt;"",($BM$18+23)&lt;=$BO$18),TEXT(($BM$18+23),"00"),"")</f>
        <v/>
      </c>
      <c r="L122" s="9" t="str">
        <f>IF(AND($BN$18&lt;&gt;"",($BM$18+23)&lt;=$BO$18),$BN$18&amp;"-"&amp;TEXT(($BM$18+23),"00"),"")</f>
        <v/>
      </c>
      <c r="N122" s="6"/>
      <c r="O122" s="9" t="str">
        <f>IF(CC122="","",CC122&amp;"-"&amp;TEXT(COUNTIF($CA$72:$CA$95,CC122)+COUNTIF($CB$72:$CB$95,CC122)+COUNTIF($CC$72:$CC$95,CC122)+COUNTIF($CD$72:$CD$95,CC122)+COUNTIF($CA$100:$CA$123,CC122)+COUNTIF($CB$100:$CB$123,CC122)+COUNTIF($CC$100:CC122,CC122),"000"))</f>
        <v/>
      </c>
      <c r="P122" s="9" t="str">
        <f>IF(AND($BN$19&lt;&gt;"",($BM$19+23)&lt;=$BO$19),$BN$19,"")</f>
        <v/>
      </c>
      <c r="Q122" s="9" t="str">
        <f>IF(AND($BN$19&lt;&gt;"",($BM$19+23)&lt;=$BO$19),TEXT(($BM$19+23),"00"),"")</f>
        <v/>
      </c>
      <c r="R122" s="9" t="str">
        <f>IF(AND($BN$19&lt;&gt;"",($BM$19+23)&lt;=$BO$19),$BN$19&amp;"-"&amp;TEXT(($BM$19+23),"00"),"")</f>
        <v/>
      </c>
      <c r="T122" s="6"/>
      <c r="U122" s="9" t="str">
        <f>IF(CD122="","",CD122&amp;"-"&amp;TEXT(COUNTIF($CA$72:$CA$95,CD122)+COUNTIF($CB$72:$CB$95,CD122)+COUNTIF($CC$72:$CC$95,CD122)+COUNTIF($CD$72:$CD$95,CD122)+COUNTIF($CA$100:$CA$123,CD122)+COUNTIF($CB$100:$CB$123,CD122)+COUNTIF($CC$100:$CC$123,CD122)+COUNTIF($CD$100:CD122,CD122),"000"))</f>
        <v/>
      </c>
      <c r="V122" s="9" t="str">
        <f>IF(AND($BN$20&lt;&gt;"",($BM$20+23)&lt;=$BO$20),$BN$20,"")</f>
        <v/>
      </c>
      <c r="W122" s="9" t="str">
        <f>IF(AND($BN$20&lt;&gt;"",($BM$20+23)&lt;=$BO$20),TEXT(($BM$20+23),"00"),"")</f>
        <v/>
      </c>
      <c r="X122" s="9" t="str">
        <f>IF(AND($BN$20&lt;&gt;"",($BM$20+23)&lt;=$BO$20),$BN$20&amp;"-"&amp;TEXT(($BM$20+23),"00"),"")</f>
        <v/>
      </c>
      <c r="BA122">
        <f>IF(OR(Catalogo!$C122="",Catalogo!$B122="Espacio libre",Catalogo!$B122="Espacio reservado"),0,COUNTIF($C$13:$C$42,Catalogo!$C122)+IF($E$7=Catalogo!$C122,N($K$7),0)+IF($E$8=Catalogo!$C122,N($N$8),0)+IF(Proyecto!$D$12=Catalogo!$C122,$AQ$4,0)+SUMIF($C$49:$C$58,Catalogo!$C122,$K$49:$K$58))</f>
        <v>0</v>
      </c>
      <c r="CA122" t="str" cm="1">
        <f t="array" ref="CA122">IF(NOT(AND($BN$17&lt;&gt;"",($BM$17+23)&lt;=$BO$17)),"",IF(B122&lt;&gt;"",IF(B122="-","",B122),IF(ISNUMBER(SEARCH(":",$BP$17)),IFERROR(_xlfn.LET(_xlpm.s,_xlfn.TEXTSPLIT($BP$17,","),_xlpm.k,FIND(":",_xlpm.s),INDEX(TRIM(LEFT(_xlpm.s,_xlpm.k-1)),_xlfn.XMATCH(($BM$17+23),_xlfn.SCAN(0,--MID(_xlpm.s,_xlpm.k+1,9),_xlfn.LAMBDA(_xlpm.a,_xlpm.v,_xlpm.a+_xlpm.v)),1))),""),IF(($BM$17+23)&lt;=$BQ$17,$BP$17,""))))</f>
        <v/>
      </c>
      <c r="CB122" t="str" cm="1">
        <f t="array" ref="CB122">IF(NOT(AND($BN$18&lt;&gt;"",($BM$18+23)&lt;=$BO$18)),"",IF(H122&lt;&gt;"",IF(H122="-","",H122),IF(ISNUMBER(SEARCH(":",$BP$18)),IFERROR(_xlfn.LET(_xlpm.s,_xlfn.TEXTSPLIT($BP$18,","),_xlpm.k,FIND(":",_xlpm.s),INDEX(TRIM(LEFT(_xlpm.s,_xlpm.k-1)),_xlfn.XMATCH(($BM$18+23),_xlfn.SCAN(0,--MID(_xlpm.s,_xlpm.k+1,9),_xlfn.LAMBDA(_xlpm.a,_xlpm.v,_xlpm.a+_xlpm.v)),1))),""),IF(($BM$18+23)&lt;=$BQ$18,$BP$18,""))))</f>
        <v/>
      </c>
      <c r="CC122" t="str" cm="1">
        <f t="array" ref="CC122">IF(NOT(AND($BN$19&lt;&gt;"",($BM$19+23)&lt;=$BO$19)),"",IF(N122&lt;&gt;"",IF(N122="-","",N122),IF(ISNUMBER(SEARCH(":",$BP$19)),IFERROR(_xlfn.LET(_xlpm.s,_xlfn.TEXTSPLIT($BP$19,","),_xlpm.k,FIND(":",_xlpm.s),INDEX(TRIM(LEFT(_xlpm.s,_xlpm.k-1)),_xlfn.XMATCH(($BM$19+23),_xlfn.SCAN(0,--MID(_xlpm.s,_xlpm.k+1,9),_xlfn.LAMBDA(_xlpm.a,_xlpm.v,_xlpm.a+_xlpm.v)),1))),""),IF(($BM$19+23)&lt;=$BQ$19,$BP$19,""))))</f>
        <v/>
      </c>
      <c r="CD122" t="str" cm="1">
        <f t="array" ref="CD122">IF(NOT(AND($BN$20&lt;&gt;"",($BM$20+23)&lt;=$BO$20)),"",IF(T122&lt;&gt;"",IF(T122="-","",T122),IF(ISNUMBER(SEARCH(":",$BP$20)),IFERROR(_xlfn.LET(_xlpm.s,_xlfn.TEXTSPLIT($BP$20,","),_xlpm.k,FIND(":",_xlpm.s),INDEX(TRIM(LEFT(_xlpm.s,_xlpm.k-1)),_xlfn.XMATCH(($BM$20+23),_xlfn.SCAN(0,--MID(_xlpm.s,_xlpm.k+1,9),_xlfn.LAMBDA(_xlpm.a,_xlpm.v,_xlpm.a+_xlpm.v)),1))),""),IF(($BM$20+23)&lt;=$BQ$20,$BP$20,""))))</f>
        <v/>
      </c>
    </row>
    <row r="123" spans="2:82" hidden="1" x14ac:dyDescent="0.45">
      <c r="B123" s="6"/>
      <c r="C123" s="9" t="str">
        <f>IF(CA123="","",CA123&amp;"-"&amp;TEXT(COUNTIF($CA$72:$CA$95,CA123)+COUNTIF($CB$72:$CB$95,CA123)+COUNTIF($CC$72:$CC$95,CA123)+COUNTIF($CD$72:$CD$95,CA123)+COUNTIF($CA$100:CA123,CA123),"000"))</f>
        <v/>
      </c>
      <c r="D123" s="9" t="str">
        <f>IF(AND($BN$17&lt;&gt;"",($BM$17+24)&lt;=$BO$17),$BN$17,"")</f>
        <v/>
      </c>
      <c r="E123" s="9" t="str">
        <f>IF(AND($BN$17&lt;&gt;"",($BM$17+24)&lt;=$BO$17),TEXT(($BM$17+24),"00"),"")</f>
        <v/>
      </c>
      <c r="F123" s="9" t="str">
        <f>IF(AND($BN$17&lt;&gt;"",($BM$17+24)&lt;=$BO$17),$BN$17&amp;"-"&amp;TEXT(($BM$17+24),"00"),"")</f>
        <v/>
      </c>
      <c r="H123" s="6"/>
      <c r="I123" s="9" t="str">
        <f>IF(CB123="","",CB123&amp;"-"&amp;TEXT(COUNTIF($CA$72:$CA$95,CB123)+COUNTIF($CB$72:$CB$95,CB123)+COUNTIF($CC$72:$CC$95,CB123)+COUNTIF($CD$72:$CD$95,CB123)+COUNTIF($CA$100:$CA$123,CB123)+COUNTIF($CB$100:CB123,CB123),"000"))</f>
        <v/>
      </c>
      <c r="J123" s="9" t="str">
        <f>IF(AND($BN$18&lt;&gt;"",($BM$18+24)&lt;=$BO$18),$BN$18,"")</f>
        <v/>
      </c>
      <c r="K123" s="9" t="str">
        <f>IF(AND($BN$18&lt;&gt;"",($BM$18+24)&lt;=$BO$18),TEXT(($BM$18+24),"00"),"")</f>
        <v/>
      </c>
      <c r="L123" s="9" t="str">
        <f>IF(AND($BN$18&lt;&gt;"",($BM$18+24)&lt;=$BO$18),$BN$18&amp;"-"&amp;TEXT(($BM$18+24),"00"),"")</f>
        <v/>
      </c>
      <c r="N123" s="6"/>
      <c r="O123" s="9" t="str">
        <f>IF(CC123="","",CC123&amp;"-"&amp;TEXT(COUNTIF($CA$72:$CA$95,CC123)+COUNTIF($CB$72:$CB$95,CC123)+COUNTIF($CC$72:$CC$95,CC123)+COUNTIF($CD$72:$CD$95,CC123)+COUNTIF($CA$100:$CA$123,CC123)+COUNTIF($CB$100:$CB$123,CC123)+COUNTIF($CC$100:CC123,CC123),"000"))</f>
        <v/>
      </c>
      <c r="P123" s="9" t="str">
        <f>IF(AND($BN$19&lt;&gt;"",($BM$19+24)&lt;=$BO$19),$BN$19,"")</f>
        <v/>
      </c>
      <c r="Q123" s="9" t="str">
        <f>IF(AND($BN$19&lt;&gt;"",($BM$19+24)&lt;=$BO$19),TEXT(($BM$19+24),"00"),"")</f>
        <v/>
      </c>
      <c r="R123" s="9" t="str">
        <f>IF(AND($BN$19&lt;&gt;"",($BM$19+24)&lt;=$BO$19),$BN$19&amp;"-"&amp;TEXT(($BM$19+24),"00"),"")</f>
        <v/>
      </c>
      <c r="T123" s="6"/>
      <c r="U123" s="9" t="str">
        <f>IF(CD123="","",CD123&amp;"-"&amp;TEXT(COUNTIF($CA$72:$CA$95,CD123)+COUNTIF($CB$72:$CB$95,CD123)+COUNTIF($CC$72:$CC$95,CD123)+COUNTIF($CD$72:$CD$95,CD123)+COUNTIF($CA$100:$CA$123,CD123)+COUNTIF($CB$100:$CB$123,CD123)+COUNTIF($CC$100:$CC$123,CD123)+COUNTIF($CD$100:CD123,CD123),"000"))</f>
        <v/>
      </c>
      <c r="V123" s="9" t="str">
        <f>IF(AND($BN$20&lt;&gt;"",($BM$20+24)&lt;=$BO$20),$BN$20,"")</f>
        <v/>
      </c>
      <c r="W123" s="9" t="str">
        <f>IF(AND($BN$20&lt;&gt;"",($BM$20+24)&lt;=$BO$20),TEXT(($BM$20+24),"00"),"")</f>
        <v/>
      </c>
      <c r="X123" s="9" t="str">
        <f>IF(AND($BN$20&lt;&gt;"",($BM$20+24)&lt;=$BO$20),$BN$20&amp;"-"&amp;TEXT(($BM$20+24),"00"),"")</f>
        <v/>
      </c>
      <c r="BA123">
        <f>IF(OR(Catalogo!$C123="",Catalogo!$B123="Espacio libre",Catalogo!$B123="Espacio reservado"),0,COUNTIF($C$13:$C$42,Catalogo!$C123)+IF($E$7=Catalogo!$C123,N($K$7),0)+IF($E$8=Catalogo!$C123,N($N$8),0)+IF(Proyecto!$D$12=Catalogo!$C123,$AQ$4,0)+SUMIF($C$49:$C$58,Catalogo!$C123,$K$49:$K$58))</f>
        <v>0</v>
      </c>
      <c r="CA123" t="str" cm="1">
        <f t="array" ref="CA123">IF(NOT(AND($BN$17&lt;&gt;"",($BM$17+24)&lt;=$BO$17)),"",IF(B123&lt;&gt;"",IF(B123="-","",B123),IF(ISNUMBER(SEARCH(":",$BP$17)),IFERROR(_xlfn.LET(_xlpm.s,_xlfn.TEXTSPLIT($BP$17,","),_xlpm.k,FIND(":",_xlpm.s),INDEX(TRIM(LEFT(_xlpm.s,_xlpm.k-1)),_xlfn.XMATCH(($BM$17+24),_xlfn.SCAN(0,--MID(_xlpm.s,_xlpm.k+1,9),_xlfn.LAMBDA(_xlpm.a,_xlpm.v,_xlpm.a+_xlpm.v)),1))),""),IF(($BM$17+24)&lt;=$BQ$17,$BP$17,""))))</f>
        <v/>
      </c>
      <c r="CB123" t="str" cm="1">
        <f t="array" ref="CB123">IF(NOT(AND($BN$18&lt;&gt;"",($BM$18+24)&lt;=$BO$18)),"",IF(H123&lt;&gt;"",IF(H123="-","",H123),IF(ISNUMBER(SEARCH(":",$BP$18)),IFERROR(_xlfn.LET(_xlpm.s,_xlfn.TEXTSPLIT($BP$18,","),_xlpm.k,FIND(":",_xlpm.s),INDEX(TRIM(LEFT(_xlpm.s,_xlpm.k-1)),_xlfn.XMATCH(($BM$18+24),_xlfn.SCAN(0,--MID(_xlpm.s,_xlpm.k+1,9),_xlfn.LAMBDA(_xlpm.a,_xlpm.v,_xlpm.a+_xlpm.v)),1))),""),IF(($BM$18+24)&lt;=$BQ$18,$BP$18,""))))</f>
        <v/>
      </c>
      <c r="CC123" t="str" cm="1">
        <f t="array" ref="CC123">IF(NOT(AND($BN$19&lt;&gt;"",($BM$19+24)&lt;=$BO$19)),"",IF(N123&lt;&gt;"",IF(N123="-","",N123),IF(ISNUMBER(SEARCH(":",$BP$19)),IFERROR(_xlfn.LET(_xlpm.s,_xlfn.TEXTSPLIT($BP$19,","),_xlpm.k,FIND(":",_xlpm.s),INDEX(TRIM(LEFT(_xlpm.s,_xlpm.k-1)),_xlfn.XMATCH(($BM$19+24),_xlfn.SCAN(0,--MID(_xlpm.s,_xlpm.k+1,9),_xlfn.LAMBDA(_xlpm.a,_xlpm.v,_xlpm.a+_xlpm.v)),1))),""),IF(($BM$19+24)&lt;=$BQ$19,$BP$19,""))))</f>
        <v/>
      </c>
      <c r="CD123" t="str" cm="1">
        <f t="array" ref="CD123">IF(NOT(AND($BN$20&lt;&gt;"",($BM$20+24)&lt;=$BO$20)),"",IF(T123&lt;&gt;"",IF(T123="-","",T123),IF(ISNUMBER(SEARCH(":",$BP$20)),IFERROR(_xlfn.LET(_xlpm.s,_xlfn.TEXTSPLIT($BP$20,","),_xlpm.k,FIND(":",_xlpm.s),INDEX(TRIM(LEFT(_xlpm.s,_xlpm.k-1)),_xlfn.XMATCH(($BM$20+24),_xlfn.SCAN(0,--MID(_xlpm.s,_xlpm.k+1,9),_xlfn.LAMBDA(_xlpm.a,_xlpm.v,_xlpm.a+_xlpm.v)),1))),""),IF(($BM$20+24)&lt;=$BQ$20,$BP$20,""))))</f>
        <v/>
      </c>
    </row>
    <row r="124" spans="2:82" hidden="1" x14ac:dyDescent="0.45">
      <c r="BA124">
        <f>IF(OR(Catalogo!$C124="",Catalogo!$B124="Espacio libre",Catalogo!$B124="Espacio reservado"),0,COUNTIF($C$13:$C$42,Catalogo!$C124)+IF($E$7=Catalogo!$C124,N($K$7),0)+IF($E$8=Catalogo!$C124,N($N$8),0)+IF(Proyecto!$D$12=Catalogo!$C124,$AQ$4,0)+SUMIF($C$49:$C$58,Catalogo!$C124,$K$49:$K$58))</f>
        <v>0</v>
      </c>
    </row>
    <row r="125" spans="2:82" hidden="1" x14ac:dyDescent="0.45">
      <c r="BA125">
        <f>IF(OR(Catalogo!$C125="",Catalogo!$B125="Espacio libre",Catalogo!$B125="Espacio reservado"),0,COUNTIF($C$13:$C$42,Catalogo!$C125)+IF($E$7=Catalogo!$C125,N($K$7),0)+IF($E$8=Catalogo!$C125,N($N$8),0)+IF(Proyecto!$D$12=Catalogo!$C125,$AQ$4,0)+SUMIF($C$49:$C$58,Catalogo!$C125,$K$49:$K$58))</f>
        <v>0</v>
      </c>
    </row>
    <row r="126" spans="2:82" hidden="1" x14ac:dyDescent="0.45">
      <c r="B126" s="51" t="str">
        <f>IF($BN$21="","Bloque 9 — sin panel","Panel "&amp;$BN$21&amp;"  (puertos "&amp;($BM$21+1)&amp;"-"&amp;MIN($BM$21+24,$BO$21)&amp;")"&amp;IF($BP$21&lt;&gt;"","  · "&amp;$BP$21,"")&amp;"  · "&amp;TEXT(IFERROR(INDEX($BS$13:$BS$28,$BL$21)/$BO$21,0),"0%"))</f>
        <v>Bloque 9 — sin panel</v>
      </c>
      <c r="C126" s="40"/>
      <c r="D126" s="40"/>
      <c r="E126" s="40"/>
      <c r="F126" s="40"/>
      <c r="H126" s="51" t="str">
        <f>IF($BN$22="","Bloque 10 — sin panel","Panel "&amp;$BN$22&amp;"  (puertos "&amp;($BM$22+1)&amp;"-"&amp;MIN($BM$22+24,$BO$22)&amp;")"&amp;IF($BP$22&lt;&gt;"","  · "&amp;$BP$22,"")&amp;"  · "&amp;TEXT(IFERROR(INDEX($BS$13:$BS$28,$BL$22)/$BO$22,0),"0%"))</f>
        <v>Bloque 10 — sin panel</v>
      </c>
      <c r="I126" s="40"/>
      <c r="J126" s="40"/>
      <c r="K126" s="40"/>
      <c r="L126" s="40"/>
      <c r="N126" s="51" t="str">
        <f>IF($BN$23="","Bloque 11 — sin panel","Panel "&amp;$BN$23&amp;"  (puertos "&amp;($BM$23+1)&amp;"-"&amp;MIN($BM$23+24,$BO$23)&amp;")"&amp;IF($BP$23&lt;&gt;"","  · "&amp;$BP$23,"")&amp;"  · "&amp;TEXT(IFERROR(INDEX($BS$13:$BS$28,$BL$23)/$BO$23,0),"0%"))</f>
        <v>Bloque 11 — sin panel</v>
      </c>
      <c r="O126" s="40"/>
      <c r="P126" s="40"/>
      <c r="Q126" s="40"/>
      <c r="R126" s="40"/>
      <c r="T126" s="51" t="str">
        <f>IF($BN$24="","Bloque 12 — sin panel","Panel "&amp;$BN$24&amp;"  (puertos "&amp;($BM$24+1)&amp;"-"&amp;MIN($BM$24+24,$BO$24)&amp;")"&amp;IF($BP$24&lt;&gt;"","  · "&amp;$BP$24,"")&amp;"  · "&amp;TEXT(IFERROR(INDEX($BS$13:$BS$28,$BL$24)/$BO$24,0),"0%"))</f>
        <v>Bloque 12 — sin panel</v>
      </c>
      <c r="U126" s="40"/>
      <c r="V126" s="40"/>
      <c r="W126" s="40"/>
      <c r="X126" s="40"/>
    </row>
    <row r="127" spans="2:82" hidden="1" x14ac:dyDescent="0.45">
      <c r="B127" s="5" t="s">
        <v>410</v>
      </c>
      <c r="C127" s="5" t="s">
        <v>411</v>
      </c>
      <c r="D127" s="5" t="s">
        <v>389</v>
      </c>
      <c r="E127" s="5" t="s">
        <v>412</v>
      </c>
      <c r="F127" s="5" t="s">
        <v>413</v>
      </c>
      <c r="H127" s="5" t="s">
        <v>410</v>
      </c>
      <c r="I127" s="5" t="s">
        <v>411</v>
      </c>
      <c r="J127" s="5" t="s">
        <v>389</v>
      </c>
      <c r="K127" s="5" t="s">
        <v>412</v>
      </c>
      <c r="L127" s="5" t="s">
        <v>413</v>
      </c>
      <c r="N127" s="5" t="s">
        <v>410</v>
      </c>
      <c r="O127" s="5" t="s">
        <v>411</v>
      </c>
      <c r="P127" s="5" t="s">
        <v>389</v>
      </c>
      <c r="Q127" s="5" t="s">
        <v>412</v>
      </c>
      <c r="R127" s="5" t="s">
        <v>413</v>
      </c>
      <c r="T127" s="5" t="s">
        <v>410</v>
      </c>
      <c r="U127" s="5" t="s">
        <v>411</v>
      </c>
      <c r="V127" s="5" t="s">
        <v>389</v>
      </c>
      <c r="W127" s="5" t="s">
        <v>412</v>
      </c>
      <c r="X127" s="5" t="s">
        <v>413</v>
      </c>
    </row>
    <row r="128" spans="2:82" hidden="1" x14ac:dyDescent="0.45">
      <c r="B128" s="6"/>
      <c r="C128" s="9" t="str">
        <f>IF(CA128="","",CA128&amp;"-"&amp;TEXT(COUNTIF($CA$72:$CA$95,CA128)+COUNTIF($CB$72:$CB$95,CA128)+COUNTIF($CC$72:$CC$95,CA128)+COUNTIF($CD$72:$CD$95,CA128)+COUNTIF($CA$100:$CA$123,CA128)+COUNTIF($CB$100:$CB$123,CA128)+COUNTIF($CC$100:$CC$123,CA128)+COUNTIF($CD$100:$CD$123,CA128)+COUNTIF($CA$128:CA128,CA128),"000"))</f>
        <v/>
      </c>
      <c r="D128" s="9" t="str">
        <f>IF(AND($BN$21&lt;&gt;"",($BM$21+1)&lt;=$BO$21),$BN$21,"")</f>
        <v/>
      </c>
      <c r="E128" s="9" t="str">
        <f>IF(AND($BN$21&lt;&gt;"",($BM$21+1)&lt;=$BO$21),TEXT(($BM$21+1),"00"),"")</f>
        <v/>
      </c>
      <c r="F128" s="9" t="str">
        <f>IF(AND($BN$21&lt;&gt;"",($BM$21+1)&lt;=$BO$21),$BN$21&amp;"-"&amp;TEXT(($BM$21+1),"00"),"")</f>
        <v/>
      </c>
      <c r="H128" s="6"/>
      <c r="I128" s="9" t="str">
        <f>IF(CB128="","",CB128&amp;"-"&amp;TEXT(COUNTIF($CA$72:$CA$95,CB128)+COUNTIF($CB$72:$CB$95,CB128)+COUNTIF($CC$72:$CC$95,CB128)+COUNTIF($CD$72:$CD$95,CB128)+COUNTIF($CA$100:$CA$123,CB128)+COUNTIF($CB$100:$CB$123,CB128)+COUNTIF($CC$100:$CC$123,CB128)+COUNTIF($CD$100:$CD$123,CB128)+COUNTIF($CA$128:$CA$151,CB128)+COUNTIF($CB$128:CB128,CB128),"000"))</f>
        <v/>
      </c>
      <c r="J128" s="9" t="str">
        <f>IF(AND($BN$22&lt;&gt;"",($BM$22+1)&lt;=$BO$22),$BN$22,"")</f>
        <v/>
      </c>
      <c r="K128" s="9" t="str">
        <f>IF(AND($BN$22&lt;&gt;"",($BM$22+1)&lt;=$BO$22),TEXT(($BM$22+1),"00"),"")</f>
        <v/>
      </c>
      <c r="L128" s="9" t="str">
        <f>IF(AND($BN$22&lt;&gt;"",($BM$22+1)&lt;=$BO$22),$BN$22&amp;"-"&amp;TEXT(($BM$22+1),"00"),"")</f>
        <v/>
      </c>
      <c r="N128" s="6"/>
      <c r="O128" s="9" t="str">
        <f>IF(CC128="","",CC128&amp;"-"&amp;TEXT(COUNTIF($CA$72:$CA$95,CC128)+COUNTIF($CB$72:$CB$95,CC128)+COUNTIF($CC$72:$CC$95,CC128)+COUNTIF($CD$72:$CD$95,CC128)+COUNTIF($CA$100:$CA$123,CC128)+COUNTIF($CB$100:$CB$123,CC128)+COUNTIF($CC$100:$CC$123,CC128)+COUNTIF($CD$100:$CD$123,CC128)+COUNTIF($CA$128:$CA$151,CC128)+COUNTIF($CB$128:$CB$151,CC128)+COUNTIF($CC$128:CC128,CC128),"000"))</f>
        <v/>
      </c>
      <c r="P128" s="9" t="str">
        <f>IF(AND($BN$23&lt;&gt;"",($BM$23+1)&lt;=$BO$23),$BN$23,"")</f>
        <v/>
      </c>
      <c r="Q128" s="9" t="str">
        <f>IF(AND($BN$23&lt;&gt;"",($BM$23+1)&lt;=$BO$23),TEXT(($BM$23+1),"00"),"")</f>
        <v/>
      </c>
      <c r="R128" s="9" t="str">
        <f>IF(AND($BN$23&lt;&gt;"",($BM$23+1)&lt;=$BO$23),$BN$23&amp;"-"&amp;TEXT(($BM$23+1),"00"),"")</f>
        <v/>
      </c>
      <c r="T128" s="6"/>
      <c r="U128" s="9" t="str">
        <f>IF(CD128="","",CD128&amp;"-"&amp;TEXT(COUNTIF($CA$72:$CA$95,CD128)+COUNTIF($CB$72:$CB$95,CD128)+COUNTIF($CC$72:$CC$95,CD128)+COUNTIF($CD$72:$CD$95,CD128)+COUNTIF($CA$100:$CA$123,CD128)+COUNTIF($CB$100:$CB$123,CD128)+COUNTIF($CC$100:$CC$123,CD128)+COUNTIF($CD$100:$CD$123,CD128)+COUNTIF($CA$128:$CA$151,CD128)+COUNTIF($CB$128:$CB$151,CD128)+COUNTIF($CC$128:$CC$151,CD128)+COUNTIF($CD$128:CD128,CD128),"000"))</f>
        <v/>
      </c>
      <c r="V128" s="9" t="str">
        <f>IF(AND($BN$24&lt;&gt;"",($BM$24+1)&lt;=$BO$24),$BN$24,"")</f>
        <v/>
      </c>
      <c r="W128" s="9" t="str">
        <f>IF(AND($BN$24&lt;&gt;"",($BM$24+1)&lt;=$BO$24),TEXT(($BM$24+1),"00"),"")</f>
        <v/>
      </c>
      <c r="X128" s="9" t="str">
        <f>IF(AND($BN$24&lt;&gt;"",($BM$24+1)&lt;=$BO$24),$BN$24&amp;"-"&amp;TEXT(($BM$24+1),"00"),"")</f>
        <v/>
      </c>
      <c r="CA128" t="str" cm="1">
        <f t="array" ref="CA128">IF(NOT(AND($BN$21&lt;&gt;"",($BM$21+1)&lt;=$BO$21)),"",IF(B128&lt;&gt;"",IF(B128="-","",B128),IF(ISNUMBER(SEARCH(":",$BP$21)),IFERROR(_xlfn.LET(_xlpm.s,_xlfn.TEXTSPLIT($BP$21,","),_xlpm.k,FIND(":",_xlpm.s),INDEX(TRIM(LEFT(_xlpm.s,_xlpm.k-1)),_xlfn.XMATCH(($BM$21+1),_xlfn.SCAN(0,--MID(_xlpm.s,_xlpm.k+1,9),_xlfn.LAMBDA(_xlpm.a,_xlpm.v,_xlpm.a+_xlpm.v)),1))),""),IF(($BM$21+1)&lt;=$BQ$21,$BP$21,""))))</f>
        <v/>
      </c>
      <c r="CB128" t="str" cm="1">
        <f t="array" ref="CB128">IF(NOT(AND($BN$22&lt;&gt;"",($BM$22+1)&lt;=$BO$22)),"",IF(H128&lt;&gt;"",IF(H128="-","",H128),IF(ISNUMBER(SEARCH(":",$BP$22)),IFERROR(_xlfn.LET(_xlpm.s,_xlfn.TEXTSPLIT($BP$22,","),_xlpm.k,FIND(":",_xlpm.s),INDEX(TRIM(LEFT(_xlpm.s,_xlpm.k-1)),_xlfn.XMATCH(($BM$22+1),_xlfn.SCAN(0,--MID(_xlpm.s,_xlpm.k+1,9),_xlfn.LAMBDA(_xlpm.a,_xlpm.v,_xlpm.a+_xlpm.v)),1))),""),IF(($BM$22+1)&lt;=$BQ$22,$BP$22,""))))</f>
        <v/>
      </c>
      <c r="CC128" t="str" cm="1">
        <f t="array" ref="CC128">IF(NOT(AND($BN$23&lt;&gt;"",($BM$23+1)&lt;=$BO$23)),"",IF(N128&lt;&gt;"",IF(N128="-","",N128),IF(ISNUMBER(SEARCH(":",$BP$23)),IFERROR(_xlfn.LET(_xlpm.s,_xlfn.TEXTSPLIT($BP$23,","),_xlpm.k,FIND(":",_xlpm.s),INDEX(TRIM(LEFT(_xlpm.s,_xlpm.k-1)),_xlfn.XMATCH(($BM$23+1),_xlfn.SCAN(0,--MID(_xlpm.s,_xlpm.k+1,9),_xlfn.LAMBDA(_xlpm.a,_xlpm.v,_xlpm.a+_xlpm.v)),1))),""),IF(($BM$23+1)&lt;=$BQ$23,$BP$23,""))))</f>
        <v/>
      </c>
      <c r="CD128" t="str" cm="1">
        <f t="array" ref="CD128">IF(NOT(AND($BN$24&lt;&gt;"",($BM$24+1)&lt;=$BO$24)),"",IF(T128&lt;&gt;"",IF(T128="-","",T128),IF(ISNUMBER(SEARCH(":",$BP$24)),IFERROR(_xlfn.LET(_xlpm.s,_xlfn.TEXTSPLIT($BP$24,","),_xlpm.k,FIND(":",_xlpm.s),INDEX(TRIM(LEFT(_xlpm.s,_xlpm.k-1)),_xlfn.XMATCH(($BM$24+1),_xlfn.SCAN(0,--MID(_xlpm.s,_xlpm.k+1,9),_xlfn.LAMBDA(_xlpm.a,_xlpm.v,_xlpm.a+_xlpm.v)),1))),""),IF(($BM$24+1)&lt;=$BQ$24,$BP$24,""))))</f>
        <v/>
      </c>
    </row>
    <row r="129" spans="2:82" hidden="1" x14ac:dyDescent="0.45">
      <c r="B129" s="6"/>
      <c r="C129" s="9" t="str">
        <f>IF(CA129="","",CA129&amp;"-"&amp;TEXT(COUNTIF($CA$72:$CA$95,CA129)+COUNTIF($CB$72:$CB$95,CA129)+COUNTIF($CC$72:$CC$95,CA129)+COUNTIF($CD$72:$CD$95,CA129)+COUNTIF($CA$100:$CA$123,CA129)+COUNTIF($CB$100:$CB$123,CA129)+COUNTIF($CC$100:$CC$123,CA129)+COUNTIF($CD$100:$CD$123,CA129)+COUNTIF($CA$128:CA129,CA129),"000"))</f>
        <v/>
      </c>
      <c r="D129" s="9" t="str">
        <f>IF(AND($BN$21&lt;&gt;"",($BM$21+2)&lt;=$BO$21),$BN$21,"")</f>
        <v/>
      </c>
      <c r="E129" s="9" t="str">
        <f>IF(AND($BN$21&lt;&gt;"",($BM$21+2)&lt;=$BO$21),TEXT(($BM$21+2),"00"),"")</f>
        <v/>
      </c>
      <c r="F129" s="9" t="str">
        <f>IF(AND($BN$21&lt;&gt;"",($BM$21+2)&lt;=$BO$21),$BN$21&amp;"-"&amp;TEXT(($BM$21+2),"00"),"")</f>
        <v/>
      </c>
      <c r="H129" s="6"/>
      <c r="I129" s="9" t="str">
        <f>IF(CB129="","",CB129&amp;"-"&amp;TEXT(COUNTIF($CA$72:$CA$95,CB129)+COUNTIF($CB$72:$CB$95,CB129)+COUNTIF($CC$72:$CC$95,CB129)+COUNTIF($CD$72:$CD$95,CB129)+COUNTIF($CA$100:$CA$123,CB129)+COUNTIF($CB$100:$CB$123,CB129)+COUNTIF($CC$100:$CC$123,CB129)+COUNTIF($CD$100:$CD$123,CB129)+COUNTIF($CA$128:$CA$151,CB129)+COUNTIF($CB$128:CB129,CB129),"000"))</f>
        <v/>
      </c>
      <c r="J129" s="9" t="str">
        <f>IF(AND($BN$22&lt;&gt;"",($BM$22+2)&lt;=$BO$22),$BN$22,"")</f>
        <v/>
      </c>
      <c r="K129" s="9" t="str">
        <f>IF(AND($BN$22&lt;&gt;"",($BM$22+2)&lt;=$BO$22),TEXT(($BM$22+2),"00"),"")</f>
        <v/>
      </c>
      <c r="L129" s="9" t="str">
        <f>IF(AND($BN$22&lt;&gt;"",($BM$22+2)&lt;=$BO$22),$BN$22&amp;"-"&amp;TEXT(($BM$22+2),"00"),"")</f>
        <v/>
      </c>
      <c r="N129" s="6"/>
      <c r="O129" s="9" t="str">
        <f>IF(CC129="","",CC129&amp;"-"&amp;TEXT(COUNTIF($CA$72:$CA$95,CC129)+COUNTIF($CB$72:$CB$95,CC129)+COUNTIF($CC$72:$CC$95,CC129)+COUNTIF($CD$72:$CD$95,CC129)+COUNTIF($CA$100:$CA$123,CC129)+COUNTIF($CB$100:$CB$123,CC129)+COUNTIF($CC$100:$CC$123,CC129)+COUNTIF($CD$100:$CD$123,CC129)+COUNTIF($CA$128:$CA$151,CC129)+COUNTIF($CB$128:$CB$151,CC129)+COUNTIF($CC$128:CC129,CC129),"000"))</f>
        <v/>
      </c>
      <c r="P129" s="9" t="str">
        <f>IF(AND($BN$23&lt;&gt;"",($BM$23+2)&lt;=$BO$23),$BN$23,"")</f>
        <v/>
      </c>
      <c r="Q129" s="9" t="str">
        <f>IF(AND($BN$23&lt;&gt;"",($BM$23+2)&lt;=$BO$23),TEXT(($BM$23+2),"00"),"")</f>
        <v/>
      </c>
      <c r="R129" s="9" t="str">
        <f>IF(AND($BN$23&lt;&gt;"",($BM$23+2)&lt;=$BO$23),$BN$23&amp;"-"&amp;TEXT(($BM$23+2),"00"),"")</f>
        <v/>
      </c>
      <c r="T129" s="6"/>
      <c r="U129" s="9" t="str">
        <f>IF(CD129="","",CD129&amp;"-"&amp;TEXT(COUNTIF($CA$72:$CA$95,CD129)+COUNTIF($CB$72:$CB$95,CD129)+COUNTIF($CC$72:$CC$95,CD129)+COUNTIF($CD$72:$CD$95,CD129)+COUNTIF($CA$100:$CA$123,CD129)+COUNTIF($CB$100:$CB$123,CD129)+COUNTIF($CC$100:$CC$123,CD129)+COUNTIF($CD$100:$CD$123,CD129)+COUNTIF($CA$128:$CA$151,CD129)+COUNTIF($CB$128:$CB$151,CD129)+COUNTIF($CC$128:$CC$151,CD129)+COUNTIF($CD$128:CD129,CD129),"000"))</f>
        <v/>
      </c>
      <c r="V129" s="9" t="str">
        <f>IF(AND($BN$24&lt;&gt;"",($BM$24+2)&lt;=$BO$24),$BN$24,"")</f>
        <v/>
      </c>
      <c r="W129" s="9" t="str">
        <f>IF(AND($BN$24&lt;&gt;"",($BM$24+2)&lt;=$BO$24),TEXT(($BM$24+2),"00"),"")</f>
        <v/>
      </c>
      <c r="X129" s="9" t="str">
        <f>IF(AND($BN$24&lt;&gt;"",($BM$24+2)&lt;=$BO$24),$BN$24&amp;"-"&amp;TEXT(($BM$24+2),"00"),"")</f>
        <v/>
      </c>
      <c r="CA129" t="str" cm="1">
        <f t="array" ref="CA129">IF(NOT(AND($BN$21&lt;&gt;"",($BM$21+2)&lt;=$BO$21)),"",IF(B129&lt;&gt;"",IF(B129="-","",B129),IF(ISNUMBER(SEARCH(":",$BP$21)),IFERROR(_xlfn.LET(_xlpm.s,_xlfn.TEXTSPLIT($BP$21,","),_xlpm.k,FIND(":",_xlpm.s),INDEX(TRIM(LEFT(_xlpm.s,_xlpm.k-1)),_xlfn.XMATCH(($BM$21+2),_xlfn.SCAN(0,--MID(_xlpm.s,_xlpm.k+1,9),_xlfn.LAMBDA(_xlpm.a,_xlpm.v,_xlpm.a+_xlpm.v)),1))),""),IF(($BM$21+2)&lt;=$BQ$21,$BP$21,""))))</f>
        <v/>
      </c>
      <c r="CB129" t="str" cm="1">
        <f t="array" ref="CB129">IF(NOT(AND($BN$22&lt;&gt;"",($BM$22+2)&lt;=$BO$22)),"",IF(H129&lt;&gt;"",IF(H129="-","",H129),IF(ISNUMBER(SEARCH(":",$BP$22)),IFERROR(_xlfn.LET(_xlpm.s,_xlfn.TEXTSPLIT($BP$22,","),_xlpm.k,FIND(":",_xlpm.s),INDEX(TRIM(LEFT(_xlpm.s,_xlpm.k-1)),_xlfn.XMATCH(($BM$22+2),_xlfn.SCAN(0,--MID(_xlpm.s,_xlpm.k+1,9),_xlfn.LAMBDA(_xlpm.a,_xlpm.v,_xlpm.a+_xlpm.v)),1))),""),IF(($BM$22+2)&lt;=$BQ$22,$BP$22,""))))</f>
        <v/>
      </c>
      <c r="CC129" t="str" cm="1">
        <f t="array" ref="CC129">IF(NOT(AND($BN$23&lt;&gt;"",($BM$23+2)&lt;=$BO$23)),"",IF(N129&lt;&gt;"",IF(N129="-","",N129),IF(ISNUMBER(SEARCH(":",$BP$23)),IFERROR(_xlfn.LET(_xlpm.s,_xlfn.TEXTSPLIT($BP$23,","),_xlpm.k,FIND(":",_xlpm.s),INDEX(TRIM(LEFT(_xlpm.s,_xlpm.k-1)),_xlfn.XMATCH(($BM$23+2),_xlfn.SCAN(0,--MID(_xlpm.s,_xlpm.k+1,9),_xlfn.LAMBDA(_xlpm.a,_xlpm.v,_xlpm.a+_xlpm.v)),1))),""),IF(($BM$23+2)&lt;=$BQ$23,$BP$23,""))))</f>
        <v/>
      </c>
      <c r="CD129" t="str" cm="1">
        <f t="array" ref="CD129">IF(NOT(AND($BN$24&lt;&gt;"",($BM$24+2)&lt;=$BO$24)),"",IF(T129&lt;&gt;"",IF(T129="-","",T129),IF(ISNUMBER(SEARCH(":",$BP$24)),IFERROR(_xlfn.LET(_xlpm.s,_xlfn.TEXTSPLIT($BP$24,","),_xlpm.k,FIND(":",_xlpm.s),INDEX(TRIM(LEFT(_xlpm.s,_xlpm.k-1)),_xlfn.XMATCH(($BM$24+2),_xlfn.SCAN(0,--MID(_xlpm.s,_xlpm.k+1,9),_xlfn.LAMBDA(_xlpm.a,_xlpm.v,_xlpm.a+_xlpm.v)),1))),""),IF(($BM$24+2)&lt;=$BQ$24,$BP$24,""))))</f>
        <v/>
      </c>
    </row>
    <row r="130" spans="2:82" hidden="1" x14ac:dyDescent="0.45">
      <c r="B130" s="6"/>
      <c r="C130" s="9" t="str">
        <f>IF(CA130="","",CA130&amp;"-"&amp;TEXT(COUNTIF($CA$72:$CA$95,CA130)+COUNTIF($CB$72:$CB$95,CA130)+COUNTIF($CC$72:$CC$95,CA130)+COUNTIF($CD$72:$CD$95,CA130)+COUNTIF($CA$100:$CA$123,CA130)+COUNTIF($CB$100:$CB$123,CA130)+COUNTIF($CC$100:$CC$123,CA130)+COUNTIF($CD$100:$CD$123,CA130)+COUNTIF($CA$128:CA130,CA130),"000"))</f>
        <v/>
      </c>
      <c r="D130" s="9" t="str">
        <f>IF(AND($BN$21&lt;&gt;"",($BM$21+3)&lt;=$BO$21),$BN$21,"")</f>
        <v/>
      </c>
      <c r="E130" s="9" t="str">
        <f>IF(AND($BN$21&lt;&gt;"",($BM$21+3)&lt;=$BO$21),TEXT(($BM$21+3),"00"),"")</f>
        <v/>
      </c>
      <c r="F130" s="9" t="str">
        <f>IF(AND($BN$21&lt;&gt;"",($BM$21+3)&lt;=$BO$21),$BN$21&amp;"-"&amp;TEXT(($BM$21+3),"00"),"")</f>
        <v/>
      </c>
      <c r="H130" s="6"/>
      <c r="I130" s="9" t="str">
        <f>IF(CB130="","",CB130&amp;"-"&amp;TEXT(COUNTIF($CA$72:$CA$95,CB130)+COUNTIF($CB$72:$CB$95,CB130)+COUNTIF($CC$72:$CC$95,CB130)+COUNTIF($CD$72:$CD$95,CB130)+COUNTIF($CA$100:$CA$123,CB130)+COUNTIF($CB$100:$CB$123,CB130)+COUNTIF($CC$100:$CC$123,CB130)+COUNTIF($CD$100:$CD$123,CB130)+COUNTIF($CA$128:$CA$151,CB130)+COUNTIF($CB$128:CB130,CB130),"000"))</f>
        <v/>
      </c>
      <c r="J130" s="9" t="str">
        <f>IF(AND($BN$22&lt;&gt;"",($BM$22+3)&lt;=$BO$22),$BN$22,"")</f>
        <v/>
      </c>
      <c r="K130" s="9" t="str">
        <f>IF(AND($BN$22&lt;&gt;"",($BM$22+3)&lt;=$BO$22),TEXT(($BM$22+3),"00"),"")</f>
        <v/>
      </c>
      <c r="L130" s="9" t="str">
        <f>IF(AND($BN$22&lt;&gt;"",($BM$22+3)&lt;=$BO$22),$BN$22&amp;"-"&amp;TEXT(($BM$22+3),"00"),"")</f>
        <v/>
      </c>
      <c r="N130" s="6"/>
      <c r="O130" s="9" t="str">
        <f>IF(CC130="","",CC130&amp;"-"&amp;TEXT(COUNTIF($CA$72:$CA$95,CC130)+COUNTIF($CB$72:$CB$95,CC130)+COUNTIF($CC$72:$CC$95,CC130)+COUNTIF($CD$72:$CD$95,CC130)+COUNTIF($CA$100:$CA$123,CC130)+COUNTIF($CB$100:$CB$123,CC130)+COUNTIF($CC$100:$CC$123,CC130)+COUNTIF($CD$100:$CD$123,CC130)+COUNTIF($CA$128:$CA$151,CC130)+COUNTIF($CB$128:$CB$151,CC130)+COUNTIF($CC$128:CC130,CC130),"000"))</f>
        <v/>
      </c>
      <c r="P130" s="9" t="str">
        <f>IF(AND($BN$23&lt;&gt;"",($BM$23+3)&lt;=$BO$23),$BN$23,"")</f>
        <v/>
      </c>
      <c r="Q130" s="9" t="str">
        <f>IF(AND($BN$23&lt;&gt;"",($BM$23+3)&lt;=$BO$23),TEXT(($BM$23+3),"00"),"")</f>
        <v/>
      </c>
      <c r="R130" s="9" t="str">
        <f>IF(AND($BN$23&lt;&gt;"",($BM$23+3)&lt;=$BO$23),$BN$23&amp;"-"&amp;TEXT(($BM$23+3),"00"),"")</f>
        <v/>
      </c>
      <c r="T130" s="6"/>
      <c r="U130" s="9" t="str">
        <f>IF(CD130="","",CD130&amp;"-"&amp;TEXT(COUNTIF($CA$72:$CA$95,CD130)+COUNTIF($CB$72:$CB$95,CD130)+COUNTIF($CC$72:$CC$95,CD130)+COUNTIF($CD$72:$CD$95,CD130)+COUNTIF($CA$100:$CA$123,CD130)+COUNTIF($CB$100:$CB$123,CD130)+COUNTIF($CC$100:$CC$123,CD130)+COUNTIF($CD$100:$CD$123,CD130)+COUNTIF($CA$128:$CA$151,CD130)+COUNTIF($CB$128:$CB$151,CD130)+COUNTIF($CC$128:$CC$151,CD130)+COUNTIF($CD$128:CD130,CD130),"000"))</f>
        <v/>
      </c>
      <c r="V130" s="9" t="str">
        <f>IF(AND($BN$24&lt;&gt;"",($BM$24+3)&lt;=$BO$24),$BN$24,"")</f>
        <v/>
      </c>
      <c r="W130" s="9" t="str">
        <f>IF(AND($BN$24&lt;&gt;"",($BM$24+3)&lt;=$BO$24),TEXT(($BM$24+3),"00"),"")</f>
        <v/>
      </c>
      <c r="X130" s="9" t="str">
        <f>IF(AND($BN$24&lt;&gt;"",($BM$24+3)&lt;=$BO$24),$BN$24&amp;"-"&amp;TEXT(($BM$24+3),"00"),"")</f>
        <v/>
      </c>
      <c r="CA130" t="str" cm="1">
        <f t="array" ref="CA130">IF(NOT(AND($BN$21&lt;&gt;"",($BM$21+3)&lt;=$BO$21)),"",IF(B130&lt;&gt;"",IF(B130="-","",B130),IF(ISNUMBER(SEARCH(":",$BP$21)),IFERROR(_xlfn.LET(_xlpm.s,_xlfn.TEXTSPLIT($BP$21,","),_xlpm.k,FIND(":",_xlpm.s),INDEX(TRIM(LEFT(_xlpm.s,_xlpm.k-1)),_xlfn.XMATCH(($BM$21+3),_xlfn.SCAN(0,--MID(_xlpm.s,_xlpm.k+1,9),_xlfn.LAMBDA(_xlpm.a,_xlpm.v,_xlpm.a+_xlpm.v)),1))),""),IF(($BM$21+3)&lt;=$BQ$21,$BP$21,""))))</f>
        <v/>
      </c>
      <c r="CB130" t="str" cm="1">
        <f t="array" ref="CB130">IF(NOT(AND($BN$22&lt;&gt;"",($BM$22+3)&lt;=$BO$22)),"",IF(H130&lt;&gt;"",IF(H130="-","",H130),IF(ISNUMBER(SEARCH(":",$BP$22)),IFERROR(_xlfn.LET(_xlpm.s,_xlfn.TEXTSPLIT($BP$22,","),_xlpm.k,FIND(":",_xlpm.s),INDEX(TRIM(LEFT(_xlpm.s,_xlpm.k-1)),_xlfn.XMATCH(($BM$22+3),_xlfn.SCAN(0,--MID(_xlpm.s,_xlpm.k+1,9),_xlfn.LAMBDA(_xlpm.a,_xlpm.v,_xlpm.a+_xlpm.v)),1))),""),IF(($BM$22+3)&lt;=$BQ$22,$BP$22,""))))</f>
        <v/>
      </c>
      <c r="CC130" t="str" cm="1">
        <f t="array" ref="CC130">IF(NOT(AND($BN$23&lt;&gt;"",($BM$23+3)&lt;=$BO$23)),"",IF(N130&lt;&gt;"",IF(N130="-","",N130),IF(ISNUMBER(SEARCH(":",$BP$23)),IFERROR(_xlfn.LET(_xlpm.s,_xlfn.TEXTSPLIT($BP$23,","),_xlpm.k,FIND(":",_xlpm.s),INDEX(TRIM(LEFT(_xlpm.s,_xlpm.k-1)),_xlfn.XMATCH(($BM$23+3),_xlfn.SCAN(0,--MID(_xlpm.s,_xlpm.k+1,9),_xlfn.LAMBDA(_xlpm.a,_xlpm.v,_xlpm.a+_xlpm.v)),1))),""),IF(($BM$23+3)&lt;=$BQ$23,$BP$23,""))))</f>
        <v/>
      </c>
      <c r="CD130" t="str" cm="1">
        <f t="array" ref="CD130">IF(NOT(AND($BN$24&lt;&gt;"",($BM$24+3)&lt;=$BO$24)),"",IF(T130&lt;&gt;"",IF(T130="-","",T130),IF(ISNUMBER(SEARCH(":",$BP$24)),IFERROR(_xlfn.LET(_xlpm.s,_xlfn.TEXTSPLIT($BP$24,","),_xlpm.k,FIND(":",_xlpm.s),INDEX(TRIM(LEFT(_xlpm.s,_xlpm.k-1)),_xlfn.XMATCH(($BM$24+3),_xlfn.SCAN(0,--MID(_xlpm.s,_xlpm.k+1,9),_xlfn.LAMBDA(_xlpm.a,_xlpm.v,_xlpm.a+_xlpm.v)),1))),""),IF(($BM$24+3)&lt;=$BQ$24,$BP$24,""))))</f>
        <v/>
      </c>
    </row>
    <row r="131" spans="2:82" hidden="1" x14ac:dyDescent="0.45">
      <c r="B131" s="6"/>
      <c r="C131" s="9" t="str">
        <f>IF(CA131="","",CA131&amp;"-"&amp;TEXT(COUNTIF($CA$72:$CA$95,CA131)+COUNTIF($CB$72:$CB$95,CA131)+COUNTIF($CC$72:$CC$95,CA131)+COUNTIF($CD$72:$CD$95,CA131)+COUNTIF($CA$100:$CA$123,CA131)+COUNTIF($CB$100:$CB$123,CA131)+COUNTIF($CC$100:$CC$123,CA131)+COUNTIF($CD$100:$CD$123,CA131)+COUNTIF($CA$128:CA131,CA131),"000"))</f>
        <v/>
      </c>
      <c r="D131" s="9" t="str">
        <f>IF(AND($BN$21&lt;&gt;"",($BM$21+4)&lt;=$BO$21),$BN$21,"")</f>
        <v/>
      </c>
      <c r="E131" s="9" t="str">
        <f>IF(AND($BN$21&lt;&gt;"",($BM$21+4)&lt;=$BO$21),TEXT(($BM$21+4),"00"),"")</f>
        <v/>
      </c>
      <c r="F131" s="9" t="str">
        <f>IF(AND($BN$21&lt;&gt;"",($BM$21+4)&lt;=$BO$21),$BN$21&amp;"-"&amp;TEXT(($BM$21+4),"00"),"")</f>
        <v/>
      </c>
      <c r="H131" s="6"/>
      <c r="I131" s="9" t="str">
        <f>IF(CB131="","",CB131&amp;"-"&amp;TEXT(COUNTIF($CA$72:$CA$95,CB131)+COUNTIF($CB$72:$CB$95,CB131)+COUNTIF($CC$72:$CC$95,CB131)+COUNTIF($CD$72:$CD$95,CB131)+COUNTIF($CA$100:$CA$123,CB131)+COUNTIF($CB$100:$CB$123,CB131)+COUNTIF($CC$100:$CC$123,CB131)+COUNTIF($CD$100:$CD$123,CB131)+COUNTIF($CA$128:$CA$151,CB131)+COUNTIF($CB$128:CB131,CB131),"000"))</f>
        <v/>
      </c>
      <c r="J131" s="9" t="str">
        <f>IF(AND($BN$22&lt;&gt;"",($BM$22+4)&lt;=$BO$22),$BN$22,"")</f>
        <v/>
      </c>
      <c r="K131" s="9" t="str">
        <f>IF(AND($BN$22&lt;&gt;"",($BM$22+4)&lt;=$BO$22),TEXT(($BM$22+4),"00"),"")</f>
        <v/>
      </c>
      <c r="L131" s="9" t="str">
        <f>IF(AND($BN$22&lt;&gt;"",($BM$22+4)&lt;=$BO$22),$BN$22&amp;"-"&amp;TEXT(($BM$22+4),"00"),"")</f>
        <v/>
      </c>
      <c r="N131" s="6"/>
      <c r="O131" s="9" t="str">
        <f>IF(CC131="","",CC131&amp;"-"&amp;TEXT(COUNTIF($CA$72:$CA$95,CC131)+COUNTIF($CB$72:$CB$95,CC131)+COUNTIF($CC$72:$CC$95,CC131)+COUNTIF($CD$72:$CD$95,CC131)+COUNTIF($CA$100:$CA$123,CC131)+COUNTIF($CB$100:$CB$123,CC131)+COUNTIF($CC$100:$CC$123,CC131)+COUNTIF($CD$100:$CD$123,CC131)+COUNTIF($CA$128:$CA$151,CC131)+COUNTIF($CB$128:$CB$151,CC131)+COUNTIF($CC$128:CC131,CC131),"000"))</f>
        <v/>
      </c>
      <c r="P131" s="9" t="str">
        <f>IF(AND($BN$23&lt;&gt;"",($BM$23+4)&lt;=$BO$23),$BN$23,"")</f>
        <v/>
      </c>
      <c r="Q131" s="9" t="str">
        <f>IF(AND($BN$23&lt;&gt;"",($BM$23+4)&lt;=$BO$23),TEXT(($BM$23+4),"00"),"")</f>
        <v/>
      </c>
      <c r="R131" s="9" t="str">
        <f>IF(AND($BN$23&lt;&gt;"",($BM$23+4)&lt;=$BO$23),$BN$23&amp;"-"&amp;TEXT(($BM$23+4),"00"),"")</f>
        <v/>
      </c>
      <c r="T131" s="6"/>
      <c r="U131" s="9" t="str">
        <f>IF(CD131="","",CD131&amp;"-"&amp;TEXT(COUNTIF($CA$72:$CA$95,CD131)+COUNTIF($CB$72:$CB$95,CD131)+COUNTIF($CC$72:$CC$95,CD131)+COUNTIF($CD$72:$CD$95,CD131)+COUNTIF($CA$100:$CA$123,CD131)+COUNTIF($CB$100:$CB$123,CD131)+COUNTIF($CC$100:$CC$123,CD131)+COUNTIF($CD$100:$CD$123,CD131)+COUNTIF($CA$128:$CA$151,CD131)+COUNTIF($CB$128:$CB$151,CD131)+COUNTIF($CC$128:$CC$151,CD131)+COUNTIF($CD$128:CD131,CD131),"000"))</f>
        <v/>
      </c>
      <c r="V131" s="9" t="str">
        <f>IF(AND($BN$24&lt;&gt;"",($BM$24+4)&lt;=$BO$24),$BN$24,"")</f>
        <v/>
      </c>
      <c r="W131" s="9" t="str">
        <f>IF(AND($BN$24&lt;&gt;"",($BM$24+4)&lt;=$BO$24),TEXT(($BM$24+4),"00"),"")</f>
        <v/>
      </c>
      <c r="X131" s="9" t="str">
        <f>IF(AND($BN$24&lt;&gt;"",($BM$24+4)&lt;=$BO$24),$BN$24&amp;"-"&amp;TEXT(($BM$24+4),"00"),"")</f>
        <v/>
      </c>
      <c r="CA131" t="str" cm="1">
        <f t="array" ref="CA131">IF(NOT(AND($BN$21&lt;&gt;"",($BM$21+4)&lt;=$BO$21)),"",IF(B131&lt;&gt;"",IF(B131="-","",B131),IF(ISNUMBER(SEARCH(":",$BP$21)),IFERROR(_xlfn.LET(_xlpm.s,_xlfn.TEXTSPLIT($BP$21,","),_xlpm.k,FIND(":",_xlpm.s),INDEX(TRIM(LEFT(_xlpm.s,_xlpm.k-1)),_xlfn.XMATCH(($BM$21+4),_xlfn.SCAN(0,--MID(_xlpm.s,_xlpm.k+1,9),_xlfn.LAMBDA(_xlpm.a,_xlpm.v,_xlpm.a+_xlpm.v)),1))),""),IF(($BM$21+4)&lt;=$BQ$21,$BP$21,""))))</f>
        <v/>
      </c>
      <c r="CB131" t="str" cm="1">
        <f t="array" ref="CB131">IF(NOT(AND($BN$22&lt;&gt;"",($BM$22+4)&lt;=$BO$22)),"",IF(H131&lt;&gt;"",IF(H131="-","",H131),IF(ISNUMBER(SEARCH(":",$BP$22)),IFERROR(_xlfn.LET(_xlpm.s,_xlfn.TEXTSPLIT($BP$22,","),_xlpm.k,FIND(":",_xlpm.s),INDEX(TRIM(LEFT(_xlpm.s,_xlpm.k-1)),_xlfn.XMATCH(($BM$22+4),_xlfn.SCAN(0,--MID(_xlpm.s,_xlpm.k+1,9),_xlfn.LAMBDA(_xlpm.a,_xlpm.v,_xlpm.a+_xlpm.v)),1))),""),IF(($BM$22+4)&lt;=$BQ$22,$BP$22,""))))</f>
        <v/>
      </c>
      <c r="CC131" t="str" cm="1">
        <f t="array" ref="CC131">IF(NOT(AND($BN$23&lt;&gt;"",($BM$23+4)&lt;=$BO$23)),"",IF(N131&lt;&gt;"",IF(N131="-","",N131),IF(ISNUMBER(SEARCH(":",$BP$23)),IFERROR(_xlfn.LET(_xlpm.s,_xlfn.TEXTSPLIT($BP$23,","),_xlpm.k,FIND(":",_xlpm.s),INDEX(TRIM(LEFT(_xlpm.s,_xlpm.k-1)),_xlfn.XMATCH(($BM$23+4),_xlfn.SCAN(0,--MID(_xlpm.s,_xlpm.k+1,9),_xlfn.LAMBDA(_xlpm.a,_xlpm.v,_xlpm.a+_xlpm.v)),1))),""),IF(($BM$23+4)&lt;=$BQ$23,$BP$23,""))))</f>
        <v/>
      </c>
      <c r="CD131" t="str" cm="1">
        <f t="array" ref="CD131">IF(NOT(AND($BN$24&lt;&gt;"",($BM$24+4)&lt;=$BO$24)),"",IF(T131&lt;&gt;"",IF(T131="-","",T131),IF(ISNUMBER(SEARCH(":",$BP$24)),IFERROR(_xlfn.LET(_xlpm.s,_xlfn.TEXTSPLIT($BP$24,","),_xlpm.k,FIND(":",_xlpm.s),INDEX(TRIM(LEFT(_xlpm.s,_xlpm.k-1)),_xlfn.XMATCH(($BM$24+4),_xlfn.SCAN(0,--MID(_xlpm.s,_xlpm.k+1,9),_xlfn.LAMBDA(_xlpm.a,_xlpm.v,_xlpm.a+_xlpm.v)),1))),""),IF(($BM$24+4)&lt;=$BQ$24,$BP$24,""))))</f>
        <v/>
      </c>
    </row>
    <row r="132" spans="2:82" hidden="1" x14ac:dyDescent="0.45">
      <c r="B132" s="6"/>
      <c r="C132" s="9" t="str">
        <f>IF(CA132="","",CA132&amp;"-"&amp;TEXT(COUNTIF($CA$72:$CA$95,CA132)+COUNTIF($CB$72:$CB$95,CA132)+COUNTIF($CC$72:$CC$95,CA132)+COUNTIF($CD$72:$CD$95,CA132)+COUNTIF($CA$100:$CA$123,CA132)+COUNTIF($CB$100:$CB$123,CA132)+COUNTIF($CC$100:$CC$123,CA132)+COUNTIF($CD$100:$CD$123,CA132)+COUNTIF($CA$128:CA132,CA132),"000"))</f>
        <v/>
      </c>
      <c r="D132" s="9" t="str">
        <f>IF(AND($BN$21&lt;&gt;"",($BM$21+5)&lt;=$BO$21),$BN$21,"")</f>
        <v/>
      </c>
      <c r="E132" s="9" t="str">
        <f>IF(AND($BN$21&lt;&gt;"",($BM$21+5)&lt;=$BO$21),TEXT(($BM$21+5),"00"),"")</f>
        <v/>
      </c>
      <c r="F132" s="9" t="str">
        <f>IF(AND($BN$21&lt;&gt;"",($BM$21+5)&lt;=$BO$21),$BN$21&amp;"-"&amp;TEXT(($BM$21+5),"00"),"")</f>
        <v/>
      </c>
      <c r="H132" s="6"/>
      <c r="I132" s="9" t="str">
        <f>IF(CB132="","",CB132&amp;"-"&amp;TEXT(COUNTIF($CA$72:$CA$95,CB132)+COUNTIF($CB$72:$CB$95,CB132)+COUNTIF($CC$72:$CC$95,CB132)+COUNTIF($CD$72:$CD$95,CB132)+COUNTIF($CA$100:$CA$123,CB132)+COUNTIF($CB$100:$CB$123,CB132)+COUNTIF($CC$100:$CC$123,CB132)+COUNTIF($CD$100:$CD$123,CB132)+COUNTIF($CA$128:$CA$151,CB132)+COUNTIF($CB$128:CB132,CB132),"000"))</f>
        <v/>
      </c>
      <c r="J132" s="9" t="str">
        <f>IF(AND($BN$22&lt;&gt;"",($BM$22+5)&lt;=$BO$22),$BN$22,"")</f>
        <v/>
      </c>
      <c r="K132" s="9" t="str">
        <f>IF(AND($BN$22&lt;&gt;"",($BM$22+5)&lt;=$BO$22),TEXT(($BM$22+5),"00"),"")</f>
        <v/>
      </c>
      <c r="L132" s="9" t="str">
        <f>IF(AND($BN$22&lt;&gt;"",($BM$22+5)&lt;=$BO$22),$BN$22&amp;"-"&amp;TEXT(($BM$22+5),"00"),"")</f>
        <v/>
      </c>
      <c r="N132" s="6"/>
      <c r="O132" s="9" t="str">
        <f>IF(CC132="","",CC132&amp;"-"&amp;TEXT(COUNTIF($CA$72:$CA$95,CC132)+COUNTIF($CB$72:$CB$95,CC132)+COUNTIF($CC$72:$CC$95,CC132)+COUNTIF($CD$72:$CD$95,CC132)+COUNTIF($CA$100:$CA$123,CC132)+COUNTIF($CB$100:$CB$123,CC132)+COUNTIF($CC$100:$CC$123,CC132)+COUNTIF($CD$100:$CD$123,CC132)+COUNTIF($CA$128:$CA$151,CC132)+COUNTIF($CB$128:$CB$151,CC132)+COUNTIF($CC$128:CC132,CC132),"000"))</f>
        <v/>
      </c>
      <c r="P132" s="9" t="str">
        <f>IF(AND($BN$23&lt;&gt;"",($BM$23+5)&lt;=$BO$23),$BN$23,"")</f>
        <v/>
      </c>
      <c r="Q132" s="9" t="str">
        <f>IF(AND($BN$23&lt;&gt;"",($BM$23+5)&lt;=$BO$23),TEXT(($BM$23+5),"00"),"")</f>
        <v/>
      </c>
      <c r="R132" s="9" t="str">
        <f>IF(AND($BN$23&lt;&gt;"",($BM$23+5)&lt;=$BO$23),$BN$23&amp;"-"&amp;TEXT(($BM$23+5),"00"),"")</f>
        <v/>
      </c>
      <c r="T132" s="6"/>
      <c r="U132" s="9" t="str">
        <f>IF(CD132="","",CD132&amp;"-"&amp;TEXT(COUNTIF($CA$72:$CA$95,CD132)+COUNTIF($CB$72:$CB$95,CD132)+COUNTIF($CC$72:$CC$95,CD132)+COUNTIF($CD$72:$CD$95,CD132)+COUNTIF($CA$100:$CA$123,CD132)+COUNTIF($CB$100:$CB$123,CD132)+COUNTIF($CC$100:$CC$123,CD132)+COUNTIF($CD$100:$CD$123,CD132)+COUNTIF($CA$128:$CA$151,CD132)+COUNTIF($CB$128:$CB$151,CD132)+COUNTIF($CC$128:$CC$151,CD132)+COUNTIF($CD$128:CD132,CD132),"000"))</f>
        <v/>
      </c>
      <c r="V132" s="9" t="str">
        <f>IF(AND($BN$24&lt;&gt;"",($BM$24+5)&lt;=$BO$24),$BN$24,"")</f>
        <v/>
      </c>
      <c r="W132" s="9" t="str">
        <f>IF(AND($BN$24&lt;&gt;"",($BM$24+5)&lt;=$BO$24),TEXT(($BM$24+5),"00"),"")</f>
        <v/>
      </c>
      <c r="X132" s="9" t="str">
        <f>IF(AND($BN$24&lt;&gt;"",($BM$24+5)&lt;=$BO$24),$BN$24&amp;"-"&amp;TEXT(($BM$24+5),"00"),"")</f>
        <v/>
      </c>
      <c r="CA132" t="str" cm="1">
        <f t="array" ref="CA132">IF(NOT(AND($BN$21&lt;&gt;"",($BM$21+5)&lt;=$BO$21)),"",IF(B132&lt;&gt;"",IF(B132="-","",B132),IF(ISNUMBER(SEARCH(":",$BP$21)),IFERROR(_xlfn.LET(_xlpm.s,_xlfn.TEXTSPLIT($BP$21,","),_xlpm.k,FIND(":",_xlpm.s),INDEX(TRIM(LEFT(_xlpm.s,_xlpm.k-1)),_xlfn.XMATCH(($BM$21+5),_xlfn.SCAN(0,--MID(_xlpm.s,_xlpm.k+1,9),_xlfn.LAMBDA(_xlpm.a,_xlpm.v,_xlpm.a+_xlpm.v)),1))),""),IF(($BM$21+5)&lt;=$BQ$21,$BP$21,""))))</f>
        <v/>
      </c>
      <c r="CB132" t="str" cm="1">
        <f t="array" ref="CB132">IF(NOT(AND($BN$22&lt;&gt;"",($BM$22+5)&lt;=$BO$22)),"",IF(H132&lt;&gt;"",IF(H132="-","",H132),IF(ISNUMBER(SEARCH(":",$BP$22)),IFERROR(_xlfn.LET(_xlpm.s,_xlfn.TEXTSPLIT($BP$22,","),_xlpm.k,FIND(":",_xlpm.s),INDEX(TRIM(LEFT(_xlpm.s,_xlpm.k-1)),_xlfn.XMATCH(($BM$22+5),_xlfn.SCAN(0,--MID(_xlpm.s,_xlpm.k+1,9),_xlfn.LAMBDA(_xlpm.a,_xlpm.v,_xlpm.a+_xlpm.v)),1))),""),IF(($BM$22+5)&lt;=$BQ$22,$BP$22,""))))</f>
        <v/>
      </c>
      <c r="CC132" t="str" cm="1">
        <f t="array" ref="CC132">IF(NOT(AND($BN$23&lt;&gt;"",($BM$23+5)&lt;=$BO$23)),"",IF(N132&lt;&gt;"",IF(N132="-","",N132),IF(ISNUMBER(SEARCH(":",$BP$23)),IFERROR(_xlfn.LET(_xlpm.s,_xlfn.TEXTSPLIT($BP$23,","),_xlpm.k,FIND(":",_xlpm.s),INDEX(TRIM(LEFT(_xlpm.s,_xlpm.k-1)),_xlfn.XMATCH(($BM$23+5),_xlfn.SCAN(0,--MID(_xlpm.s,_xlpm.k+1,9),_xlfn.LAMBDA(_xlpm.a,_xlpm.v,_xlpm.a+_xlpm.v)),1))),""),IF(($BM$23+5)&lt;=$BQ$23,$BP$23,""))))</f>
        <v/>
      </c>
      <c r="CD132" t="str" cm="1">
        <f t="array" ref="CD132">IF(NOT(AND($BN$24&lt;&gt;"",($BM$24+5)&lt;=$BO$24)),"",IF(T132&lt;&gt;"",IF(T132="-","",T132),IF(ISNUMBER(SEARCH(":",$BP$24)),IFERROR(_xlfn.LET(_xlpm.s,_xlfn.TEXTSPLIT($BP$24,","),_xlpm.k,FIND(":",_xlpm.s),INDEX(TRIM(LEFT(_xlpm.s,_xlpm.k-1)),_xlfn.XMATCH(($BM$24+5),_xlfn.SCAN(0,--MID(_xlpm.s,_xlpm.k+1,9),_xlfn.LAMBDA(_xlpm.a,_xlpm.v,_xlpm.a+_xlpm.v)),1))),""),IF(($BM$24+5)&lt;=$BQ$24,$BP$24,""))))</f>
        <v/>
      </c>
    </row>
    <row r="133" spans="2:82" hidden="1" x14ac:dyDescent="0.45">
      <c r="B133" s="6"/>
      <c r="C133" s="9" t="str">
        <f>IF(CA133="","",CA133&amp;"-"&amp;TEXT(COUNTIF($CA$72:$CA$95,CA133)+COUNTIF($CB$72:$CB$95,CA133)+COUNTIF($CC$72:$CC$95,CA133)+COUNTIF($CD$72:$CD$95,CA133)+COUNTIF($CA$100:$CA$123,CA133)+COUNTIF($CB$100:$CB$123,CA133)+COUNTIF($CC$100:$CC$123,CA133)+COUNTIF($CD$100:$CD$123,CA133)+COUNTIF($CA$128:CA133,CA133),"000"))</f>
        <v/>
      </c>
      <c r="D133" s="9" t="str">
        <f>IF(AND($BN$21&lt;&gt;"",($BM$21+6)&lt;=$BO$21),$BN$21,"")</f>
        <v/>
      </c>
      <c r="E133" s="9" t="str">
        <f>IF(AND($BN$21&lt;&gt;"",($BM$21+6)&lt;=$BO$21),TEXT(($BM$21+6),"00"),"")</f>
        <v/>
      </c>
      <c r="F133" s="9" t="str">
        <f>IF(AND($BN$21&lt;&gt;"",($BM$21+6)&lt;=$BO$21),$BN$21&amp;"-"&amp;TEXT(($BM$21+6),"00"),"")</f>
        <v/>
      </c>
      <c r="H133" s="6"/>
      <c r="I133" s="9" t="str">
        <f>IF(CB133="","",CB133&amp;"-"&amp;TEXT(COUNTIF($CA$72:$CA$95,CB133)+COUNTIF($CB$72:$CB$95,CB133)+COUNTIF($CC$72:$CC$95,CB133)+COUNTIF($CD$72:$CD$95,CB133)+COUNTIF($CA$100:$CA$123,CB133)+COUNTIF($CB$100:$CB$123,CB133)+COUNTIF($CC$100:$CC$123,CB133)+COUNTIF($CD$100:$CD$123,CB133)+COUNTIF($CA$128:$CA$151,CB133)+COUNTIF($CB$128:CB133,CB133),"000"))</f>
        <v/>
      </c>
      <c r="J133" s="9" t="str">
        <f>IF(AND($BN$22&lt;&gt;"",($BM$22+6)&lt;=$BO$22),$BN$22,"")</f>
        <v/>
      </c>
      <c r="K133" s="9" t="str">
        <f>IF(AND($BN$22&lt;&gt;"",($BM$22+6)&lt;=$BO$22),TEXT(($BM$22+6),"00"),"")</f>
        <v/>
      </c>
      <c r="L133" s="9" t="str">
        <f>IF(AND($BN$22&lt;&gt;"",($BM$22+6)&lt;=$BO$22),$BN$22&amp;"-"&amp;TEXT(($BM$22+6),"00"),"")</f>
        <v/>
      </c>
      <c r="N133" s="6"/>
      <c r="O133" s="9" t="str">
        <f>IF(CC133="","",CC133&amp;"-"&amp;TEXT(COUNTIF($CA$72:$CA$95,CC133)+COUNTIF($CB$72:$CB$95,CC133)+COUNTIF($CC$72:$CC$95,CC133)+COUNTIF($CD$72:$CD$95,CC133)+COUNTIF($CA$100:$CA$123,CC133)+COUNTIF($CB$100:$CB$123,CC133)+COUNTIF($CC$100:$CC$123,CC133)+COUNTIF($CD$100:$CD$123,CC133)+COUNTIF($CA$128:$CA$151,CC133)+COUNTIF($CB$128:$CB$151,CC133)+COUNTIF($CC$128:CC133,CC133),"000"))</f>
        <v/>
      </c>
      <c r="P133" s="9" t="str">
        <f>IF(AND($BN$23&lt;&gt;"",($BM$23+6)&lt;=$BO$23),$BN$23,"")</f>
        <v/>
      </c>
      <c r="Q133" s="9" t="str">
        <f>IF(AND($BN$23&lt;&gt;"",($BM$23+6)&lt;=$BO$23),TEXT(($BM$23+6),"00"),"")</f>
        <v/>
      </c>
      <c r="R133" s="9" t="str">
        <f>IF(AND($BN$23&lt;&gt;"",($BM$23+6)&lt;=$BO$23),$BN$23&amp;"-"&amp;TEXT(($BM$23+6),"00"),"")</f>
        <v/>
      </c>
      <c r="T133" s="6"/>
      <c r="U133" s="9" t="str">
        <f>IF(CD133="","",CD133&amp;"-"&amp;TEXT(COUNTIF($CA$72:$CA$95,CD133)+COUNTIF($CB$72:$CB$95,CD133)+COUNTIF($CC$72:$CC$95,CD133)+COUNTIF($CD$72:$CD$95,CD133)+COUNTIF($CA$100:$CA$123,CD133)+COUNTIF($CB$100:$CB$123,CD133)+COUNTIF($CC$100:$CC$123,CD133)+COUNTIF($CD$100:$CD$123,CD133)+COUNTIF($CA$128:$CA$151,CD133)+COUNTIF($CB$128:$CB$151,CD133)+COUNTIF($CC$128:$CC$151,CD133)+COUNTIF($CD$128:CD133,CD133),"000"))</f>
        <v/>
      </c>
      <c r="V133" s="9" t="str">
        <f>IF(AND($BN$24&lt;&gt;"",($BM$24+6)&lt;=$BO$24),$BN$24,"")</f>
        <v/>
      </c>
      <c r="W133" s="9" t="str">
        <f>IF(AND($BN$24&lt;&gt;"",($BM$24+6)&lt;=$BO$24),TEXT(($BM$24+6),"00"),"")</f>
        <v/>
      </c>
      <c r="X133" s="9" t="str">
        <f>IF(AND($BN$24&lt;&gt;"",($BM$24+6)&lt;=$BO$24),$BN$24&amp;"-"&amp;TEXT(($BM$24+6),"00"),"")</f>
        <v/>
      </c>
      <c r="CA133" t="str" cm="1">
        <f t="array" ref="CA133">IF(NOT(AND($BN$21&lt;&gt;"",($BM$21+6)&lt;=$BO$21)),"",IF(B133&lt;&gt;"",IF(B133="-","",B133),IF(ISNUMBER(SEARCH(":",$BP$21)),IFERROR(_xlfn.LET(_xlpm.s,_xlfn.TEXTSPLIT($BP$21,","),_xlpm.k,FIND(":",_xlpm.s),INDEX(TRIM(LEFT(_xlpm.s,_xlpm.k-1)),_xlfn.XMATCH(($BM$21+6),_xlfn.SCAN(0,--MID(_xlpm.s,_xlpm.k+1,9),_xlfn.LAMBDA(_xlpm.a,_xlpm.v,_xlpm.a+_xlpm.v)),1))),""),IF(($BM$21+6)&lt;=$BQ$21,$BP$21,""))))</f>
        <v/>
      </c>
      <c r="CB133" t="str" cm="1">
        <f t="array" ref="CB133">IF(NOT(AND($BN$22&lt;&gt;"",($BM$22+6)&lt;=$BO$22)),"",IF(H133&lt;&gt;"",IF(H133="-","",H133),IF(ISNUMBER(SEARCH(":",$BP$22)),IFERROR(_xlfn.LET(_xlpm.s,_xlfn.TEXTSPLIT($BP$22,","),_xlpm.k,FIND(":",_xlpm.s),INDEX(TRIM(LEFT(_xlpm.s,_xlpm.k-1)),_xlfn.XMATCH(($BM$22+6),_xlfn.SCAN(0,--MID(_xlpm.s,_xlpm.k+1,9),_xlfn.LAMBDA(_xlpm.a,_xlpm.v,_xlpm.a+_xlpm.v)),1))),""),IF(($BM$22+6)&lt;=$BQ$22,$BP$22,""))))</f>
        <v/>
      </c>
      <c r="CC133" t="str" cm="1">
        <f t="array" ref="CC133">IF(NOT(AND($BN$23&lt;&gt;"",($BM$23+6)&lt;=$BO$23)),"",IF(N133&lt;&gt;"",IF(N133="-","",N133),IF(ISNUMBER(SEARCH(":",$BP$23)),IFERROR(_xlfn.LET(_xlpm.s,_xlfn.TEXTSPLIT($BP$23,","),_xlpm.k,FIND(":",_xlpm.s),INDEX(TRIM(LEFT(_xlpm.s,_xlpm.k-1)),_xlfn.XMATCH(($BM$23+6),_xlfn.SCAN(0,--MID(_xlpm.s,_xlpm.k+1,9),_xlfn.LAMBDA(_xlpm.a,_xlpm.v,_xlpm.a+_xlpm.v)),1))),""),IF(($BM$23+6)&lt;=$BQ$23,$BP$23,""))))</f>
        <v/>
      </c>
      <c r="CD133" t="str" cm="1">
        <f t="array" ref="CD133">IF(NOT(AND($BN$24&lt;&gt;"",($BM$24+6)&lt;=$BO$24)),"",IF(T133&lt;&gt;"",IF(T133="-","",T133),IF(ISNUMBER(SEARCH(":",$BP$24)),IFERROR(_xlfn.LET(_xlpm.s,_xlfn.TEXTSPLIT($BP$24,","),_xlpm.k,FIND(":",_xlpm.s),INDEX(TRIM(LEFT(_xlpm.s,_xlpm.k-1)),_xlfn.XMATCH(($BM$24+6),_xlfn.SCAN(0,--MID(_xlpm.s,_xlpm.k+1,9),_xlfn.LAMBDA(_xlpm.a,_xlpm.v,_xlpm.a+_xlpm.v)),1))),""),IF(($BM$24+6)&lt;=$BQ$24,$BP$24,""))))</f>
        <v/>
      </c>
    </row>
    <row r="134" spans="2:82" hidden="1" x14ac:dyDescent="0.45">
      <c r="B134" s="6"/>
      <c r="C134" s="9" t="str">
        <f>IF(CA134="","",CA134&amp;"-"&amp;TEXT(COUNTIF($CA$72:$CA$95,CA134)+COUNTIF($CB$72:$CB$95,CA134)+COUNTIF($CC$72:$CC$95,CA134)+COUNTIF($CD$72:$CD$95,CA134)+COUNTIF($CA$100:$CA$123,CA134)+COUNTIF($CB$100:$CB$123,CA134)+COUNTIF($CC$100:$CC$123,CA134)+COUNTIF($CD$100:$CD$123,CA134)+COUNTIF($CA$128:CA134,CA134),"000"))</f>
        <v/>
      </c>
      <c r="D134" s="9" t="str">
        <f>IF(AND($BN$21&lt;&gt;"",($BM$21+7)&lt;=$BO$21),$BN$21,"")</f>
        <v/>
      </c>
      <c r="E134" s="9" t="str">
        <f>IF(AND($BN$21&lt;&gt;"",($BM$21+7)&lt;=$BO$21),TEXT(($BM$21+7),"00"),"")</f>
        <v/>
      </c>
      <c r="F134" s="9" t="str">
        <f>IF(AND($BN$21&lt;&gt;"",($BM$21+7)&lt;=$BO$21),$BN$21&amp;"-"&amp;TEXT(($BM$21+7),"00"),"")</f>
        <v/>
      </c>
      <c r="H134" s="6"/>
      <c r="I134" s="9" t="str">
        <f>IF(CB134="","",CB134&amp;"-"&amp;TEXT(COUNTIF($CA$72:$CA$95,CB134)+COUNTIF($CB$72:$CB$95,CB134)+COUNTIF($CC$72:$CC$95,CB134)+COUNTIF($CD$72:$CD$95,CB134)+COUNTIF($CA$100:$CA$123,CB134)+COUNTIF($CB$100:$CB$123,CB134)+COUNTIF($CC$100:$CC$123,CB134)+COUNTIF($CD$100:$CD$123,CB134)+COUNTIF($CA$128:$CA$151,CB134)+COUNTIF($CB$128:CB134,CB134),"000"))</f>
        <v/>
      </c>
      <c r="J134" s="9" t="str">
        <f>IF(AND($BN$22&lt;&gt;"",($BM$22+7)&lt;=$BO$22),$BN$22,"")</f>
        <v/>
      </c>
      <c r="K134" s="9" t="str">
        <f>IF(AND($BN$22&lt;&gt;"",($BM$22+7)&lt;=$BO$22),TEXT(($BM$22+7),"00"),"")</f>
        <v/>
      </c>
      <c r="L134" s="9" t="str">
        <f>IF(AND($BN$22&lt;&gt;"",($BM$22+7)&lt;=$BO$22),$BN$22&amp;"-"&amp;TEXT(($BM$22+7),"00"),"")</f>
        <v/>
      </c>
      <c r="N134" s="6"/>
      <c r="O134" s="9" t="str">
        <f>IF(CC134="","",CC134&amp;"-"&amp;TEXT(COUNTIF($CA$72:$CA$95,CC134)+COUNTIF($CB$72:$CB$95,CC134)+COUNTIF($CC$72:$CC$95,CC134)+COUNTIF($CD$72:$CD$95,CC134)+COUNTIF($CA$100:$CA$123,CC134)+COUNTIF($CB$100:$CB$123,CC134)+COUNTIF($CC$100:$CC$123,CC134)+COUNTIF($CD$100:$CD$123,CC134)+COUNTIF($CA$128:$CA$151,CC134)+COUNTIF($CB$128:$CB$151,CC134)+COUNTIF($CC$128:CC134,CC134),"000"))</f>
        <v/>
      </c>
      <c r="P134" s="9" t="str">
        <f>IF(AND($BN$23&lt;&gt;"",($BM$23+7)&lt;=$BO$23),$BN$23,"")</f>
        <v/>
      </c>
      <c r="Q134" s="9" t="str">
        <f>IF(AND($BN$23&lt;&gt;"",($BM$23+7)&lt;=$BO$23),TEXT(($BM$23+7),"00"),"")</f>
        <v/>
      </c>
      <c r="R134" s="9" t="str">
        <f>IF(AND($BN$23&lt;&gt;"",($BM$23+7)&lt;=$BO$23),$BN$23&amp;"-"&amp;TEXT(($BM$23+7),"00"),"")</f>
        <v/>
      </c>
      <c r="T134" s="6"/>
      <c r="U134" s="9" t="str">
        <f>IF(CD134="","",CD134&amp;"-"&amp;TEXT(COUNTIF($CA$72:$CA$95,CD134)+COUNTIF($CB$72:$CB$95,CD134)+COUNTIF($CC$72:$CC$95,CD134)+COUNTIF($CD$72:$CD$95,CD134)+COUNTIF($CA$100:$CA$123,CD134)+COUNTIF($CB$100:$CB$123,CD134)+COUNTIF($CC$100:$CC$123,CD134)+COUNTIF($CD$100:$CD$123,CD134)+COUNTIF($CA$128:$CA$151,CD134)+COUNTIF($CB$128:$CB$151,CD134)+COUNTIF($CC$128:$CC$151,CD134)+COUNTIF($CD$128:CD134,CD134),"000"))</f>
        <v/>
      </c>
      <c r="V134" s="9" t="str">
        <f>IF(AND($BN$24&lt;&gt;"",($BM$24+7)&lt;=$BO$24),$BN$24,"")</f>
        <v/>
      </c>
      <c r="W134" s="9" t="str">
        <f>IF(AND($BN$24&lt;&gt;"",($BM$24+7)&lt;=$BO$24),TEXT(($BM$24+7),"00"),"")</f>
        <v/>
      </c>
      <c r="X134" s="9" t="str">
        <f>IF(AND($BN$24&lt;&gt;"",($BM$24+7)&lt;=$BO$24),$BN$24&amp;"-"&amp;TEXT(($BM$24+7),"00"),"")</f>
        <v/>
      </c>
      <c r="CA134" t="str" cm="1">
        <f t="array" ref="CA134">IF(NOT(AND($BN$21&lt;&gt;"",($BM$21+7)&lt;=$BO$21)),"",IF(B134&lt;&gt;"",IF(B134="-","",B134),IF(ISNUMBER(SEARCH(":",$BP$21)),IFERROR(_xlfn.LET(_xlpm.s,_xlfn.TEXTSPLIT($BP$21,","),_xlpm.k,FIND(":",_xlpm.s),INDEX(TRIM(LEFT(_xlpm.s,_xlpm.k-1)),_xlfn.XMATCH(($BM$21+7),_xlfn.SCAN(0,--MID(_xlpm.s,_xlpm.k+1,9),_xlfn.LAMBDA(_xlpm.a,_xlpm.v,_xlpm.a+_xlpm.v)),1))),""),IF(($BM$21+7)&lt;=$BQ$21,$BP$21,""))))</f>
        <v/>
      </c>
      <c r="CB134" t="str" cm="1">
        <f t="array" ref="CB134">IF(NOT(AND($BN$22&lt;&gt;"",($BM$22+7)&lt;=$BO$22)),"",IF(H134&lt;&gt;"",IF(H134="-","",H134),IF(ISNUMBER(SEARCH(":",$BP$22)),IFERROR(_xlfn.LET(_xlpm.s,_xlfn.TEXTSPLIT($BP$22,","),_xlpm.k,FIND(":",_xlpm.s),INDEX(TRIM(LEFT(_xlpm.s,_xlpm.k-1)),_xlfn.XMATCH(($BM$22+7),_xlfn.SCAN(0,--MID(_xlpm.s,_xlpm.k+1,9),_xlfn.LAMBDA(_xlpm.a,_xlpm.v,_xlpm.a+_xlpm.v)),1))),""),IF(($BM$22+7)&lt;=$BQ$22,$BP$22,""))))</f>
        <v/>
      </c>
      <c r="CC134" t="str" cm="1">
        <f t="array" ref="CC134">IF(NOT(AND($BN$23&lt;&gt;"",($BM$23+7)&lt;=$BO$23)),"",IF(N134&lt;&gt;"",IF(N134="-","",N134),IF(ISNUMBER(SEARCH(":",$BP$23)),IFERROR(_xlfn.LET(_xlpm.s,_xlfn.TEXTSPLIT($BP$23,","),_xlpm.k,FIND(":",_xlpm.s),INDEX(TRIM(LEFT(_xlpm.s,_xlpm.k-1)),_xlfn.XMATCH(($BM$23+7),_xlfn.SCAN(0,--MID(_xlpm.s,_xlpm.k+1,9),_xlfn.LAMBDA(_xlpm.a,_xlpm.v,_xlpm.a+_xlpm.v)),1))),""),IF(($BM$23+7)&lt;=$BQ$23,$BP$23,""))))</f>
        <v/>
      </c>
      <c r="CD134" t="str" cm="1">
        <f t="array" ref="CD134">IF(NOT(AND($BN$24&lt;&gt;"",($BM$24+7)&lt;=$BO$24)),"",IF(T134&lt;&gt;"",IF(T134="-","",T134),IF(ISNUMBER(SEARCH(":",$BP$24)),IFERROR(_xlfn.LET(_xlpm.s,_xlfn.TEXTSPLIT($BP$24,","),_xlpm.k,FIND(":",_xlpm.s),INDEX(TRIM(LEFT(_xlpm.s,_xlpm.k-1)),_xlfn.XMATCH(($BM$24+7),_xlfn.SCAN(0,--MID(_xlpm.s,_xlpm.k+1,9),_xlfn.LAMBDA(_xlpm.a,_xlpm.v,_xlpm.a+_xlpm.v)),1))),""),IF(($BM$24+7)&lt;=$BQ$24,$BP$24,""))))</f>
        <v/>
      </c>
    </row>
    <row r="135" spans="2:82" hidden="1" x14ac:dyDescent="0.45">
      <c r="B135" s="6"/>
      <c r="C135" s="9" t="str">
        <f>IF(CA135="","",CA135&amp;"-"&amp;TEXT(COUNTIF($CA$72:$CA$95,CA135)+COUNTIF($CB$72:$CB$95,CA135)+COUNTIF($CC$72:$CC$95,CA135)+COUNTIF($CD$72:$CD$95,CA135)+COUNTIF($CA$100:$CA$123,CA135)+COUNTIF($CB$100:$CB$123,CA135)+COUNTIF($CC$100:$CC$123,CA135)+COUNTIF($CD$100:$CD$123,CA135)+COUNTIF($CA$128:CA135,CA135),"000"))</f>
        <v/>
      </c>
      <c r="D135" s="9" t="str">
        <f>IF(AND($BN$21&lt;&gt;"",($BM$21+8)&lt;=$BO$21),$BN$21,"")</f>
        <v/>
      </c>
      <c r="E135" s="9" t="str">
        <f>IF(AND($BN$21&lt;&gt;"",($BM$21+8)&lt;=$BO$21),TEXT(($BM$21+8),"00"),"")</f>
        <v/>
      </c>
      <c r="F135" s="9" t="str">
        <f>IF(AND($BN$21&lt;&gt;"",($BM$21+8)&lt;=$BO$21),$BN$21&amp;"-"&amp;TEXT(($BM$21+8),"00"),"")</f>
        <v/>
      </c>
      <c r="H135" s="6"/>
      <c r="I135" s="9" t="str">
        <f>IF(CB135="","",CB135&amp;"-"&amp;TEXT(COUNTIF($CA$72:$CA$95,CB135)+COUNTIF($CB$72:$CB$95,CB135)+COUNTIF($CC$72:$CC$95,CB135)+COUNTIF($CD$72:$CD$95,CB135)+COUNTIF($CA$100:$CA$123,CB135)+COUNTIF($CB$100:$CB$123,CB135)+COUNTIF($CC$100:$CC$123,CB135)+COUNTIF($CD$100:$CD$123,CB135)+COUNTIF($CA$128:$CA$151,CB135)+COUNTIF($CB$128:CB135,CB135),"000"))</f>
        <v/>
      </c>
      <c r="J135" s="9" t="str">
        <f>IF(AND($BN$22&lt;&gt;"",($BM$22+8)&lt;=$BO$22),$BN$22,"")</f>
        <v/>
      </c>
      <c r="K135" s="9" t="str">
        <f>IF(AND($BN$22&lt;&gt;"",($BM$22+8)&lt;=$BO$22),TEXT(($BM$22+8),"00"),"")</f>
        <v/>
      </c>
      <c r="L135" s="9" t="str">
        <f>IF(AND($BN$22&lt;&gt;"",($BM$22+8)&lt;=$BO$22),$BN$22&amp;"-"&amp;TEXT(($BM$22+8),"00"),"")</f>
        <v/>
      </c>
      <c r="N135" s="6"/>
      <c r="O135" s="9" t="str">
        <f>IF(CC135="","",CC135&amp;"-"&amp;TEXT(COUNTIF($CA$72:$CA$95,CC135)+COUNTIF($CB$72:$CB$95,CC135)+COUNTIF($CC$72:$CC$95,CC135)+COUNTIF($CD$72:$CD$95,CC135)+COUNTIF($CA$100:$CA$123,CC135)+COUNTIF($CB$100:$CB$123,CC135)+COUNTIF($CC$100:$CC$123,CC135)+COUNTIF($CD$100:$CD$123,CC135)+COUNTIF($CA$128:$CA$151,CC135)+COUNTIF($CB$128:$CB$151,CC135)+COUNTIF($CC$128:CC135,CC135),"000"))</f>
        <v/>
      </c>
      <c r="P135" s="9" t="str">
        <f>IF(AND($BN$23&lt;&gt;"",($BM$23+8)&lt;=$BO$23),$BN$23,"")</f>
        <v/>
      </c>
      <c r="Q135" s="9" t="str">
        <f>IF(AND($BN$23&lt;&gt;"",($BM$23+8)&lt;=$BO$23),TEXT(($BM$23+8),"00"),"")</f>
        <v/>
      </c>
      <c r="R135" s="9" t="str">
        <f>IF(AND($BN$23&lt;&gt;"",($BM$23+8)&lt;=$BO$23),$BN$23&amp;"-"&amp;TEXT(($BM$23+8),"00"),"")</f>
        <v/>
      </c>
      <c r="T135" s="6"/>
      <c r="U135" s="9" t="str">
        <f>IF(CD135="","",CD135&amp;"-"&amp;TEXT(COUNTIF($CA$72:$CA$95,CD135)+COUNTIF($CB$72:$CB$95,CD135)+COUNTIF($CC$72:$CC$95,CD135)+COUNTIF($CD$72:$CD$95,CD135)+COUNTIF($CA$100:$CA$123,CD135)+COUNTIF($CB$100:$CB$123,CD135)+COUNTIF($CC$100:$CC$123,CD135)+COUNTIF($CD$100:$CD$123,CD135)+COUNTIF($CA$128:$CA$151,CD135)+COUNTIF($CB$128:$CB$151,CD135)+COUNTIF($CC$128:$CC$151,CD135)+COUNTIF($CD$128:CD135,CD135),"000"))</f>
        <v/>
      </c>
      <c r="V135" s="9" t="str">
        <f>IF(AND($BN$24&lt;&gt;"",($BM$24+8)&lt;=$BO$24),$BN$24,"")</f>
        <v/>
      </c>
      <c r="W135" s="9" t="str">
        <f>IF(AND($BN$24&lt;&gt;"",($BM$24+8)&lt;=$BO$24),TEXT(($BM$24+8),"00"),"")</f>
        <v/>
      </c>
      <c r="X135" s="9" t="str">
        <f>IF(AND($BN$24&lt;&gt;"",($BM$24+8)&lt;=$BO$24),$BN$24&amp;"-"&amp;TEXT(($BM$24+8),"00"),"")</f>
        <v/>
      </c>
      <c r="CA135" t="str" cm="1">
        <f t="array" ref="CA135">IF(NOT(AND($BN$21&lt;&gt;"",($BM$21+8)&lt;=$BO$21)),"",IF(B135&lt;&gt;"",IF(B135="-","",B135),IF(ISNUMBER(SEARCH(":",$BP$21)),IFERROR(_xlfn.LET(_xlpm.s,_xlfn.TEXTSPLIT($BP$21,","),_xlpm.k,FIND(":",_xlpm.s),INDEX(TRIM(LEFT(_xlpm.s,_xlpm.k-1)),_xlfn.XMATCH(($BM$21+8),_xlfn.SCAN(0,--MID(_xlpm.s,_xlpm.k+1,9),_xlfn.LAMBDA(_xlpm.a,_xlpm.v,_xlpm.a+_xlpm.v)),1))),""),IF(($BM$21+8)&lt;=$BQ$21,$BP$21,""))))</f>
        <v/>
      </c>
      <c r="CB135" t="str" cm="1">
        <f t="array" ref="CB135">IF(NOT(AND($BN$22&lt;&gt;"",($BM$22+8)&lt;=$BO$22)),"",IF(H135&lt;&gt;"",IF(H135="-","",H135),IF(ISNUMBER(SEARCH(":",$BP$22)),IFERROR(_xlfn.LET(_xlpm.s,_xlfn.TEXTSPLIT($BP$22,","),_xlpm.k,FIND(":",_xlpm.s),INDEX(TRIM(LEFT(_xlpm.s,_xlpm.k-1)),_xlfn.XMATCH(($BM$22+8),_xlfn.SCAN(0,--MID(_xlpm.s,_xlpm.k+1,9),_xlfn.LAMBDA(_xlpm.a,_xlpm.v,_xlpm.a+_xlpm.v)),1))),""),IF(($BM$22+8)&lt;=$BQ$22,$BP$22,""))))</f>
        <v/>
      </c>
      <c r="CC135" t="str" cm="1">
        <f t="array" ref="CC135">IF(NOT(AND($BN$23&lt;&gt;"",($BM$23+8)&lt;=$BO$23)),"",IF(N135&lt;&gt;"",IF(N135="-","",N135),IF(ISNUMBER(SEARCH(":",$BP$23)),IFERROR(_xlfn.LET(_xlpm.s,_xlfn.TEXTSPLIT($BP$23,","),_xlpm.k,FIND(":",_xlpm.s),INDEX(TRIM(LEFT(_xlpm.s,_xlpm.k-1)),_xlfn.XMATCH(($BM$23+8),_xlfn.SCAN(0,--MID(_xlpm.s,_xlpm.k+1,9),_xlfn.LAMBDA(_xlpm.a,_xlpm.v,_xlpm.a+_xlpm.v)),1))),""),IF(($BM$23+8)&lt;=$BQ$23,$BP$23,""))))</f>
        <v/>
      </c>
      <c r="CD135" t="str" cm="1">
        <f t="array" ref="CD135">IF(NOT(AND($BN$24&lt;&gt;"",($BM$24+8)&lt;=$BO$24)),"",IF(T135&lt;&gt;"",IF(T135="-","",T135),IF(ISNUMBER(SEARCH(":",$BP$24)),IFERROR(_xlfn.LET(_xlpm.s,_xlfn.TEXTSPLIT($BP$24,","),_xlpm.k,FIND(":",_xlpm.s),INDEX(TRIM(LEFT(_xlpm.s,_xlpm.k-1)),_xlfn.XMATCH(($BM$24+8),_xlfn.SCAN(0,--MID(_xlpm.s,_xlpm.k+1,9),_xlfn.LAMBDA(_xlpm.a,_xlpm.v,_xlpm.a+_xlpm.v)),1))),""),IF(($BM$24+8)&lt;=$BQ$24,$BP$24,""))))</f>
        <v/>
      </c>
    </row>
    <row r="136" spans="2:82" hidden="1" x14ac:dyDescent="0.45">
      <c r="B136" s="6"/>
      <c r="C136" s="9" t="str">
        <f>IF(CA136="","",CA136&amp;"-"&amp;TEXT(COUNTIF($CA$72:$CA$95,CA136)+COUNTIF($CB$72:$CB$95,CA136)+COUNTIF($CC$72:$CC$95,CA136)+COUNTIF($CD$72:$CD$95,CA136)+COUNTIF($CA$100:$CA$123,CA136)+COUNTIF($CB$100:$CB$123,CA136)+COUNTIF($CC$100:$CC$123,CA136)+COUNTIF($CD$100:$CD$123,CA136)+COUNTIF($CA$128:CA136,CA136),"000"))</f>
        <v/>
      </c>
      <c r="D136" s="9" t="str">
        <f>IF(AND($BN$21&lt;&gt;"",($BM$21+9)&lt;=$BO$21),$BN$21,"")</f>
        <v/>
      </c>
      <c r="E136" s="9" t="str">
        <f>IF(AND($BN$21&lt;&gt;"",($BM$21+9)&lt;=$BO$21),TEXT(($BM$21+9),"00"),"")</f>
        <v/>
      </c>
      <c r="F136" s="9" t="str">
        <f>IF(AND($BN$21&lt;&gt;"",($BM$21+9)&lt;=$BO$21),$BN$21&amp;"-"&amp;TEXT(($BM$21+9),"00"),"")</f>
        <v/>
      </c>
      <c r="H136" s="6"/>
      <c r="I136" s="9" t="str">
        <f>IF(CB136="","",CB136&amp;"-"&amp;TEXT(COUNTIF($CA$72:$CA$95,CB136)+COUNTIF($CB$72:$CB$95,CB136)+COUNTIF($CC$72:$CC$95,CB136)+COUNTIF($CD$72:$CD$95,CB136)+COUNTIF($CA$100:$CA$123,CB136)+COUNTIF($CB$100:$CB$123,CB136)+COUNTIF($CC$100:$CC$123,CB136)+COUNTIF($CD$100:$CD$123,CB136)+COUNTIF($CA$128:$CA$151,CB136)+COUNTIF($CB$128:CB136,CB136),"000"))</f>
        <v/>
      </c>
      <c r="J136" s="9" t="str">
        <f>IF(AND($BN$22&lt;&gt;"",($BM$22+9)&lt;=$BO$22),$BN$22,"")</f>
        <v/>
      </c>
      <c r="K136" s="9" t="str">
        <f>IF(AND($BN$22&lt;&gt;"",($BM$22+9)&lt;=$BO$22),TEXT(($BM$22+9),"00"),"")</f>
        <v/>
      </c>
      <c r="L136" s="9" t="str">
        <f>IF(AND($BN$22&lt;&gt;"",($BM$22+9)&lt;=$BO$22),$BN$22&amp;"-"&amp;TEXT(($BM$22+9),"00"),"")</f>
        <v/>
      </c>
      <c r="N136" s="6"/>
      <c r="O136" s="9" t="str">
        <f>IF(CC136="","",CC136&amp;"-"&amp;TEXT(COUNTIF($CA$72:$CA$95,CC136)+COUNTIF($CB$72:$CB$95,CC136)+COUNTIF($CC$72:$CC$95,CC136)+COUNTIF($CD$72:$CD$95,CC136)+COUNTIF($CA$100:$CA$123,CC136)+COUNTIF($CB$100:$CB$123,CC136)+COUNTIF($CC$100:$CC$123,CC136)+COUNTIF($CD$100:$CD$123,CC136)+COUNTIF($CA$128:$CA$151,CC136)+COUNTIF($CB$128:$CB$151,CC136)+COUNTIF($CC$128:CC136,CC136),"000"))</f>
        <v/>
      </c>
      <c r="P136" s="9" t="str">
        <f>IF(AND($BN$23&lt;&gt;"",($BM$23+9)&lt;=$BO$23),$BN$23,"")</f>
        <v/>
      </c>
      <c r="Q136" s="9" t="str">
        <f>IF(AND($BN$23&lt;&gt;"",($BM$23+9)&lt;=$BO$23),TEXT(($BM$23+9),"00"),"")</f>
        <v/>
      </c>
      <c r="R136" s="9" t="str">
        <f>IF(AND($BN$23&lt;&gt;"",($BM$23+9)&lt;=$BO$23),$BN$23&amp;"-"&amp;TEXT(($BM$23+9),"00"),"")</f>
        <v/>
      </c>
      <c r="T136" s="6"/>
      <c r="U136" s="9" t="str">
        <f>IF(CD136="","",CD136&amp;"-"&amp;TEXT(COUNTIF($CA$72:$CA$95,CD136)+COUNTIF($CB$72:$CB$95,CD136)+COUNTIF($CC$72:$CC$95,CD136)+COUNTIF($CD$72:$CD$95,CD136)+COUNTIF($CA$100:$CA$123,CD136)+COUNTIF($CB$100:$CB$123,CD136)+COUNTIF($CC$100:$CC$123,CD136)+COUNTIF($CD$100:$CD$123,CD136)+COUNTIF($CA$128:$CA$151,CD136)+COUNTIF($CB$128:$CB$151,CD136)+COUNTIF($CC$128:$CC$151,CD136)+COUNTIF($CD$128:CD136,CD136),"000"))</f>
        <v/>
      </c>
      <c r="V136" s="9" t="str">
        <f>IF(AND($BN$24&lt;&gt;"",($BM$24+9)&lt;=$BO$24),$BN$24,"")</f>
        <v/>
      </c>
      <c r="W136" s="9" t="str">
        <f>IF(AND($BN$24&lt;&gt;"",($BM$24+9)&lt;=$BO$24),TEXT(($BM$24+9),"00"),"")</f>
        <v/>
      </c>
      <c r="X136" s="9" t="str">
        <f>IF(AND($BN$24&lt;&gt;"",($BM$24+9)&lt;=$BO$24),$BN$24&amp;"-"&amp;TEXT(($BM$24+9),"00"),"")</f>
        <v/>
      </c>
      <c r="CA136" t="str" cm="1">
        <f t="array" ref="CA136">IF(NOT(AND($BN$21&lt;&gt;"",($BM$21+9)&lt;=$BO$21)),"",IF(B136&lt;&gt;"",IF(B136="-","",B136),IF(ISNUMBER(SEARCH(":",$BP$21)),IFERROR(_xlfn.LET(_xlpm.s,_xlfn.TEXTSPLIT($BP$21,","),_xlpm.k,FIND(":",_xlpm.s),INDEX(TRIM(LEFT(_xlpm.s,_xlpm.k-1)),_xlfn.XMATCH(($BM$21+9),_xlfn.SCAN(0,--MID(_xlpm.s,_xlpm.k+1,9),_xlfn.LAMBDA(_xlpm.a,_xlpm.v,_xlpm.a+_xlpm.v)),1))),""),IF(($BM$21+9)&lt;=$BQ$21,$BP$21,""))))</f>
        <v/>
      </c>
      <c r="CB136" t="str" cm="1">
        <f t="array" ref="CB136">IF(NOT(AND($BN$22&lt;&gt;"",($BM$22+9)&lt;=$BO$22)),"",IF(H136&lt;&gt;"",IF(H136="-","",H136),IF(ISNUMBER(SEARCH(":",$BP$22)),IFERROR(_xlfn.LET(_xlpm.s,_xlfn.TEXTSPLIT($BP$22,","),_xlpm.k,FIND(":",_xlpm.s),INDEX(TRIM(LEFT(_xlpm.s,_xlpm.k-1)),_xlfn.XMATCH(($BM$22+9),_xlfn.SCAN(0,--MID(_xlpm.s,_xlpm.k+1,9),_xlfn.LAMBDA(_xlpm.a,_xlpm.v,_xlpm.a+_xlpm.v)),1))),""),IF(($BM$22+9)&lt;=$BQ$22,$BP$22,""))))</f>
        <v/>
      </c>
      <c r="CC136" t="str" cm="1">
        <f t="array" ref="CC136">IF(NOT(AND($BN$23&lt;&gt;"",($BM$23+9)&lt;=$BO$23)),"",IF(N136&lt;&gt;"",IF(N136="-","",N136),IF(ISNUMBER(SEARCH(":",$BP$23)),IFERROR(_xlfn.LET(_xlpm.s,_xlfn.TEXTSPLIT($BP$23,","),_xlpm.k,FIND(":",_xlpm.s),INDEX(TRIM(LEFT(_xlpm.s,_xlpm.k-1)),_xlfn.XMATCH(($BM$23+9),_xlfn.SCAN(0,--MID(_xlpm.s,_xlpm.k+1,9),_xlfn.LAMBDA(_xlpm.a,_xlpm.v,_xlpm.a+_xlpm.v)),1))),""),IF(($BM$23+9)&lt;=$BQ$23,$BP$23,""))))</f>
        <v/>
      </c>
      <c r="CD136" t="str" cm="1">
        <f t="array" ref="CD136">IF(NOT(AND($BN$24&lt;&gt;"",($BM$24+9)&lt;=$BO$24)),"",IF(T136&lt;&gt;"",IF(T136="-","",T136),IF(ISNUMBER(SEARCH(":",$BP$24)),IFERROR(_xlfn.LET(_xlpm.s,_xlfn.TEXTSPLIT($BP$24,","),_xlpm.k,FIND(":",_xlpm.s),INDEX(TRIM(LEFT(_xlpm.s,_xlpm.k-1)),_xlfn.XMATCH(($BM$24+9),_xlfn.SCAN(0,--MID(_xlpm.s,_xlpm.k+1,9),_xlfn.LAMBDA(_xlpm.a,_xlpm.v,_xlpm.a+_xlpm.v)),1))),""),IF(($BM$24+9)&lt;=$BQ$24,$BP$24,""))))</f>
        <v/>
      </c>
    </row>
    <row r="137" spans="2:82" hidden="1" x14ac:dyDescent="0.45">
      <c r="B137" s="6"/>
      <c r="C137" s="9" t="str">
        <f>IF(CA137="","",CA137&amp;"-"&amp;TEXT(COUNTIF($CA$72:$CA$95,CA137)+COUNTIF($CB$72:$CB$95,CA137)+COUNTIF($CC$72:$CC$95,CA137)+COUNTIF($CD$72:$CD$95,CA137)+COUNTIF($CA$100:$CA$123,CA137)+COUNTIF($CB$100:$CB$123,CA137)+COUNTIF($CC$100:$CC$123,CA137)+COUNTIF($CD$100:$CD$123,CA137)+COUNTIF($CA$128:CA137,CA137),"000"))</f>
        <v/>
      </c>
      <c r="D137" s="9" t="str">
        <f>IF(AND($BN$21&lt;&gt;"",($BM$21+10)&lt;=$BO$21),$BN$21,"")</f>
        <v/>
      </c>
      <c r="E137" s="9" t="str">
        <f>IF(AND($BN$21&lt;&gt;"",($BM$21+10)&lt;=$BO$21),TEXT(($BM$21+10),"00"),"")</f>
        <v/>
      </c>
      <c r="F137" s="9" t="str">
        <f>IF(AND($BN$21&lt;&gt;"",($BM$21+10)&lt;=$BO$21),$BN$21&amp;"-"&amp;TEXT(($BM$21+10),"00"),"")</f>
        <v/>
      </c>
      <c r="H137" s="6"/>
      <c r="I137" s="9" t="str">
        <f>IF(CB137="","",CB137&amp;"-"&amp;TEXT(COUNTIF($CA$72:$CA$95,CB137)+COUNTIF($CB$72:$CB$95,CB137)+COUNTIF($CC$72:$CC$95,CB137)+COUNTIF($CD$72:$CD$95,CB137)+COUNTIF($CA$100:$CA$123,CB137)+COUNTIF($CB$100:$CB$123,CB137)+COUNTIF($CC$100:$CC$123,CB137)+COUNTIF($CD$100:$CD$123,CB137)+COUNTIF($CA$128:$CA$151,CB137)+COUNTIF($CB$128:CB137,CB137),"000"))</f>
        <v/>
      </c>
      <c r="J137" s="9" t="str">
        <f>IF(AND($BN$22&lt;&gt;"",($BM$22+10)&lt;=$BO$22),$BN$22,"")</f>
        <v/>
      </c>
      <c r="K137" s="9" t="str">
        <f>IF(AND($BN$22&lt;&gt;"",($BM$22+10)&lt;=$BO$22),TEXT(($BM$22+10),"00"),"")</f>
        <v/>
      </c>
      <c r="L137" s="9" t="str">
        <f>IF(AND($BN$22&lt;&gt;"",($BM$22+10)&lt;=$BO$22),$BN$22&amp;"-"&amp;TEXT(($BM$22+10),"00"),"")</f>
        <v/>
      </c>
      <c r="N137" s="6"/>
      <c r="O137" s="9" t="str">
        <f>IF(CC137="","",CC137&amp;"-"&amp;TEXT(COUNTIF($CA$72:$CA$95,CC137)+COUNTIF($CB$72:$CB$95,CC137)+COUNTIF($CC$72:$CC$95,CC137)+COUNTIF($CD$72:$CD$95,CC137)+COUNTIF($CA$100:$CA$123,CC137)+COUNTIF($CB$100:$CB$123,CC137)+COUNTIF($CC$100:$CC$123,CC137)+COUNTIF($CD$100:$CD$123,CC137)+COUNTIF($CA$128:$CA$151,CC137)+COUNTIF($CB$128:$CB$151,CC137)+COUNTIF($CC$128:CC137,CC137),"000"))</f>
        <v/>
      </c>
      <c r="P137" s="9" t="str">
        <f>IF(AND($BN$23&lt;&gt;"",($BM$23+10)&lt;=$BO$23),$BN$23,"")</f>
        <v/>
      </c>
      <c r="Q137" s="9" t="str">
        <f>IF(AND($BN$23&lt;&gt;"",($BM$23+10)&lt;=$BO$23),TEXT(($BM$23+10),"00"),"")</f>
        <v/>
      </c>
      <c r="R137" s="9" t="str">
        <f>IF(AND($BN$23&lt;&gt;"",($BM$23+10)&lt;=$BO$23),$BN$23&amp;"-"&amp;TEXT(($BM$23+10),"00"),"")</f>
        <v/>
      </c>
      <c r="T137" s="6"/>
      <c r="U137" s="9" t="str">
        <f>IF(CD137="","",CD137&amp;"-"&amp;TEXT(COUNTIF($CA$72:$CA$95,CD137)+COUNTIF($CB$72:$CB$95,CD137)+COUNTIF($CC$72:$CC$95,CD137)+COUNTIF($CD$72:$CD$95,CD137)+COUNTIF($CA$100:$CA$123,CD137)+COUNTIF($CB$100:$CB$123,CD137)+COUNTIF($CC$100:$CC$123,CD137)+COUNTIF($CD$100:$CD$123,CD137)+COUNTIF($CA$128:$CA$151,CD137)+COUNTIF($CB$128:$CB$151,CD137)+COUNTIF($CC$128:$CC$151,CD137)+COUNTIF($CD$128:CD137,CD137),"000"))</f>
        <v/>
      </c>
      <c r="V137" s="9" t="str">
        <f>IF(AND($BN$24&lt;&gt;"",($BM$24+10)&lt;=$BO$24),$BN$24,"")</f>
        <v/>
      </c>
      <c r="W137" s="9" t="str">
        <f>IF(AND($BN$24&lt;&gt;"",($BM$24+10)&lt;=$BO$24),TEXT(($BM$24+10),"00"),"")</f>
        <v/>
      </c>
      <c r="X137" s="9" t="str">
        <f>IF(AND($BN$24&lt;&gt;"",($BM$24+10)&lt;=$BO$24),$BN$24&amp;"-"&amp;TEXT(($BM$24+10),"00"),"")</f>
        <v/>
      </c>
      <c r="CA137" t="str" cm="1">
        <f t="array" ref="CA137">IF(NOT(AND($BN$21&lt;&gt;"",($BM$21+10)&lt;=$BO$21)),"",IF(B137&lt;&gt;"",IF(B137="-","",B137),IF(ISNUMBER(SEARCH(":",$BP$21)),IFERROR(_xlfn.LET(_xlpm.s,_xlfn.TEXTSPLIT($BP$21,","),_xlpm.k,FIND(":",_xlpm.s),INDEX(TRIM(LEFT(_xlpm.s,_xlpm.k-1)),_xlfn.XMATCH(($BM$21+10),_xlfn.SCAN(0,--MID(_xlpm.s,_xlpm.k+1,9),_xlfn.LAMBDA(_xlpm.a,_xlpm.v,_xlpm.a+_xlpm.v)),1))),""),IF(($BM$21+10)&lt;=$BQ$21,$BP$21,""))))</f>
        <v/>
      </c>
      <c r="CB137" t="str" cm="1">
        <f t="array" ref="CB137">IF(NOT(AND($BN$22&lt;&gt;"",($BM$22+10)&lt;=$BO$22)),"",IF(H137&lt;&gt;"",IF(H137="-","",H137),IF(ISNUMBER(SEARCH(":",$BP$22)),IFERROR(_xlfn.LET(_xlpm.s,_xlfn.TEXTSPLIT($BP$22,","),_xlpm.k,FIND(":",_xlpm.s),INDEX(TRIM(LEFT(_xlpm.s,_xlpm.k-1)),_xlfn.XMATCH(($BM$22+10),_xlfn.SCAN(0,--MID(_xlpm.s,_xlpm.k+1,9),_xlfn.LAMBDA(_xlpm.a,_xlpm.v,_xlpm.a+_xlpm.v)),1))),""),IF(($BM$22+10)&lt;=$BQ$22,$BP$22,""))))</f>
        <v/>
      </c>
      <c r="CC137" t="str" cm="1">
        <f t="array" ref="CC137">IF(NOT(AND($BN$23&lt;&gt;"",($BM$23+10)&lt;=$BO$23)),"",IF(N137&lt;&gt;"",IF(N137="-","",N137),IF(ISNUMBER(SEARCH(":",$BP$23)),IFERROR(_xlfn.LET(_xlpm.s,_xlfn.TEXTSPLIT($BP$23,","),_xlpm.k,FIND(":",_xlpm.s),INDEX(TRIM(LEFT(_xlpm.s,_xlpm.k-1)),_xlfn.XMATCH(($BM$23+10),_xlfn.SCAN(0,--MID(_xlpm.s,_xlpm.k+1,9),_xlfn.LAMBDA(_xlpm.a,_xlpm.v,_xlpm.a+_xlpm.v)),1))),""),IF(($BM$23+10)&lt;=$BQ$23,$BP$23,""))))</f>
        <v/>
      </c>
      <c r="CD137" t="str" cm="1">
        <f t="array" ref="CD137">IF(NOT(AND($BN$24&lt;&gt;"",($BM$24+10)&lt;=$BO$24)),"",IF(T137&lt;&gt;"",IF(T137="-","",T137),IF(ISNUMBER(SEARCH(":",$BP$24)),IFERROR(_xlfn.LET(_xlpm.s,_xlfn.TEXTSPLIT($BP$24,","),_xlpm.k,FIND(":",_xlpm.s),INDEX(TRIM(LEFT(_xlpm.s,_xlpm.k-1)),_xlfn.XMATCH(($BM$24+10),_xlfn.SCAN(0,--MID(_xlpm.s,_xlpm.k+1,9),_xlfn.LAMBDA(_xlpm.a,_xlpm.v,_xlpm.a+_xlpm.v)),1))),""),IF(($BM$24+10)&lt;=$BQ$24,$BP$24,""))))</f>
        <v/>
      </c>
    </row>
    <row r="138" spans="2:82" hidden="1" x14ac:dyDescent="0.45">
      <c r="B138" s="6"/>
      <c r="C138" s="9" t="str">
        <f>IF(CA138="","",CA138&amp;"-"&amp;TEXT(COUNTIF($CA$72:$CA$95,CA138)+COUNTIF($CB$72:$CB$95,CA138)+COUNTIF($CC$72:$CC$95,CA138)+COUNTIF($CD$72:$CD$95,CA138)+COUNTIF($CA$100:$CA$123,CA138)+COUNTIF($CB$100:$CB$123,CA138)+COUNTIF($CC$100:$CC$123,CA138)+COUNTIF($CD$100:$CD$123,CA138)+COUNTIF($CA$128:CA138,CA138),"000"))</f>
        <v/>
      </c>
      <c r="D138" s="9" t="str">
        <f>IF(AND($BN$21&lt;&gt;"",($BM$21+11)&lt;=$BO$21),$BN$21,"")</f>
        <v/>
      </c>
      <c r="E138" s="9" t="str">
        <f>IF(AND($BN$21&lt;&gt;"",($BM$21+11)&lt;=$BO$21),TEXT(($BM$21+11),"00"),"")</f>
        <v/>
      </c>
      <c r="F138" s="9" t="str">
        <f>IF(AND($BN$21&lt;&gt;"",($BM$21+11)&lt;=$BO$21),$BN$21&amp;"-"&amp;TEXT(($BM$21+11),"00"),"")</f>
        <v/>
      </c>
      <c r="H138" s="6"/>
      <c r="I138" s="9" t="str">
        <f>IF(CB138="","",CB138&amp;"-"&amp;TEXT(COUNTIF($CA$72:$CA$95,CB138)+COUNTIF($CB$72:$CB$95,CB138)+COUNTIF($CC$72:$CC$95,CB138)+COUNTIF($CD$72:$CD$95,CB138)+COUNTIF($CA$100:$CA$123,CB138)+COUNTIF($CB$100:$CB$123,CB138)+COUNTIF($CC$100:$CC$123,CB138)+COUNTIF($CD$100:$CD$123,CB138)+COUNTIF($CA$128:$CA$151,CB138)+COUNTIF($CB$128:CB138,CB138),"000"))</f>
        <v/>
      </c>
      <c r="J138" s="9" t="str">
        <f>IF(AND($BN$22&lt;&gt;"",($BM$22+11)&lt;=$BO$22),$BN$22,"")</f>
        <v/>
      </c>
      <c r="K138" s="9" t="str">
        <f>IF(AND($BN$22&lt;&gt;"",($BM$22+11)&lt;=$BO$22),TEXT(($BM$22+11),"00"),"")</f>
        <v/>
      </c>
      <c r="L138" s="9" t="str">
        <f>IF(AND($BN$22&lt;&gt;"",($BM$22+11)&lt;=$BO$22),$BN$22&amp;"-"&amp;TEXT(($BM$22+11),"00"),"")</f>
        <v/>
      </c>
      <c r="N138" s="6"/>
      <c r="O138" s="9" t="str">
        <f>IF(CC138="","",CC138&amp;"-"&amp;TEXT(COUNTIF($CA$72:$CA$95,CC138)+COUNTIF($CB$72:$CB$95,CC138)+COUNTIF($CC$72:$CC$95,CC138)+COUNTIF($CD$72:$CD$95,CC138)+COUNTIF($CA$100:$CA$123,CC138)+COUNTIF($CB$100:$CB$123,CC138)+COUNTIF($CC$100:$CC$123,CC138)+COUNTIF($CD$100:$CD$123,CC138)+COUNTIF($CA$128:$CA$151,CC138)+COUNTIF($CB$128:$CB$151,CC138)+COUNTIF($CC$128:CC138,CC138),"000"))</f>
        <v/>
      </c>
      <c r="P138" s="9" t="str">
        <f>IF(AND($BN$23&lt;&gt;"",($BM$23+11)&lt;=$BO$23),$BN$23,"")</f>
        <v/>
      </c>
      <c r="Q138" s="9" t="str">
        <f>IF(AND($BN$23&lt;&gt;"",($BM$23+11)&lt;=$BO$23),TEXT(($BM$23+11),"00"),"")</f>
        <v/>
      </c>
      <c r="R138" s="9" t="str">
        <f>IF(AND($BN$23&lt;&gt;"",($BM$23+11)&lt;=$BO$23),$BN$23&amp;"-"&amp;TEXT(($BM$23+11),"00"),"")</f>
        <v/>
      </c>
      <c r="T138" s="6"/>
      <c r="U138" s="9" t="str">
        <f>IF(CD138="","",CD138&amp;"-"&amp;TEXT(COUNTIF($CA$72:$CA$95,CD138)+COUNTIF($CB$72:$CB$95,CD138)+COUNTIF($CC$72:$CC$95,CD138)+COUNTIF($CD$72:$CD$95,CD138)+COUNTIF($CA$100:$CA$123,CD138)+COUNTIF($CB$100:$CB$123,CD138)+COUNTIF($CC$100:$CC$123,CD138)+COUNTIF($CD$100:$CD$123,CD138)+COUNTIF($CA$128:$CA$151,CD138)+COUNTIF($CB$128:$CB$151,CD138)+COUNTIF($CC$128:$CC$151,CD138)+COUNTIF($CD$128:CD138,CD138),"000"))</f>
        <v/>
      </c>
      <c r="V138" s="9" t="str">
        <f>IF(AND($BN$24&lt;&gt;"",($BM$24+11)&lt;=$BO$24),$BN$24,"")</f>
        <v/>
      </c>
      <c r="W138" s="9" t="str">
        <f>IF(AND($BN$24&lt;&gt;"",($BM$24+11)&lt;=$BO$24),TEXT(($BM$24+11),"00"),"")</f>
        <v/>
      </c>
      <c r="X138" s="9" t="str">
        <f>IF(AND($BN$24&lt;&gt;"",($BM$24+11)&lt;=$BO$24),$BN$24&amp;"-"&amp;TEXT(($BM$24+11),"00"),"")</f>
        <v/>
      </c>
      <c r="CA138" t="str" cm="1">
        <f t="array" ref="CA138">IF(NOT(AND($BN$21&lt;&gt;"",($BM$21+11)&lt;=$BO$21)),"",IF(B138&lt;&gt;"",IF(B138="-","",B138),IF(ISNUMBER(SEARCH(":",$BP$21)),IFERROR(_xlfn.LET(_xlpm.s,_xlfn.TEXTSPLIT($BP$21,","),_xlpm.k,FIND(":",_xlpm.s),INDEX(TRIM(LEFT(_xlpm.s,_xlpm.k-1)),_xlfn.XMATCH(($BM$21+11),_xlfn.SCAN(0,--MID(_xlpm.s,_xlpm.k+1,9),_xlfn.LAMBDA(_xlpm.a,_xlpm.v,_xlpm.a+_xlpm.v)),1))),""),IF(($BM$21+11)&lt;=$BQ$21,$BP$21,""))))</f>
        <v/>
      </c>
      <c r="CB138" t="str" cm="1">
        <f t="array" ref="CB138">IF(NOT(AND($BN$22&lt;&gt;"",($BM$22+11)&lt;=$BO$22)),"",IF(H138&lt;&gt;"",IF(H138="-","",H138),IF(ISNUMBER(SEARCH(":",$BP$22)),IFERROR(_xlfn.LET(_xlpm.s,_xlfn.TEXTSPLIT($BP$22,","),_xlpm.k,FIND(":",_xlpm.s),INDEX(TRIM(LEFT(_xlpm.s,_xlpm.k-1)),_xlfn.XMATCH(($BM$22+11),_xlfn.SCAN(0,--MID(_xlpm.s,_xlpm.k+1,9),_xlfn.LAMBDA(_xlpm.a,_xlpm.v,_xlpm.a+_xlpm.v)),1))),""),IF(($BM$22+11)&lt;=$BQ$22,$BP$22,""))))</f>
        <v/>
      </c>
      <c r="CC138" t="str" cm="1">
        <f t="array" ref="CC138">IF(NOT(AND($BN$23&lt;&gt;"",($BM$23+11)&lt;=$BO$23)),"",IF(N138&lt;&gt;"",IF(N138="-","",N138),IF(ISNUMBER(SEARCH(":",$BP$23)),IFERROR(_xlfn.LET(_xlpm.s,_xlfn.TEXTSPLIT($BP$23,","),_xlpm.k,FIND(":",_xlpm.s),INDEX(TRIM(LEFT(_xlpm.s,_xlpm.k-1)),_xlfn.XMATCH(($BM$23+11),_xlfn.SCAN(0,--MID(_xlpm.s,_xlpm.k+1,9),_xlfn.LAMBDA(_xlpm.a,_xlpm.v,_xlpm.a+_xlpm.v)),1))),""),IF(($BM$23+11)&lt;=$BQ$23,$BP$23,""))))</f>
        <v/>
      </c>
      <c r="CD138" t="str" cm="1">
        <f t="array" ref="CD138">IF(NOT(AND($BN$24&lt;&gt;"",($BM$24+11)&lt;=$BO$24)),"",IF(T138&lt;&gt;"",IF(T138="-","",T138),IF(ISNUMBER(SEARCH(":",$BP$24)),IFERROR(_xlfn.LET(_xlpm.s,_xlfn.TEXTSPLIT($BP$24,","),_xlpm.k,FIND(":",_xlpm.s),INDEX(TRIM(LEFT(_xlpm.s,_xlpm.k-1)),_xlfn.XMATCH(($BM$24+11),_xlfn.SCAN(0,--MID(_xlpm.s,_xlpm.k+1,9),_xlfn.LAMBDA(_xlpm.a,_xlpm.v,_xlpm.a+_xlpm.v)),1))),""),IF(($BM$24+11)&lt;=$BQ$24,$BP$24,""))))</f>
        <v/>
      </c>
    </row>
    <row r="139" spans="2:82" hidden="1" x14ac:dyDescent="0.45">
      <c r="B139" s="6"/>
      <c r="C139" s="9" t="str">
        <f>IF(CA139="","",CA139&amp;"-"&amp;TEXT(COUNTIF($CA$72:$CA$95,CA139)+COUNTIF($CB$72:$CB$95,CA139)+COUNTIF($CC$72:$CC$95,CA139)+COUNTIF($CD$72:$CD$95,CA139)+COUNTIF($CA$100:$CA$123,CA139)+COUNTIF($CB$100:$CB$123,CA139)+COUNTIF($CC$100:$CC$123,CA139)+COUNTIF($CD$100:$CD$123,CA139)+COUNTIF($CA$128:CA139,CA139),"000"))</f>
        <v/>
      </c>
      <c r="D139" s="9" t="str">
        <f>IF(AND($BN$21&lt;&gt;"",($BM$21+12)&lt;=$BO$21),$BN$21,"")</f>
        <v/>
      </c>
      <c r="E139" s="9" t="str">
        <f>IF(AND($BN$21&lt;&gt;"",($BM$21+12)&lt;=$BO$21),TEXT(($BM$21+12),"00"),"")</f>
        <v/>
      </c>
      <c r="F139" s="9" t="str">
        <f>IF(AND($BN$21&lt;&gt;"",($BM$21+12)&lt;=$BO$21),$BN$21&amp;"-"&amp;TEXT(($BM$21+12),"00"),"")</f>
        <v/>
      </c>
      <c r="H139" s="6"/>
      <c r="I139" s="9" t="str">
        <f>IF(CB139="","",CB139&amp;"-"&amp;TEXT(COUNTIF($CA$72:$CA$95,CB139)+COUNTIF($CB$72:$CB$95,CB139)+COUNTIF($CC$72:$CC$95,CB139)+COUNTIF($CD$72:$CD$95,CB139)+COUNTIF($CA$100:$CA$123,CB139)+COUNTIF($CB$100:$CB$123,CB139)+COUNTIF($CC$100:$CC$123,CB139)+COUNTIF($CD$100:$CD$123,CB139)+COUNTIF($CA$128:$CA$151,CB139)+COUNTIF($CB$128:CB139,CB139),"000"))</f>
        <v/>
      </c>
      <c r="J139" s="9" t="str">
        <f>IF(AND($BN$22&lt;&gt;"",($BM$22+12)&lt;=$BO$22),$BN$22,"")</f>
        <v/>
      </c>
      <c r="K139" s="9" t="str">
        <f>IF(AND($BN$22&lt;&gt;"",($BM$22+12)&lt;=$BO$22),TEXT(($BM$22+12),"00"),"")</f>
        <v/>
      </c>
      <c r="L139" s="9" t="str">
        <f>IF(AND($BN$22&lt;&gt;"",($BM$22+12)&lt;=$BO$22),$BN$22&amp;"-"&amp;TEXT(($BM$22+12),"00"),"")</f>
        <v/>
      </c>
      <c r="N139" s="6"/>
      <c r="O139" s="9" t="str">
        <f>IF(CC139="","",CC139&amp;"-"&amp;TEXT(COUNTIF($CA$72:$CA$95,CC139)+COUNTIF($CB$72:$CB$95,CC139)+COUNTIF($CC$72:$CC$95,CC139)+COUNTIF($CD$72:$CD$95,CC139)+COUNTIF($CA$100:$CA$123,CC139)+COUNTIF($CB$100:$CB$123,CC139)+COUNTIF($CC$100:$CC$123,CC139)+COUNTIF($CD$100:$CD$123,CC139)+COUNTIF($CA$128:$CA$151,CC139)+COUNTIF($CB$128:$CB$151,CC139)+COUNTIF($CC$128:CC139,CC139),"000"))</f>
        <v/>
      </c>
      <c r="P139" s="9" t="str">
        <f>IF(AND($BN$23&lt;&gt;"",($BM$23+12)&lt;=$BO$23),$BN$23,"")</f>
        <v/>
      </c>
      <c r="Q139" s="9" t="str">
        <f>IF(AND($BN$23&lt;&gt;"",($BM$23+12)&lt;=$BO$23),TEXT(($BM$23+12),"00"),"")</f>
        <v/>
      </c>
      <c r="R139" s="9" t="str">
        <f>IF(AND($BN$23&lt;&gt;"",($BM$23+12)&lt;=$BO$23),$BN$23&amp;"-"&amp;TEXT(($BM$23+12),"00"),"")</f>
        <v/>
      </c>
      <c r="T139" s="6"/>
      <c r="U139" s="9" t="str">
        <f>IF(CD139="","",CD139&amp;"-"&amp;TEXT(COUNTIF($CA$72:$CA$95,CD139)+COUNTIF($CB$72:$CB$95,CD139)+COUNTIF($CC$72:$CC$95,CD139)+COUNTIF($CD$72:$CD$95,CD139)+COUNTIF($CA$100:$CA$123,CD139)+COUNTIF($CB$100:$CB$123,CD139)+COUNTIF($CC$100:$CC$123,CD139)+COUNTIF($CD$100:$CD$123,CD139)+COUNTIF($CA$128:$CA$151,CD139)+COUNTIF($CB$128:$CB$151,CD139)+COUNTIF($CC$128:$CC$151,CD139)+COUNTIF($CD$128:CD139,CD139),"000"))</f>
        <v/>
      </c>
      <c r="V139" s="9" t="str">
        <f>IF(AND($BN$24&lt;&gt;"",($BM$24+12)&lt;=$BO$24),$BN$24,"")</f>
        <v/>
      </c>
      <c r="W139" s="9" t="str">
        <f>IF(AND($BN$24&lt;&gt;"",($BM$24+12)&lt;=$BO$24),TEXT(($BM$24+12),"00"),"")</f>
        <v/>
      </c>
      <c r="X139" s="9" t="str">
        <f>IF(AND($BN$24&lt;&gt;"",($BM$24+12)&lt;=$BO$24),$BN$24&amp;"-"&amp;TEXT(($BM$24+12),"00"),"")</f>
        <v/>
      </c>
      <c r="CA139" t="str" cm="1">
        <f t="array" ref="CA139">IF(NOT(AND($BN$21&lt;&gt;"",($BM$21+12)&lt;=$BO$21)),"",IF(B139&lt;&gt;"",IF(B139="-","",B139),IF(ISNUMBER(SEARCH(":",$BP$21)),IFERROR(_xlfn.LET(_xlpm.s,_xlfn.TEXTSPLIT($BP$21,","),_xlpm.k,FIND(":",_xlpm.s),INDEX(TRIM(LEFT(_xlpm.s,_xlpm.k-1)),_xlfn.XMATCH(($BM$21+12),_xlfn.SCAN(0,--MID(_xlpm.s,_xlpm.k+1,9),_xlfn.LAMBDA(_xlpm.a,_xlpm.v,_xlpm.a+_xlpm.v)),1))),""),IF(($BM$21+12)&lt;=$BQ$21,$BP$21,""))))</f>
        <v/>
      </c>
      <c r="CB139" t="str" cm="1">
        <f t="array" ref="CB139">IF(NOT(AND($BN$22&lt;&gt;"",($BM$22+12)&lt;=$BO$22)),"",IF(H139&lt;&gt;"",IF(H139="-","",H139),IF(ISNUMBER(SEARCH(":",$BP$22)),IFERROR(_xlfn.LET(_xlpm.s,_xlfn.TEXTSPLIT($BP$22,","),_xlpm.k,FIND(":",_xlpm.s),INDEX(TRIM(LEFT(_xlpm.s,_xlpm.k-1)),_xlfn.XMATCH(($BM$22+12),_xlfn.SCAN(0,--MID(_xlpm.s,_xlpm.k+1,9),_xlfn.LAMBDA(_xlpm.a,_xlpm.v,_xlpm.a+_xlpm.v)),1))),""),IF(($BM$22+12)&lt;=$BQ$22,$BP$22,""))))</f>
        <v/>
      </c>
      <c r="CC139" t="str" cm="1">
        <f t="array" ref="CC139">IF(NOT(AND($BN$23&lt;&gt;"",($BM$23+12)&lt;=$BO$23)),"",IF(N139&lt;&gt;"",IF(N139="-","",N139),IF(ISNUMBER(SEARCH(":",$BP$23)),IFERROR(_xlfn.LET(_xlpm.s,_xlfn.TEXTSPLIT($BP$23,","),_xlpm.k,FIND(":",_xlpm.s),INDEX(TRIM(LEFT(_xlpm.s,_xlpm.k-1)),_xlfn.XMATCH(($BM$23+12),_xlfn.SCAN(0,--MID(_xlpm.s,_xlpm.k+1,9),_xlfn.LAMBDA(_xlpm.a,_xlpm.v,_xlpm.a+_xlpm.v)),1))),""),IF(($BM$23+12)&lt;=$BQ$23,$BP$23,""))))</f>
        <v/>
      </c>
      <c r="CD139" t="str" cm="1">
        <f t="array" ref="CD139">IF(NOT(AND($BN$24&lt;&gt;"",($BM$24+12)&lt;=$BO$24)),"",IF(T139&lt;&gt;"",IF(T139="-","",T139),IF(ISNUMBER(SEARCH(":",$BP$24)),IFERROR(_xlfn.LET(_xlpm.s,_xlfn.TEXTSPLIT($BP$24,","),_xlpm.k,FIND(":",_xlpm.s),INDEX(TRIM(LEFT(_xlpm.s,_xlpm.k-1)),_xlfn.XMATCH(($BM$24+12),_xlfn.SCAN(0,--MID(_xlpm.s,_xlpm.k+1,9),_xlfn.LAMBDA(_xlpm.a,_xlpm.v,_xlpm.a+_xlpm.v)),1))),""),IF(($BM$24+12)&lt;=$BQ$24,$BP$24,""))))</f>
        <v/>
      </c>
    </row>
    <row r="140" spans="2:82" hidden="1" x14ac:dyDescent="0.45">
      <c r="B140" s="6"/>
      <c r="C140" s="9" t="str">
        <f>IF(CA140="","",CA140&amp;"-"&amp;TEXT(COUNTIF($CA$72:$CA$95,CA140)+COUNTIF($CB$72:$CB$95,CA140)+COUNTIF($CC$72:$CC$95,CA140)+COUNTIF($CD$72:$CD$95,CA140)+COUNTIF($CA$100:$CA$123,CA140)+COUNTIF($CB$100:$CB$123,CA140)+COUNTIF($CC$100:$CC$123,CA140)+COUNTIF($CD$100:$CD$123,CA140)+COUNTIF($CA$128:CA140,CA140),"000"))</f>
        <v/>
      </c>
      <c r="D140" s="9" t="str">
        <f>IF(AND($BN$21&lt;&gt;"",($BM$21+13)&lt;=$BO$21),$BN$21,"")</f>
        <v/>
      </c>
      <c r="E140" s="9" t="str">
        <f>IF(AND($BN$21&lt;&gt;"",($BM$21+13)&lt;=$BO$21),TEXT(($BM$21+13),"00"),"")</f>
        <v/>
      </c>
      <c r="F140" s="9" t="str">
        <f>IF(AND($BN$21&lt;&gt;"",($BM$21+13)&lt;=$BO$21),$BN$21&amp;"-"&amp;TEXT(($BM$21+13),"00"),"")</f>
        <v/>
      </c>
      <c r="H140" s="6"/>
      <c r="I140" s="9" t="str">
        <f>IF(CB140="","",CB140&amp;"-"&amp;TEXT(COUNTIF($CA$72:$CA$95,CB140)+COUNTIF($CB$72:$CB$95,CB140)+COUNTIF($CC$72:$CC$95,CB140)+COUNTIF($CD$72:$CD$95,CB140)+COUNTIF($CA$100:$CA$123,CB140)+COUNTIF($CB$100:$CB$123,CB140)+COUNTIF($CC$100:$CC$123,CB140)+COUNTIF($CD$100:$CD$123,CB140)+COUNTIF($CA$128:$CA$151,CB140)+COUNTIF($CB$128:CB140,CB140),"000"))</f>
        <v/>
      </c>
      <c r="J140" s="9" t="str">
        <f>IF(AND($BN$22&lt;&gt;"",($BM$22+13)&lt;=$BO$22),$BN$22,"")</f>
        <v/>
      </c>
      <c r="K140" s="9" t="str">
        <f>IF(AND($BN$22&lt;&gt;"",($BM$22+13)&lt;=$BO$22),TEXT(($BM$22+13),"00"),"")</f>
        <v/>
      </c>
      <c r="L140" s="9" t="str">
        <f>IF(AND($BN$22&lt;&gt;"",($BM$22+13)&lt;=$BO$22),$BN$22&amp;"-"&amp;TEXT(($BM$22+13),"00"),"")</f>
        <v/>
      </c>
      <c r="N140" s="6"/>
      <c r="O140" s="9" t="str">
        <f>IF(CC140="","",CC140&amp;"-"&amp;TEXT(COUNTIF($CA$72:$CA$95,CC140)+COUNTIF($CB$72:$CB$95,CC140)+COUNTIF($CC$72:$CC$95,CC140)+COUNTIF($CD$72:$CD$95,CC140)+COUNTIF($CA$100:$CA$123,CC140)+COUNTIF($CB$100:$CB$123,CC140)+COUNTIF($CC$100:$CC$123,CC140)+COUNTIF($CD$100:$CD$123,CC140)+COUNTIF($CA$128:$CA$151,CC140)+COUNTIF($CB$128:$CB$151,CC140)+COUNTIF($CC$128:CC140,CC140),"000"))</f>
        <v/>
      </c>
      <c r="P140" s="9" t="str">
        <f>IF(AND($BN$23&lt;&gt;"",($BM$23+13)&lt;=$BO$23),$BN$23,"")</f>
        <v/>
      </c>
      <c r="Q140" s="9" t="str">
        <f>IF(AND($BN$23&lt;&gt;"",($BM$23+13)&lt;=$BO$23),TEXT(($BM$23+13),"00"),"")</f>
        <v/>
      </c>
      <c r="R140" s="9" t="str">
        <f>IF(AND($BN$23&lt;&gt;"",($BM$23+13)&lt;=$BO$23),$BN$23&amp;"-"&amp;TEXT(($BM$23+13),"00"),"")</f>
        <v/>
      </c>
      <c r="T140" s="6"/>
      <c r="U140" s="9" t="str">
        <f>IF(CD140="","",CD140&amp;"-"&amp;TEXT(COUNTIF($CA$72:$CA$95,CD140)+COUNTIF($CB$72:$CB$95,CD140)+COUNTIF($CC$72:$CC$95,CD140)+COUNTIF($CD$72:$CD$95,CD140)+COUNTIF($CA$100:$CA$123,CD140)+COUNTIF($CB$100:$CB$123,CD140)+COUNTIF($CC$100:$CC$123,CD140)+COUNTIF($CD$100:$CD$123,CD140)+COUNTIF($CA$128:$CA$151,CD140)+COUNTIF($CB$128:$CB$151,CD140)+COUNTIF($CC$128:$CC$151,CD140)+COUNTIF($CD$128:CD140,CD140),"000"))</f>
        <v/>
      </c>
      <c r="V140" s="9" t="str">
        <f>IF(AND($BN$24&lt;&gt;"",($BM$24+13)&lt;=$BO$24),$BN$24,"")</f>
        <v/>
      </c>
      <c r="W140" s="9" t="str">
        <f>IF(AND($BN$24&lt;&gt;"",($BM$24+13)&lt;=$BO$24),TEXT(($BM$24+13),"00"),"")</f>
        <v/>
      </c>
      <c r="X140" s="9" t="str">
        <f>IF(AND($BN$24&lt;&gt;"",($BM$24+13)&lt;=$BO$24),$BN$24&amp;"-"&amp;TEXT(($BM$24+13),"00"),"")</f>
        <v/>
      </c>
      <c r="CA140" t="str" cm="1">
        <f t="array" ref="CA140">IF(NOT(AND($BN$21&lt;&gt;"",($BM$21+13)&lt;=$BO$21)),"",IF(B140&lt;&gt;"",IF(B140="-","",B140),IF(ISNUMBER(SEARCH(":",$BP$21)),IFERROR(_xlfn.LET(_xlpm.s,_xlfn.TEXTSPLIT($BP$21,","),_xlpm.k,FIND(":",_xlpm.s),INDEX(TRIM(LEFT(_xlpm.s,_xlpm.k-1)),_xlfn.XMATCH(($BM$21+13),_xlfn.SCAN(0,--MID(_xlpm.s,_xlpm.k+1,9),_xlfn.LAMBDA(_xlpm.a,_xlpm.v,_xlpm.a+_xlpm.v)),1))),""),IF(($BM$21+13)&lt;=$BQ$21,$BP$21,""))))</f>
        <v/>
      </c>
      <c r="CB140" t="str" cm="1">
        <f t="array" ref="CB140">IF(NOT(AND($BN$22&lt;&gt;"",($BM$22+13)&lt;=$BO$22)),"",IF(H140&lt;&gt;"",IF(H140="-","",H140),IF(ISNUMBER(SEARCH(":",$BP$22)),IFERROR(_xlfn.LET(_xlpm.s,_xlfn.TEXTSPLIT($BP$22,","),_xlpm.k,FIND(":",_xlpm.s),INDEX(TRIM(LEFT(_xlpm.s,_xlpm.k-1)),_xlfn.XMATCH(($BM$22+13),_xlfn.SCAN(0,--MID(_xlpm.s,_xlpm.k+1,9),_xlfn.LAMBDA(_xlpm.a,_xlpm.v,_xlpm.a+_xlpm.v)),1))),""),IF(($BM$22+13)&lt;=$BQ$22,$BP$22,""))))</f>
        <v/>
      </c>
      <c r="CC140" t="str" cm="1">
        <f t="array" ref="CC140">IF(NOT(AND($BN$23&lt;&gt;"",($BM$23+13)&lt;=$BO$23)),"",IF(N140&lt;&gt;"",IF(N140="-","",N140),IF(ISNUMBER(SEARCH(":",$BP$23)),IFERROR(_xlfn.LET(_xlpm.s,_xlfn.TEXTSPLIT($BP$23,","),_xlpm.k,FIND(":",_xlpm.s),INDEX(TRIM(LEFT(_xlpm.s,_xlpm.k-1)),_xlfn.XMATCH(($BM$23+13),_xlfn.SCAN(0,--MID(_xlpm.s,_xlpm.k+1,9),_xlfn.LAMBDA(_xlpm.a,_xlpm.v,_xlpm.a+_xlpm.v)),1))),""),IF(($BM$23+13)&lt;=$BQ$23,$BP$23,""))))</f>
        <v/>
      </c>
      <c r="CD140" t="str" cm="1">
        <f t="array" ref="CD140">IF(NOT(AND($BN$24&lt;&gt;"",($BM$24+13)&lt;=$BO$24)),"",IF(T140&lt;&gt;"",IF(T140="-","",T140),IF(ISNUMBER(SEARCH(":",$BP$24)),IFERROR(_xlfn.LET(_xlpm.s,_xlfn.TEXTSPLIT($BP$24,","),_xlpm.k,FIND(":",_xlpm.s),INDEX(TRIM(LEFT(_xlpm.s,_xlpm.k-1)),_xlfn.XMATCH(($BM$24+13),_xlfn.SCAN(0,--MID(_xlpm.s,_xlpm.k+1,9),_xlfn.LAMBDA(_xlpm.a,_xlpm.v,_xlpm.a+_xlpm.v)),1))),""),IF(($BM$24+13)&lt;=$BQ$24,$BP$24,""))))</f>
        <v/>
      </c>
    </row>
    <row r="141" spans="2:82" hidden="1" x14ac:dyDescent="0.45">
      <c r="B141" s="6"/>
      <c r="C141" s="9" t="str">
        <f>IF(CA141="","",CA141&amp;"-"&amp;TEXT(COUNTIF($CA$72:$CA$95,CA141)+COUNTIF($CB$72:$CB$95,CA141)+COUNTIF($CC$72:$CC$95,CA141)+COUNTIF($CD$72:$CD$95,CA141)+COUNTIF($CA$100:$CA$123,CA141)+COUNTIF($CB$100:$CB$123,CA141)+COUNTIF($CC$100:$CC$123,CA141)+COUNTIF($CD$100:$CD$123,CA141)+COUNTIF($CA$128:CA141,CA141),"000"))</f>
        <v/>
      </c>
      <c r="D141" s="9" t="str">
        <f>IF(AND($BN$21&lt;&gt;"",($BM$21+14)&lt;=$BO$21),$BN$21,"")</f>
        <v/>
      </c>
      <c r="E141" s="9" t="str">
        <f>IF(AND($BN$21&lt;&gt;"",($BM$21+14)&lt;=$BO$21),TEXT(($BM$21+14),"00"),"")</f>
        <v/>
      </c>
      <c r="F141" s="9" t="str">
        <f>IF(AND($BN$21&lt;&gt;"",($BM$21+14)&lt;=$BO$21),$BN$21&amp;"-"&amp;TEXT(($BM$21+14),"00"),"")</f>
        <v/>
      </c>
      <c r="H141" s="6"/>
      <c r="I141" s="9" t="str">
        <f>IF(CB141="","",CB141&amp;"-"&amp;TEXT(COUNTIF($CA$72:$CA$95,CB141)+COUNTIF($CB$72:$CB$95,CB141)+COUNTIF($CC$72:$CC$95,CB141)+COUNTIF($CD$72:$CD$95,CB141)+COUNTIF($CA$100:$CA$123,CB141)+COUNTIF($CB$100:$CB$123,CB141)+COUNTIF($CC$100:$CC$123,CB141)+COUNTIF($CD$100:$CD$123,CB141)+COUNTIF($CA$128:$CA$151,CB141)+COUNTIF($CB$128:CB141,CB141),"000"))</f>
        <v/>
      </c>
      <c r="J141" s="9" t="str">
        <f>IF(AND($BN$22&lt;&gt;"",($BM$22+14)&lt;=$BO$22),$BN$22,"")</f>
        <v/>
      </c>
      <c r="K141" s="9" t="str">
        <f>IF(AND($BN$22&lt;&gt;"",($BM$22+14)&lt;=$BO$22),TEXT(($BM$22+14),"00"),"")</f>
        <v/>
      </c>
      <c r="L141" s="9" t="str">
        <f>IF(AND($BN$22&lt;&gt;"",($BM$22+14)&lt;=$BO$22),$BN$22&amp;"-"&amp;TEXT(($BM$22+14),"00"),"")</f>
        <v/>
      </c>
      <c r="N141" s="6"/>
      <c r="O141" s="9" t="str">
        <f>IF(CC141="","",CC141&amp;"-"&amp;TEXT(COUNTIF($CA$72:$CA$95,CC141)+COUNTIF($CB$72:$CB$95,CC141)+COUNTIF($CC$72:$CC$95,CC141)+COUNTIF($CD$72:$CD$95,CC141)+COUNTIF($CA$100:$CA$123,CC141)+COUNTIF($CB$100:$CB$123,CC141)+COUNTIF($CC$100:$CC$123,CC141)+COUNTIF($CD$100:$CD$123,CC141)+COUNTIF($CA$128:$CA$151,CC141)+COUNTIF($CB$128:$CB$151,CC141)+COUNTIF($CC$128:CC141,CC141),"000"))</f>
        <v/>
      </c>
      <c r="P141" s="9" t="str">
        <f>IF(AND($BN$23&lt;&gt;"",($BM$23+14)&lt;=$BO$23),$BN$23,"")</f>
        <v/>
      </c>
      <c r="Q141" s="9" t="str">
        <f>IF(AND($BN$23&lt;&gt;"",($BM$23+14)&lt;=$BO$23),TEXT(($BM$23+14),"00"),"")</f>
        <v/>
      </c>
      <c r="R141" s="9" t="str">
        <f>IF(AND($BN$23&lt;&gt;"",($BM$23+14)&lt;=$BO$23),$BN$23&amp;"-"&amp;TEXT(($BM$23+14),"00"),"")</f>
        <v/>
      </c>
      <c r="T141" s="6"/>
      <c r="U141" s="9" t="str">
        <f>IF(CD141="","",CD141&amp;"-"&amp;TEXT(COUNTIF($CA$72:$CA$95,CD141)+COUNTIF($CB$72:$CB$95,CD141)+COUNTIF($CC$72:$CC$95,CD141)+COUNTIF($CD$72:$CD$95,CD141)+COUNTIF($CA$100:$CA$123,CD141)+COUNTIF($CB$100:$CB$123,CD141)+COUNTIF($CC$100:$CC$123,CD141)+COUNTIF($CD$100:$CD$123,CD141)+COUNTIF($CA$128:$CA$151,CD141)+COUNTIF($CB$128:$CB$151,CD141)+COUNTIF($CC$128:$CC$151,CD141)+COUNTIF($CD$128:CD141,CD141),"000"))</f>
        <v/>
      </c>
      <c r="V141" s="9" t="str">
        <f>IF(AND($BN$24&lt;&gt;"",($BM$24+14)&lt;=$BO$24),$BN$24,"")</f>
        <v/>
      </c>
      <c r="W141" s="9" t="str">
        <f>IF(AND($BN$24&lt;&gt;"",($BM$24+14)&lt;=$BO$24),TEXT(($BM$24+14),"00"),"")</f>
        <v/>
      </c>
      <c r="X141" s="9" t="str">
        <f>IF(AND($BN$24&lt;&gt;"",($BM$24+14)&lt;=$BO$24),$BN$24&amp;"-"&amp;TEXT(($BM$24+14),"00"),"")</f>
        <v/>
      </c>
      <c r="CA141" t="str" cm="1">
        <f t="array" ref="CA141">IF(NOT(AND($BN$21&lt;&gt;"",($BM$21+14)&lt;=$BO$21)),"",IF(B141&lt;&gt;"",IF(B141="-","",B141),IF(ISNUMBER(SEARCH(":",$BP$21)),IFERROR(_xlfn.LET(_xlpm.s,_xlfn.TEXTSPLIT($BP$21,","),_xlpm.k,FIND(":",_xlpm.s),INDEX(TRIM(LEFT(_xlpm.s,_xlpm.k-1)),_xlfn.XMATCH(($BM$21+14),_xlfn.SCAN(0,--MID(_xlpm.s,_xlpm.k+1,9),_xlfn.LAMBDA(_xlpm.a,_xlpm.v,_xlpm.a+_xlpm.v)),1))),""),IF(($BM$21+14)&lt;=$BQ$21,$BP$21,""))))</f>
        <v/>
      </c>
      <c r="CB141" t="str" cm="1">
        <f t="array" ref="CB141">IF(NOT(AND($BN$22&lt;&gt;"",($BM$22+14)&lt;=$BO$22)),"",IF(H141&lt;&gt;"",IF(H141="-","",H141),IF(ISNUMBER(SEARCH(":",$BP$22)),IFERROR(_xlfn.LET(_xlpm.s,_xlfn.TEXTSPLIT($BP$22,","),_xlpm.k,FIND(":",_xlpm.s),INDEX(TRIM(LEFT(_xlpm.s,_xlpm.k-1)),_xlfn.XMATCH(($BM$22+14),_xlfn.SCAN(0,--MID(_xlpm.s,_xlpm.k+1,9),_xlfn.LAMBDA(_xlpm.a,_xlpm.v,_xlpm.a+_xlpm.v)),1))),""),IF(($BM$22+14)&lt;=$BQ$22,$BP$22,""))))</f>
        <v/>
      </c>
      <c r="CC141" t="str" cm="1">
        <f t="array" ref="CC141">IF(NOT(AND($BN$23&lt;&gt;"",($BM$23+14)&lt;=$BO$23)),"",IF(N141&lt;&gt;"",IF(N141="-","",N141),IF(ISNUMBER(SEARCH(":",$BP$23)),IFERROR(_xlfn.LET(_xlpm.s,_xlfn.TEXTSPLIT($BP$23,","),_xlpm.k,FIND(":",_xlpm.s),INDEX(TRIM(LEFT(_xlpm.s,_xlpm.k-1)),_xlfn.XMATCH(($BM$23+14),_xlfn.SCAN(0,--MID(_xlpm.s,_xlpm.k+1,9),_xlfn.LAMBDA(_xlpm.a,_xlpm.v,_xlpm.a+_xlpm.v)),1))),""),IF(($BM$23+14)&lt;=$BQ$23,$BP$23,""))))</f>
        <v/>
      </c>
      <c r="CD141" t="str" cm="1">
        <f t="array" ref="CD141">IF(NOT(AND($BN$24&lt;&gt;"",($BM$24+14)&lt;=$BO$24)),"",IF(T141&lt;&gt;"",IF(T141="-","",T141),IF(ISNUMBER(SEARCH(":",$BP$24)),IFERROR(_xlfn.LET(_xlpm.s,_xlfn.TEXTSPLIT($BP$24,","),_xlpm.k,FIND(":",_xlpm.s),INDEX(TRIM(LEFT(_xlpm.s,_xlpm.k-1)),_xlfn.XMATCH(($BM$24+14),_xlfn.SCAN(0,--MID(_xlpm.s,_xlpm.k+1,9),_xlfn.LAMBDA(_xlpm.a,_xlpm.v,_xlpm.a+_xlpm.v)),1))),""),IF(($BM$24+14)&lt;=$BQ$24,$BP$24,""))))</f>
        <v/>
      </c>
    </row>
    <row r="142" spans="2:82" hidden="1" x14ac:dyDescent="0.45">
      <c r="B142" s="6"/>
      <c r="C142" s="9" t="str">
        <f>IF(CA142="","",CA142&amp;"-"&amp;TEXT(COUNTIF($CA$72:$CA$95,CA142)+COUNTIF($CB$72:$CB$95,CA142)+COUNTIF($CC$72:$CC$95,CA142)+COUNTIF($CD$72:$CD$95,CA142)+COUNTIF($CA$100:$CA$123,CA142)+COUNTIF($CB$100:$CB$123,CA142)+COUNTIF($CC$100:$CC$123,CA142)+COUNTIF($CD$100:$CD$123,CA142)+COUNTIF($CA$128:CA142,CA142),"000"))</f>
        <v/>
      </c>
      <c r="D142" s="9" t="str">
        <f>IF(AND($BN$21&lt;&gt;"",($BM$21+15)&lt;=$BO$21),$BN$21,"")</f>
        <v/>
      </c>
      <c r="E142" s="9" t="str">
        <f>IF(AND($BN$21&lt;&gt;"",($BM$21+15)&lt;=$BO$21),TEXT(($BM$21+15),"00"),"")</f>
        <v/>
      </c>
      <c r="F142" s="9" t="str">
        <f>IF(AND($BN$21&lt;&gt;"",($BM$21+15)&lt;=$BO$21),$BN$21&amp;"-"&amp;TEXT(($BM$21+15),"00"),"")</f>
        <v/>
      </c>
      <c r="H142" s="6"/>
      <c r="I142" s="9" t="str">
        <f>IF(CB142="","",CB142&amp;"-"&amp;TEXT(COUNTIF($CA$72:$CA$95,CB142)+COUNTIF($CB$72:$CB$95,CB142)+COUNTIF($CC$72:$CC$95,CB142)+COUNTIF($CD$72:$CD$95,CB142)+COUNTIF($CA$100:$CA$123,CB142)+COUNTIF($CB$100:$CB$123,CB142)+COUNTIF($CC$100:$CC$123,CB142)+COUNTIF($CD$100:$CD$123,CB142)+COUNTIF($CA$128:$CA$151,CB142)+COUNTIF($CB$128:CB142,CB142),"000"))</f>
        <v/>
      </c>
      <c r="J142" s="9" t="str">
        <f>IF(AND($BN$22&lt;&gt;"",($BM$22+15)&lt;=$BO$22),$BN$22,"")</f>
        <v/>
      </c>
      <c r="K142" s="9" t="str">
        <f>IF(AND($BN$22&lt;&gt;"",($BM$22+15)&lt;=$BO$22),TEXT(($BM$22+15),"00"),"")</f>
        <v/>
      </c>
      <c r="L142" s="9" t="str">
        <f>IF(AND($BN$22&lt;&gt;"",($BM$22+15)&lt;=$BO$22),$BN$22&amp;"-"&amp;TEXT(($BM$22+15),"00"),"")</f>
        <v/>
      </c>
      <c r="N142" s="6"/>
      <c r="O142" s="9" t="str">
        <f>IF(CC142="","",CC142&amp;"-"&amp;TEXT(COUNTIF($CA$72:$CA$95,CC142)+COUNTIF($CB$72:$CB$95,CC142)+COUNTIF($CC$72:$CC$95,CC142)+COUNTIF($CD$72:$CD$95,CC142)+COUNTIF($CA$100:$CA$123,CC142)+COUNTIF($CB$100:$CB$123,CC142)+COUNTIF($CC$100:$CC$123,CC142)+COUNTIF($CD$100:$CD$123,CC142)+COUNTIF($CA$128:$CA$151,CC142)+COUNTIF($CB$128:$CB$151,CC142)+COUNTIF($CC$128:CC142,CC142),"000"))</f>
        <v/>
      </c>
      <c r="P142" s="9" t="str">
        <f>IF(AND($BN$23&lt;&gt;"",($BM$23+15)&lt;=$BO$23),$BN$23,"")</f>
        <v/>
      </c>
      <c r="Q142" s="9" t="str">
        <f>IF(AND($BN$23&lt;&gt;"",($BM$23+15)&lt;=$BO$23),TEXT(($BM$23+15),"00"),"")</f>
        <v/>
      </c>
      <c r="R142" s="9" t="str">
        <f>IF(AND($BN$23&lt;&gt;"",($BM$23+15)&lt;=$BO$23),$BN$23&amp;"-"&amp;TEXT(($BM$23+15),"00"),"")</f>
        <v/>
      </c>
      <c r="T142" s="6"/>
      <c r="U142" s="9" t="str">
        <f>IF(CD142="","",CD142&amp;"-"&amp;TEXT(COUNTIF($CA$72:$CA$95,CD142)+COUNTIF($CB$72:$CB$95,CD142)+COUNTIF($CC$72:$CC$95,CD142)+COUNTIF($CD$72:$CD$95,CD142)+COUNTIF($CA$100:$CA$123,CD142)+COUNTIF($CB$100:$CB$123,CD142)+COUNTIF($CC$100:$CC$123,CD142)+COUNTIF($CD$100:$CD$123,CD142)+COUNTIF($CA$128:$CA$151,CD142)+COUNTIF($CB$128:$CB$151,CD142)+COUNTIF($CC$128:$CC$151,CD142)+COUNTIF($CD$128:CD142,CD142),"000"))</f>
        <v/>
      </c>
      <c r="V142" s="9" t="str">
        <f>IF(AND($BN$24&lt;&gt;"",($BM$24+15)&lt;=$BO$24),$BN$24,"")</f>
        <v/>
      </c>
      <c r="W142" s="9" t="str">
        <f>IF(AND($BN$24&lt;&gt;"",($BM$24+15)&lt;=$BO$24),TEXT(($BM$24+15),"00"),"")</f>
        <v/>
      </c>
      <c r="X142" s="9" t="str">
        <f>IF(AND($BN$24&lt;&gt;"",($BM$24+15)&lt;=$BO$24),$BN$24&amp;"-"&amp;TEXT(($BM$24+15),"00"),"")</f>
        <v/>
      </c>
      <c r="CA142" t="str" cm="1">
        <f t="array" ref="CA142">IF(NOT(AND($BN$21&lt;&gt;"",($BM$21+15)&lt;=$BO$21)),"",IF(B142&lt;&gt;"",IF(B142="-","",B142),IF(ISNUMBER(SEARCH(":",$BP$21)),IFERROR(_xlfn.LET(_xlpm.s,_xlfn.TEXTSPLIT($BP$21,","),_xlpm.k,FIND(":",_xlpm.s),INDEX(TRIM(LEFT(_xlpm.s,_xlpm.k-1)),_xlfn.XMATCH(($BM$21+15),_xlfn.SCAN(0,--MID(_xlpm.s,_xlpm.k+1,9),_xlfn.LAMBDA(_xlpm.a,_xlpm.v,_xlpm.a+_xlpm.v)),1))),""),IF(($BM$21+15)&lt;=$BQ$21,$BP$21,""))))</f>
        <v/>
      </c>
      <c r="CB142" t="str" cm="1">
        <f t="array" ref="CB142">IF(NOT(AND($BN$22&lt;&gt;"",($BM$22+15)&lt;=$BO$22)),"",IF(H142&lt;&gt;"",IF(H142="-","",H142),IF(ISNUMBER(SEARCH(":",$BP$22)),IFERROR(_xlfn.LET(_xlpm.s,_xlfn.TEXTSPLIT($BP$22,","),_xlpm.k,FIND(":",_xlpm.s),INDEX(TRIM(LEFT(_xlpm.s,_xlpm.k-1)),_xlfn.XMATCH(($BM$22+15),_xlfn.SCAN(0,--MID(_xlpm.s,_xlpm.k+1,9),_xlfn.LAMBDA(_xlpm.a,_xlpm.v,_xlpm.a+_xlpm.v)),1))),""),IF(($BM$22+15)&lt;=$BQ$22,$BP$22,""))))</f>
        <v/>
      </c>
      <c r="CC142" t="str" cm="1">
        <f t="array" ref="CC142">IF(NOT(AND($BN$23&lt;&gt;"",($BM$23+15)&lt;=$BO$23)),"",IF(N142&lt;&gt;"",IF(N142="-","",N142),IF(ISNUMBER(SEARCH(":",$BP$23)),IFERROR(_xlfn.LET(_xlpm.s,_xlfn.TEXTSPLIT($BP$23,","),_xlpm.k,FIND(":",_xlpm.s),INDEX(TRIM(LEFT(_xlpm.s,_xlpm.k-1)),_xlfn.XMATCH(($BM$23+15),_xlfn.SCAN(0,--MID(_xlpm.s,_xlpm.k+1,9),_xlfn.LAMBDA(_xlpm.a,_xlpm.v,_xlpm.a+_xlpm.v)),1))),""),IF(($BM$23+15)&lt;=$BQ$23,$BP$23,""))))</f>
        <v/>
      </c>
      <c r="CD142" t="str" cm="1">
        <f t="array" ref="CD142">IF(NOT(AND($BN$24&lt;&gt;"",($BM$24+15)&lt;=$BO$24)),"",IF(T142&lt;&gt;"",IF(T142="-","",T142),IF(ISNUMBER(SEARCH(":",$BP$24)),IFERROR(_xlfn.LET(_xlpm.s,_xlfn.TEXTSPLIT($BP$24,","),_xlpm.k,FIND(":",_xlpm.s),INDEX(TRIM(LEFT(_xlpm.s,_xlpm.k-1)),_xlfn.XMATCH(($BM$24+15),_xlfn.SCAN(0,--MID(_xlpm.s,_xlpm.k+1,9),_xlfn.LAMBDA(_xlpm.a,_xlpm.v,_xlpm.a+_xlpm.v)),1))),""),IF(($BM$24+15)&lt;=$BQ$24,$BP$24,""))))</f>
        <v/>
      </c>
    </row>
    <row r="143" spans="2:82" hidden="1" x14ac:dyDescent="0.45">
      <c r="B143" s="6"/>
      <c r="C143" s="9" t="str">
        <f>IF(CA143="","",CA143&amp;"-"&amp;TEXT(COUNTIF($CA$72:$CA$95,CA143)+COUNTIF($CB$72:$CB$95,CA143)+COUNTIF($CC$72:$CC$95,CA143)+COUNTIF($CD$72:$CD$95,CA143)+COUNTIF($CA$100:$CA$123,CA143)+COUNTIF($CB$100:$CB$123,CA143)+COUNTIF($CC$100:$CC$123,CA143)+COUNTIF($CD$100:$CD$123,CA143)+COUNTIF($CA$128:CA143,CA143),"000"))</f>
        <v/>
      </c>
      <c r="D143" s="9" t="str">
        <f>IF(AND($BN$21&lt;&gt;"",($BM$21+16)&lt;=$BO$21),$BN$21,"")</f>
        <v/>
      </c>
      <c r="E143" s="9" t="str">
        <f>IF(AND($BN$21&lt;&gt;"",($BM$21+16)&lt;=$BO$21),TEXT(($BM$21+16),"00"),"")</f>
        <v/>
      </c>
      <c r="F143" s="9" t="str">
        <f>IF(AND($BN$21&lt;&gt;"",($BM$21+16)&lt;=$BO$21),$BN$21&amp;"-"&amp;TEXT(($BM$21+16),"00"),"")</f>
        <v/>
      </c>
      <c r="H143" s="6"/>
      <c r="I143" s="9" t="str">
        <f>IF(CB143="","",CB143&amp;"-"&amp;TEXT(COUNTIF($CA$72:$CA$95,CB143)+COUNTIF($CB$72:$CB$95,CB143)+COUNTIF($CC$72:$CC$95,CB143)+COUNTIF($CD$72:$CD$95,CB143)+COUNTIF($CA$100:$CA$123,CB143)+COUNTIF($CB$100:$CB$123,CB143)+COUNTIF($CC$100:$CC$123,CB143)+COUNTIF($CD$100:$CD$123,CB143)+COUNTIF($CA$128:$CA$151,CB143)+COUNTIF($CB$128:CB143,CB143),"000"))</f>
        <v/>
      </c>
      <c r="J143" s="9" t="str">
        <f>IF(AND($BN$22&lt;&gt;"",($BM$22+16)&lt;=$BO$22),$BN$22,"")</f>
        <v/>
      </c>
      <c r="K143" s="9" t="str">
        <f>IF(AND($BN$22&lt;&gt;"",($BM$22+16)&lt;=$BO$22),TEXT(($BM$22+16),"00"),"")</f>
        <v/>
      </c>
      <c r="L143" s="9" t="str">
        <f>IF(AND($BN$22&lt;&gt;"",($BM$22+16)&lt;=$BO$22),$BN$22&amp;"-"&amp;TEXT(($BM$22+16),"00"),"")</f>
        <v/>
      </c>
      <c r="N143" s="6"/>
      <c r="O143" s="9" t="str">
        <f>IF(CC143="","",CC143&amp;"-"&amp;TEXT(COUNTIF($CA$72:$CA$95,CC143)+COUNTIF($CB$72:$CB$95,CC143)+COUNTIF($CC$72:$CC$95,CC143)+COUNTIF($CD$72:$CD$95,CC143)+COUNTIF($CA$100:$CA$123,CC143)+COUNTIF($CB$100:$CB$123,CC143)+COUNTIF($CC$100:$CC$123,CC143)+COUNTIF($CD$100:$CD$123,CC143)+COUNTIF($CA$128:$CA$151,CC143)+COUNTIF($CB$128:$CB$151,CC143)+COUNTIF($CC$128:CC143,CC143),"000"))</f>
        <v/>
      </c>
      <c r="P143" s="9" t="str">
        <f>IF(AND($BN$23&lt;&gt;"",($BM$23+16)&lt;=$BO$23),$BN$23,"")</f>
        <v/>
      </c>
      <c r="Q143" s="9" t="str">
        <f>IF(AND($BN$23&lt;&gt;"",($BM$23+16)&lt;=$BO$23),TEXT(($BM$23+16),"00"),"")</f>
        <v/>
      </c>
      <c r="R143" s="9" t="str">
        <f>IF(AND($BN$23&lt;&gt;"",($BM$23+16)&lt;=$BO$23),$BN$23&amp;"-"&amp;TEXT(($BM$23+16),"00"),"")</f>
        <v/>
      </c>
      <c r="T143" s="6"/>
      <c r="U143" s="9" t="str">
        <f>IF(CD143="","",CD143&amp;"-"&amp;TEXT(COUNTIF($CA$72:$CA$95,CD143)+COUNTIF($CB$72:$CB$95,CD143)+COUNTIF($CC$72:$CC$95,CD143)+COUNTIF($CD$72:$CD$95,CD143)+COUNTIF($CA$100:$CA$123,CD143)+COUNTIF($CB$100:$CB$123,CD143)+COUNTIF($CC$100:$CC$123,CD143)+COUNTIF($CD$100:$CD$123,CD143)+COUNTIF($CA$128:$CA$151,CD143)+COUNTIF($CB$128:$CB$151,CD143)+COUNTIF($CC$128:$CC$151,CD143)+COUNTIF($CD$128:CD143,CD143),"000"))</f>
        <v/>
      </c>
      <c r="V143" s="9" t="str">
        <f>IF(AND($BN$24&lt;&gt;"",($BM$24+16)&lt;=$BO$24),$BN$24,"")</f>
        <v/>
      </c>
      <c r="W143" s="9" t="str">
        <f>IF(AND($BN$24&lt;&gt;"",($BM$24+16)&lt;=$BO$24),TEXT(($BM$24+16),"00"),"")</f>
        <v/>
      </c>
      <c r="X143" s="9" t="str">
        <f>IF(AND($BN$24&lt;&gt;"",($BM$24+16)&lt;=$BO$24),$BN$24&amp;"-"&amp;TEXT(($BM$24+16),"00"),"")</f>
        <v/>
      </c>
      <c r="CA143" t="str" cm="1">
        <f t="array" ref="CA143">IF(NOT(AND($BN$21&lt;&gt;"",($BM$21+16)&lt;=$BO$21)),"",IF(B143&lt;&gt;"",IF(B143="-","",B143),IF(ISNUMBER(SEARCH(":",$BP$21)),IFERROR(_xlfn.LET(_xlpm.s,_xlfn.TEXTSPLIT($BP$21,","),_xlpm.k,FIND(":",_xlpm.s),INDEX(TRIM(LEFT(_xlpm.s,_xlpm.k-1)),_xlfn.XMATCH(($BM$21+16),_xlfn.SCAN(0,--MID(_xlpm.s,_xlpm.k+1,9),_xlfn.LAMBDA(_xlpm.a,_xlpm.v,_xlpm.a+_xlpm.v)),1))),""),IF(($BM$21+16)&lt;=$BQ$21,$BP$21,""))))</f>
        <v/>
      </c>
      <c r="CB143" t="str" cm="1">
        <f t="array" ref="CB143">IF(NOT(AND($BN$22&lt;&gt;"",($BM$22+16)&lt;=$BO$22)),"",IF(H143&lt;&gt;"",IF(H143="-","",H143),IF(ISNUMBER(SEARCH(":",$BP$22)),IFERROR(_xlfn.LET(_xlpm.s,_xlfn.TEXTSPLIT($BP$22,","),_xlpm.k,FIND(":",_xlpm.s),INDEX(TRIM(LEFT(_xlpm.s,_xlpm.k-1)),_xlfn.XMATCH(($BM$22+16),_xlfn.SCAN(0,--MID(_xlpm.s,_xlpm.k+1,9),_xlfn.LAMBDA(_xlpm.a,_xlpm.v,_xlpm.a+_xlpm.v)),1))),""),IF(($BM$22+16)&lt;=$BQ$22,$BP$22,""))))</f>
        <v/>
      </c>
      <c r="CC143" t="str" cm="1">
        <f t="array" ref="CC143">IF(NOT(AND($BN$23&lt;&gt;"",($BM$23+16)&lt;=$BO$23)),"",IF(N143&lt;&gt;"",IF(N143="-","",N143),IF(ISNUMBER(SEARCH(":",$BP$23)),IFERROR(_xlfn.LET(_xlpm.s,_xlfn.TEXTSPLIT($BP$23,","),_xlpm.k,FIND(":",_xlpm.s),INDEX(TRIM(LEFT(_xlpm.s,_xlpm.k-1)),_xlfn.XMATCH(($BM$23+16),_xlfn.SCAN(0,--MID(_xlpm.s,_xlpm.k+1,9),_xlfn.LAMBDA(_xlpm.a,_xlpm.v,_xlpm.a+_xlpm.v)),1))),""),IF(($BM$23+16)&lt;=$BQ$23,$BP$23,""))))</f>
        <v/>
      </c>
      <c r="CD143" t="str" cm="1">
        <f t="array" ref="CD143">IF(NOT(AND($BN$24&lt;&gt;"",($BM$24+16)&lt;=$BO$24)),"",IF(T143&lt;&gt;"",IF(T143="-","",T143),IF(ISNUMBER(SEARCH(":",$BP$24)),IFERROR(_xlfn.LET(_xlpm.s,_xlfn.TEXTSPLIT($BP$24,","),_xlpm.k,FIND(":",_xlpm.s),INDEX(TRIM(LEFT(_xlpm.s,_xlpm.k-1)),_xlfn.XMATCH(($BM$24+16),_xlfn.SCAN(0,--MID(_xlpm.s,_xlpm.k+1,9),_xlfn.LAMBDA(_xlpm.a,_xlpm.v,_xlpm.a+_xlpm.v)),1))),""),IF(($BM$24+16)&lt;=$BQ$24,$BP$24,""))))</f>
        <v/>
      </c>
    </row>
    <row r="144" spans="2:82" hidden="1" x14ac:dyDescent="0.45">
      <c r="B144" s="6"/>
      <c r="C144" s="9" t="str">
        <f>IF(CA144="","",CA144&amp;"-"&amp;TEXT(COUNTIF($CA$72:$CA$95,CA144)+COUNTIF($CB$72:$CB$95,CA144)+COUNTIF($CC$72:$CC$95,CA144)+COUNTIF($CD$72:$CD$95,CA144)+COUNTIF($CA$100:$CA$123,CA144)+COUNTIF($CB$100:$CB$123,CA144)+COUNTIF($CC$100:$CC$123,CA144)+COUNTIF($CD$100:$CD$123,CA144)+COUNTIF($CA$128:CA144,CA144),"000"))</f>
        <v/>
      </c>
      <c r="D144" s="9" t="str">
        <f>IF(AND($BN$21&lt;&gt;"",($BM$21+17)&lt;=$BO$21),$BN$21,"")</f>
        <v/>
      </c>
      <c r="E144" s="9" t="str">
        <f>IF(AND($BN$21&lt;&gt;"",($BM$21+17)&lt;=$BO$21),TEXT(($BM$21+17),"00"),"")</f>
        <v/>
      </c>
      <c r="F144" s="9" t="str">
        <f>IF(AND($BN$21&lt;&gt;"",($BM$21+17)&lt;=$BO$21),$BN$21&amp;"-"&amp;TEXT(($BM$21+17),"00"),"")</f>
        <v/>
      </c>
      <c r="H144" s="6"/>
      <c r="I144" s="9" t="str">
        <f>IF(CB144="","",CB144&amp;"-"&amp;TEXT(COUNTIF($CA$72:$CA$95,CB144)+COUNTIF($CB$72:$CB$95,CB144)+COUNTIF($CC$72:$CC$95,CB144)+COUNTIF($CD$72:$CD$95,CB144)+COUNTIF($CA$100:$CA$123,CB144)+COUNTIF($CB$100:$CB$123,CB144)+COUNTIF($CC$100:$CC$123,CB144)+COUNTIF($CD$100:$CD$123,CB144)+COUNTIF($CA$128:$CA$151,CB144)+COUNTIF($CB$128:CB144,CB144),"000"))</f>
        <v/>
      </c>
      <c r="J144" s="9" t="str">
        <f>IF(AND($BN$22&lt;&gt;"",($BM$22+17)&lt;=$BO$22),$BN$22,"")</f>
        <v/>
      </c>
      <c r="K144" s="9" t="str">
        <f>IF(AND($BN$22&lt;&gt;"",($BM$22+17)&lt;=$BO$22),TEXT(($BM$22+17),"00"),"")</f>
        <v/>
      </c>
      <c r="L144" s="9" t="str">
        <f>IF(AND($BN$22&lt;&gt;"",($BM$22+17)&lt;=$BO$22),$BN$22&amp;"-"&amp;TEXT(($BM$22+17),"00"),"")</f>
        <v/>
      </c>
      <c r="N144" s="6"/>
      <c r="O144" s="9" t="str">
        <f>IF(CC144="","",CC144&amp;"-"&amp;TEXT(COUNTIF($CA$72:$CA$95,CC144)+COUNTIF($CB$72:$CB$95,CC144)+COUNTIF($CC$72:$CC$95,CC144)+COUNTIF($CD$72:$CD$95,CC144)+COUNTIF($CA$100:$CA$123,CC144)+COUNTIF($CB$100:$CB$123,CC144)+COUNTIF($CC$100:$CC$123,CC144)+COUNTIF($CD$100:$CD$123,CC144)+COUNTIF($CA$128:$CA$151,CC144)+COUNTIF($CB$128:$CB$151,CC144)+COUNTIF($CC$128:CC144,CC144),"000"))</f>
        <v/>
      </c>
      <c r="P144" s="9" t="str">
        <f>IF(AND($BN$23&lt;&gt;"",($BM$23+17)&lt;=$BO$23),$BN$23,"")</f>
        <v/>
      </c>
      <c r="Q144" s="9" t="str">
        <f>IF(AND($BN$23&lt;&gt;"",($BM$23+17)&lt;=$BO$23),TEXT(($BM$23+17),"00"),"")</f>
        <v/>
      </c>
      <c r="R144" s="9" t="str">
        <f>IF(AND($BN$23&lt;&gt;"",($BM$23+17)&lt;=$BO$23),$BN$23&amp;"-"&amp;TEXT(($BM$23+17),"00"),"")</f>
        <v/>
      </c>
      <c r="T144" s="6"/>
      <c r="U144" s="9" t="str">
        <f>IF(CD144="","",CD144&amp;"-"&amp;TEXT(COUNTIF($CA$72:$CA$95,CD144)+COUNTIF($CB$72:$CB$95,CD144)+COUNTIF($CC$72:$CC$95,CD144)+COUNTIF($CD$72:$CD$95,CD144)+COUNTIF($CA$100:$CA$123,CD144)+COUNTIF($CB$100:$CB$123,CD144)+COUNTIF($CC$100:$CC$123,CD144)+COUNTIF($CD$100:$CD$123,CD144)+COUNTIF($CA$128:$CA$151,CD144)+COUNTIF($CB$128:$CB$151,CD144)+COUNTIF($CC$128:$CC$151,CD144)+COUNTIF($CD$128:CD144,CD144),"000"))</f>
        <v/>
      </c>
      <c r="V144" s="9" t="str">
        <f>IF(AND($BN$24&lt;&gt;"",($BM$24+17)&lt;=$BO$24),$BN$24,"")</f>
        <v/>
      </c>
      <c r="W144" s="9" t="str">
        <f>IF(AND($BN$24&lt;&gt;"",($BM$24+17)&lt;=$BO$24),TEXT(($BM$24+17),"00"),"")</f>
        <v/>
      </c>
      <c r="X144" s="9" t="str">
        <f>IF(AND($BN$24&lt;&gt;"",($BM$24+17)&lt;=$BO$24),$BN$24&amp;"-"&amp;TEXT(($BM$24+17),"00"),"")</f>
        <v/>
      </c>
      <c r="CA144" t="str" cm="1">
        <f t="array" ref="CA144">IF(NOT(AND($BN$21&lt;&gt;"",($BM$21+17)&lt;=$BO$21)),"",IF(B144&lt;&gt;"",IF(B144="-","",B144),IF(ISNUMBER(SEARCH(":",$BP$21)),IFERROR(_xlfn.LET(_xlpm.s,_xlfn.TEXTSPLIT($BP$21,","),_xlpm.k,FIND(":",_xlpm.s),INDEX(TRIM(LEFT(_xlpm.s,_xlpm.k-1)),_xlfn.XMATCH(($BM$21+17),_xlfn.SCAN(0,--MID(_xlpm.s,_xlpm.k+1,9),_xlfn.LAMBDA(_xlpm.a,_xlpm.v,_xlpm.a+_xlpm.v)),1))),""),IF(($BM$21+17)&lt;=$BQ$21,$BP$21,""))))</f>
        <v/>
      </c>
      <c r="CB144" t="str" cm="1">
        <f t="array" ref="CB144">IF(NOT(AND($BN$22&lt;&gt;"",($BM$22+17)&lt;=$BO$22)),"",IF(H144&lt;&gt;"",IF(H144="-","",H144),IF(ISNUMBER(SEARCH(":",$BP$22)),IFERROR(_xlfn.LET(_xlpm.s,_xlfn.TEXTSPLIT($BP$22,","),_xlpm.k,FIND(":",_xlpm.s),INDEX(TRIM(LEFT(_xlpm.s,_xlpm.k-1)),_xlfn.XMATCH(($BM$22+17),_xlfn.SCAN(0,--MID(_xlpm.s,_xlpm.k+1,9),_xlfn.LAMBDA(_xlpm.a,_xlpm.v,_xlpm.a+_xlpm.v)),1))),""),IF(($BM$22+17)&lt;=$BQ$22,$BP$22,""))))</f>
        <v/>
      </c>
      <c r="CC144" t="str" cm="1">
        <f t="array" ref="CC144">IF(NOT(AND($BN$23&lt;&gt;"",($BM$23+17)&lt;=$BO$23)),"",IF(N144&lt;&gt;"",IF(N144="-","",N144),IF(ISNUMBER(SEARCH(":",$BP$23)),IFERROR(_xlfn.LET(_xlpm.s,_xlfn.TEXTSPLIT($BP$23,","),_xlpm.k,FIND(":",_xlpm.s),INDEX(TRIM(LEFT(_xlpm.s,_xlpm.k-1)),_xlfn.XMATCH(($BM$23+17),_xlfn.SCAN(0,--MID(_xlpm.s,_xlpm.k+1,9),_xlfn.LAMBDA(_xlpm.a,_xlpm.v,_xlpm.a+_xlpm.v)),1))),""),IF(($BM$23+17)&lt;=$BQ$23,$BP$23,""))))</f>
        <v/>
      </c>
      <c r="CD144" t="str" cm="1">
        <f t="array" ref="CD144">IF(NOT(AND($BN$24&lt;&gt;"",($BM$24+17)&lt;=$BO$24)),"",IF(T144&lt;&gt;"",IF(T144="-","",T144),IF(ISNUMBER(SEARCH(":",$BP$24)),IFERROR(_xlfn.LET(_xlpm.s,_xlfn.TEXTSPLIT($BP$24,","),_xlpm.k,FIND(":",_xlpm.s),INDEX(TRIM(LEFT(_xlpm.s,_xlpm.k-1)),_xlfn.XMATCH(($BM$24+17),_xlfn.SCAN(0,--MID(_xlpm.s,_xlpm.k+1,9),_xlfn.LAMBDA(_xlpm.a,_xlpm.v,_xlpm.a+_xlpm.v)),1))),""),IF(($BM$24+17)&lt;=$BQ$24,$BP$24,""))))</f>
        <v/>
      </c>
    </row>
    <row r="145" spans="2:82" hidden="1" x14ac:dyDescent="0.45">
      <c r="B145" s="6"/>
      <c r="C145" s="9" t="str">
        <f>IF(CA145="","",CA145&amp;"-"&amp;TEXT(COUNTIF($CA$72:$CA$95,CA145)+COUNTIF($CB$72:$CB$95,CA145)+COUNTIF($CC$72:$CC$95,CA145)+COUNTIF($CD$72:$CD$95,CA145)+COUNTIF($CA$100:$CA$123,CA145)+COUNTIF($CB$100:$CB$123,CA145)+COUNTIF($CC$100:$CC$123,CA145)+COUNTIF($CD$100:$CD$123,CA145)+COUNTIF($CA$128:CA145,CA145),"000"))</f>
        <v/>
      </c>
      <c r="D145" s="9" t="str">
        <f>IF(AND($BN$21&lt;&gt;"",($BM$21+18)&lt;=$BO$21),$BN$21,"")</f>
        <v/>
      </c>
      <c r="E145" s="9" t="str">
        <f>IF(AND($BN$21&lt;&gt;"",($BM$21+18)&lt;=$BO$21),TEXT(($BM$21+18),"00"),"")</f>
        <v/>
      </c>
      <c r="F145" s="9" t="str">
        <f>IF(AND($BN$21&lt;&gt;"",($BM$21+18)&lt;=$BO$21),$BN$21&amp;"-"&amp;TEXT(($BM$21+18),"00"),"")</f>
        <v/>
      </c>
      <c r="H145" s="6"/>
      <c r="I145" s="9" t="str">
        <f>IF(CB145="","",CB145&amp;"-"&amp;TEXT(COUNTIF($CA$72:$CA$95,CB145)+COUNTIF($CB$72:$CB$95,CB145)+COUNTIF($CC$72:$CC$95,CB145)+COUNTIF($CD$72:$CD$95,CB145)+COUNTIF($CA$100:$CA$123,CB145)+COUNTIF($CB$100:$CB$123,CB145)+COUNTIF($CC$100:$CC$123,CB145)+COUNTIF($CD$100:$CD$123,CB145)+COUNTIF($CA$128:$CA$151,CB145)+COUNTIF($CB$128:CB145,CB145),"000"))</f>
        <v/>
      </c>
      <c r="J145" s="9" t="str">
        <f>IF(AND($BN$22&lt;&gt;"",($BM$22+18)&lt;=$BO$22),$BN$22,"")</f>
        <v/>
      </c>
      <c r="K145" s="9" t="str">
        <f>IF(AND($BN$22&lt;&gt;"",($BM$22+18)&lt;=$BO$22),TEXT(($BM$22+18),"00"),"")</f>
        <v/>
      </c>
      <c r="L145" s="9" t="str">
        <f>IF(AND($BN$22&lt;&gt;"",($BM$22+18)&lt;=$BO$22),$BN$22&amp;"-"&amp;TEXT(($BM$22+18),"00"),"")</f>
        <v/>
      </c>
      <c r="N145" s="6"/>
      <c r="O145" s="9" t="str">
        <f>IF(CC145="","",CC145&amp;"-"&amp;TEXT(COUNTIF($CA$72:$CA$95,CC145)+COUNTIF($CB$72:$CB$95,CC145)+COUNTIF($CC$72:$CC$95,CC145)+COUNTIF($CD$72:$CD$95,CC145)+COUNTIF($CA$100:$CA$123,CC145)+COUNTIF($CB$100:$CB$123,CC145)+COUNTIF($CC$100:$CC$123,CC145)+COUNTIF($CD$100:$CD$123,CC145)+COUNTIF($CA$128:$CA$151,CC145)+COUNTIF($CB$128:$CB$151,CC145)+COUNTIF($CC$128:CC145,CC145),"000"))</f>
        <v/>
      </c>
      <c r="P145" s="9" t="str">
        <f>IF(AND($BN$23&lt;&gt;"",($BM$23+18)&lt;=$BO$23),$BN$23,"")</f>
        <v/>
      </c>
      <c r="Q145" s="9" t="str">
        <f>IF(AND($BN$23&lt;&gt;"",($BM$23+18)&lt;=$BO$23),TEXT(($BM$23+18),"00"),"")</f>
        <v/>
      </c>
      <c r="R145" s="9" t="str">
        <f>IF(AND($BN$23&lt;&gt;"",($BM$23+18)&lt;=$BO$23),$BN$23&amp;"-"&amp;TEXT(($BM$23+18),"00"),"")</f>
        <v/>
      </c>
      <c r="T145" s="6"/>
      <c r="U145" s="9" t="str">
        <f>IF(CD145="","",CD145&amp;"-"&amp;TEXT(COUNTIF($CA$72:$CA$95,CD145)+COUNTIF($CB$72:$CB$95,CD145)+COUNTIF($CC$72:$CC$95,CD145)+COUNTIF($CD$72:$CD$95,CD145)+COUNTIF($CA$100:$CA$123,CD145)+COUNTIF($CB$100:$CB$123,CD145)+COUNTIF($CC$100:$CC$123,CD145)+COUNTIF($CD$100:$CD$123,CD145)+COUNTIF($CA$128:$CA$151,CD145)+COUNTIF($CB$128:$CB$151,CD145)+COUNTIF($CC$128:$CC$151,CD145)+COUNTIF($CD$128:CD145,CD145),"000"))</f>
        <v/>
      </c>
      <c r="V145" s="9" t="str">
        <f>IF(AND($BN$24&lt;&gt;"",($BM$24+18)&lt;=$BO$24),$BN$24,"")</f>
        <v/>
      </c>
      <c r="W145" s="9" t="str">
        <f>IF(AND($BN$24&lt;&gt;"",($BM$24+18)&lt;=$BO$24),TEXT(($BM$24+18),"00"),"")</f>
        <v/>
      </c>
      <c r="X145" s="9" t="str">
        <f>IF(AND($BN$24&lt;&gt;"",($BM$24+18)&lt;=$BO$24),$BN$24&amp;"-"&amp;TEXT(($BM$24+18),"00"),"")</f>
        <v/>
      </c>
      <c r="CA145" t="str" cm="1">
        <f t="array" ref="CA145">IF(NOT(AND($BN$21&lt;&gt;"",($BM$21+18)&lt;=$BO$21)),"",IF(B145&lt;&gt;"",IF(B145="-","",B145),IF(ISNUMBER(SEARCH(":",$BP$21)),IFERROR(_xlfn.LET(_xlpm.s,_xlfn.TEXTSPLIT($BP$21,","),_xlpm.k,FIND(":",_xlpm.s),INDEX(TRIM(LEFT(_xlpm.s,_xlpm.k-1)),_xlfn.XMATCH(($BM$21+18),_xlfn.SCAN(0,--MID(_xlpm.s,_xlpm.k+1,9),_xlfn.LAMBDA(_xlpm.a,_xlpm.v,_xlpm.a+_xlpm.v)),1))),""),IF(($BM$21+18)&lt;=$BQ$21,$BP$21,""))))</f>
        <v/>
      </c>
      <c r="CB145" t="str" cm="1">
        <f t="array" ref="CB145">IF(NOT(AND($BN$22&lt;&gt;"",($BM$22+18)&lt;=$BO$22)),"",IF(H145&lt;&gt;"",IF(H145="-","",H145),IF(ISNUMBER(SEARCH(":",$BP$22)),IFERROR(_xlfn.LET(_xlpm.s,_xlfn.TEXTSPLIT($BP$22,","),_xlpm.k,FIND(":",_xlpm.s),INDEX(TRIM(LEFT(_xlpm.s,_xlpm.k-1)),_xlfn.XMATCH(($BM$22+18),_xlfn.SCAN(0,--MID(_xlpm.s,_xlpm.k+1,9),_xlfn.LAMBDA(_xlpm.a,_xlpm.v,_xlpm.a+_xlpm.v)),1))),""),IF(($BM$22+18)&lt;=$BQ$22,$BP$22,""))))</f>
        <v/>
      </c>
      <c r="CC145" t="str" cm="1">
        <f t="array" ref="CC145">IF(NOT(AND($BN$23&lt;&gt;"",($BM$23+18)&lt;=$BO$23)),"",IF(N145&lt;&gt;"",IF(N145="-","",N145),IF(ISNUMBER(SEARCH(":",$BP$23)),IFERROR(_xlfn.LET(_xlpm.s,_xlfn.TEXTSPLIT($BP$23,","),_xlpm.k,FIND(":",_xlpm.s),INDEX(TRIM(LEFT(_xlpm.s,_xlpm.k-1)),_xlfn.XMATCH(($BM$23+18),_xlfn.SCAN(0,--MID(_xlpm.s,_xlpm.k+1,9),_xlfn.LAMBDA(_xlpm.a,_xlpm.v,_xlpm.a+_xlpm.v)),1))),""),IF(($BM$23+18)&lt;=$BQ$23,$BP$23,""))))</f>
        <v/>
      </c>
      <c r="CD145" t="str" cm="1">
        <f t="array" ref="CD145">IF(NOT(AND($BN$24&lt;&gt;"",($BM$24+18)&lt;=$BO$24)),"",IF(T145&lt;&gt;"",IF(T145="-","",T145),IF(ISNUMBER(SEARCH(":",$BP$24)),IFERROR(_xlfn.LET(_xlpm.s,_xlfn.TEXTSPLIT($BP$24,","),_xlpm.k,FIND(":",_xlpm.s),INDEX(TRIM(LEFT(_xlpm.s,_xlpm.k-1)),_xlfn.XMATCH(($BM$24+18),_xlfn.SCAN(0,--MID(_xlpm.s,_xlpm.k+1,9),_xlfn.LAMBDA(_xlpm.a,_xlpm.v,_xlpm.a+_xlpm.v)),1))),""),IF(($BM$24+18)&lt;=$BQ$24,$BP$24,""))))</f>
        <v/>
      </c>
    </row>
    <row r="146" spans="2:82" hidden="1" x14ac:dyDescent="0.45">
      <c r="B146" s="6"/>
      <c r="C146" s="9" t="str">
        <f>IF(CA146="","",CA146&amp;"-"&amp;TEXT(COUNTIF($CA$72:$CA$95,CA146)+COUNTIF($CB$72:$CB$95,CA146)+COUNTIF($CC$72:$CC$95,CA146)+COUNTIF($CD$72:$CD$95,CA146)+COUNTIF($CA$100:$CA$123,CA146)+COUNTIF($CB$100:$CB$123,CA146)+COUNTIF($CC$100:$CC$123,CA146)+COUNTIF($CD$100:$CD$123,CA146)+COUNTIF($CA$128:CA146,CA146),"000"))</f>
        <v/>
      </c>
      <c r="D146" s="9" t="str">
        <f>IF(AND($BN$21&lt;&gt;"",($BM$21+19)&lt;=$BO$21),$BN$21,"")</f>
        <v/>
      </c>
      <c r="E146" s="9" t="str">
        <f>IF(AND($BN$21&lt;&gt;"",($BM$21+19)&lt;=$BO$21),TEXT(($BM$21+19),"00"),"")</f>
        <v/>
      </c>
      <c r="F146" s="9" t="str">
        <f>IF(AND($BN$21&lt;&gt;"",($BM$21+19)&lt;=$BO$21),$BN$21&amp;"-"&amp;TEXT(($BM$21+19),"00"),"")</f>
        <v/>
      </c>
      <c r="H146" s="6"/>
      <c r="I146" s="9" t="str">
        <f>IF(CB146="","",CB146&amp;"-"&amp;TEXT(COUNTIF($CA$72:$CA$95,CB146)+COUNTIF($CB$72:$CB$95,CB146)+COUNTIF($CC$72:$CC$95,CB146)+COUNTIF($CD$72:$CD$95,CB146)+COUNTIF($CA$100:$CA$123,CB146)+COUNTIF($CB$100:$CB$123,CB146)+COUNTIF($CC$100:$CC$123,CB146)+COUNTIF($CD$100:$CD$123,CB146)+COUNTIF($CA$128:$CA$151,CB146)+COUNTIF($CB$128:CB146,CB146),"000"))</f>
        <v/>
      </c>
      <c r="J146" s="9" t="str">
        <f>IF(AND($BN$22&lt;&gt;"",($BM$22+19)&lt;=$BO$22),$BN$22,"")</f>
        <v/>
      </c>
      <c r="K146" s="9" t="str">
        <f>IF(AND($BN$22&lt;&gt;"",($BM$22+19)&lt;=$BO$22),TEXT(($BM$22+19),"00"),"")</f>
        <v/>
      </c>
      <c r="L146" s="9" t="str">
        <f>IF(AND($BN$22&lt;&gt;"",($BM$22+19)&lt;=$BO$22),$BN$22&amp;"-"&amp;TEXT(($BM$22+19),"00"),"")</f>
        <v/>
      </c>
      <c r="N146" s="6"/>
      <c r="O146" s="9" t="str">
        <f>IF(CC146="","",CC146&amp;"-"&amp;TEXT(COUNTIF($CA$72:$CA$95,CC146)+COUNTIF($CB$72:$CB$95,CC146)+COUNTIF($CC$72:$CC$95,CC146)+COUNTIF($CD$72:$CD$95,CC146)+COUNTIF($CA$100:$CA$123,CC146)+COUNTIF($CB$100:$CB$123,CC146)+COUNTIF($CC$100:$CC$123,CC146)+COUNTIF($CD$100:$CD$123,CC146)+COUNTIF($CA$128:$CA$151,CC146)+COUNTIF($CB$128:$CB$151,CC146)+COUNTIF($CC$128:CC146,CC146),"000"))</f>
        <v/>
      </c>
      <c r="P146" s="9" t="str">
        <f>IF(AND($BN$23&lt;&gt;"",($BM$23+19)&lt;=$BO$23),$BN$23,"")</f>
        <v/>
      </c>
      <c r="Q146" s="9" t="str">
        <f>IF(AND($BN$23&lt;&gt;"",($BM$23+19)&lt;=$BO$23),TEXT(($BM$23+19),"00"),"")</f>
        <v/>
      </c>
      <c r="R146" s="9" t="str">
        <f>IF(AND($BN$23&lt;&gt;"",($BM$23+19)&lt;=$BO$23),$BN$23&amp;"-"&amp;TEXT(($BM$23+19),"00"),"")</f>
        <v/>
      </c>
      <c r="T146" s="6"/>
      <c r="U146" s="9" t="str">
        <f>IF(CD146="","",CD146&amp;"-"&amp;TEXT(COUNTIF($CA$72:$CA$95,CD146)+COUNTIF($CB$72:$CB$95,CD146)+COUNTIF($CC$72:$CC$95,CD146)+COUNTIF($CD$72:$CD$95,CD146)+COUNTIF($CA$100:$CA$123,CD146)+COUNTIF($CB$100:$CB$123,CD146)+COUNTIF($CC$100:$CC$123,CD146)+COUNTIF($CD$100:$CD$123,CD146)+COUNTIF($CA$128:$CA$151,CD146)+COUNTIF($CB$128:$CB$151,CD146)+COUNTIF($CC$128:$CC$151,CD146)+COUNTIF($CD$128:CD146,CD146),"000"))</f>
        <v/>
      </c>
      <c r="V146" s="9" t="str">
        <f>IF(AND($BN$24&lt;&gt;"",($BM$24+19)&lt;=$BO$24),$BN$24,"")</f>
        <v/>
      </c>
      <c r="W146" s="9" t="str">
        <f>IF(AND($BN$24&lt;&gt;"",($BM$24+19)&lt;=$BO$24),TEXT(($BM$24+19),"00"),"")</f>
        <v/>
      </c>
      <c r="X146" s="9" t="str">
        <f>IF(AND($BN$24&lt;&gt;"",($BM$24+19)&lt;=$BO$24),$BN$24&amp;"-"&amp;TEXT(($BM$24+19),"00"),"")</f>
        <v/>
      </c>
      <c r="CA146" t="str" cm="1">
        <f t="array" ref="CA146">IF(NOT(AND($BN$21&lt;&gt;"",($BM$21+19)&lt;=$BO$21)),"",IF(B146&lt;&gt;"",IF(B146="-","",B146),IF(ISNUMBER(SEARCH(":",$BP$21)),IFERROR(_xlfn.LET(_xlpm.s,_xlfn.TEXTSPLIT($BP$21,","),_xlpm.k,FIND(":",_xlpm.s),INDEX(TRIM(LEFT(_xlpm.s,_xlpm.k-1)),_xlfn.XMATCH(($BM$21+19),_xlfn.SCAN(0,--MID(_xlpm.s,_xlpm.k+1,9),_xlfn.LAMBDA(_xlpm.a,_xlpm.v,_xlpm.a+_xlpm.v)),1))),""),IF(($BM$21+19)&lt;=$BQ$21,$BP$21,""))))</f>
        <v/>
      </c>
      <c r="CB146" t="str" cm="1">
        <f t="array" ref="CB146">IF(NOT(AND($BN$22&lt;&gt;"",($BM$22+19)&lt;=$BO$22)),"",IF(H146&lt;&gt;"",IF(H146="-","",H146),IF(ISNUMBER(SEARCH(":",$BP$22)),IFERROR(_xlfn.LET(_xlpm.s,_xlfn.TEXTSPLIT($BP$22,","),_xlpm.k,FIND(":",_xlpm.s),INDEX(TRIM(LEFT(_xlpm.s,_xlpm.k-1)),_xlfn.XMATCH(($BM$22+19),_xlfn.SCAN(0,--MID(_xlpm.s,_xlpm.k+1,9),_xlfn.LAMBDA(_xlpm.a,_xlpm.v,_xlpm.a+_xlpm.v)),1))),""),IF(($BM$22+19)&lt;=$BQ$22,$BP$22,""))))</f>
        <v/>
      </c>
      <c r="CC146" t="str" cm="1">
        <f t="array" ref="CC146">IF(NOT(AND($BN$23&lt;&gt;"",($BM$23+19)&lt;=$BO$23)),"",IF(N146&lt;&gt;"",IF(N146="-","",N146),IF(ISNUMBER(SEARCH(":",$BP$23)),IFERROR(_xlfn.LET(_xlpm.s,_xlfn.TEXTSPLIT($BP$23,","),_xlpm.k,FIND(":",_xlpm.s),INDEX(TRIM(LEFT(_xlpm.s,_xlpm.k-1)),_xlfn.XMATCH(($BM$23+19),_xlfn.SCAN(0,--MID(_xlpm.s,_xlpm.k+1,9),_xlfn.LAMBDA(_xlpm.a,_xlpm.v,_xlpm.a+_xlpm.v)),1))),""),IF(($BM$23+19)&lt;=$BQ$23,$BP$23,""))))</f>
        <v/>
      </c>
      <c r="CD146" t="str" cm="1">
        <f t="array" ref="CD146">IF(NOT(AND($BN$24&lt;&gt;"",($BM$24+19)&lt;=$BO$24)),"",IF(T146&lt;&gt;"",IF(T146="-","",T146),IF(ISNUMBER(SEARCH(":",$BP$24)),IFERROR(_xlfn.LET(_xlpm.s,_xlfn.TEXTSPLIT($BP$24,","),_xlpm.k,FIND(":",_xlpm.s),INDEX(TRIM(LEFT(_xlpm.s,_xlpm.k-1)),_xlfn.XMATCH(($BM$24+19),_xlfn.SCAN(0,--MID(_xlpm.s,_xlpm.k+1,9),_xlfn.LAMBDA(_xlpm.a,_xlpm.v,_xlpm.a+_xlpm.v)),1))),""),IF(($BM$24+19)&lt;=$BQ$24,$BP$24,""))))</f>
        <v/>
      </c>
    </row>
    <row r="147" spans="2:82" hidden="1" x14ac:dyDescent="0.45">
      <c r="B147" s="6"/>
      <c r="C147" s="9" t="str">
        <f>IF(CA147="","",CA147&amp;"-"&amp;TEXT(COUNTIF($CA$72:$CA$95,CA147)+COUNTIF($CB$72:$CB$95,CA147)+COUNTIF($CC$72:$CC$95,CA147)+COUNTIF($CD$72:$CD$95,CA147)+COUNTIF($CA$100:$CA$123,CA147)+COUNTIF($CB$100:$CB$123,CA147)+COUNTIF($CC$100:$CC$123,CA147)+COUNTIF($CD$100:$CD$123,CA147)+COUNTIF($CA$128:CA147,CA147),"000"))</f>
        <v/>
      </c>
      <c r="D147" s="9" t="str">
        <f>IF(AND($BN$21&lt;&gt;"",($BM$21+20)&lt;=$BO$21),$BN$21,"")</f>
        <v/>
      </c>
      <c r="E147" s="9" t="str">
        <f>IF(AND($BN$21&lt;&gt;"",($BM$21+20)&lt;=$BO$21),TEXT(($BM$21+20),"00"),"")</f>
        <v/>
      </c>
      <c r="F147" s="9" t="str">
        <f>IF(AND($BN$21&lt;&gt;"",($BM$21+20)&lt;=$BO$21),$BN$21&amp;"-"&amp;TEXT(($BM$21+20),"00"),"")</f>
        <v/>
      </c>
      <c r="H147" s="6"/>
      <c r="I147" s="9" t="str">
        <f>IF(CB147="","",CB147&amp;"-"&amp;TEXT(COUNTIF($CA$72:$CA$95,CB147)+COUNTIF($CB$72:$CB$95,CB147)+COUNTIF($CC$72:$CC$95,CB147)+COUNTIF($CD$72:$CD$95,CB147)+COUNTIF($CA$100:$CA$123,CB147)+COUNTIF($CB$100:$CB$123,CB147)+COUNTIF($CC$100:$CC$123,CB147)+COUNTIF($CD$100:$CD$123,CB147)+COUNTIF($CA$128:$CA$151,CB147)+COUNTIF($CB$128:CB147,CB147),"000"))</f>
        <v/>
      </c>
      <c r="J147" s="9" t="str">
        <f>IF(AND($BN$22&lt;&gt;"",($BM$22+20)&lt;=$BO$22),$BN$22,"")</f>
        <v/>
      </c>
      <c r="K147" s="9" t="str">
        <f>IF(AND($BN$22&lt;&gt;"",($BM$22+20)&lt;=$BO$22),TEXT(($BM$22+20),"00"),"")</f>
        <v/>
      </c>
      <c r="L147" s="9" t="str">
        <f>IF(AND($BN$22&lt;&gt;"",($BM$22+20)&lt;=$BO$22),$BN$22&amp;"-"&amp;TEXT(($BM$22+20),"00"),"")</f>
        <v/>
      </c>
      <c r="N147" s="6"/>
      <c r="O147" s="9" t="str">
        <f>IF(CC147="","",CC147&amp;"-"&amp;TEXT(COUNTIF($CA$72:$CA$95,CC147)+COUNTIF($CB$72:$CB$95,CC147)+COUNTIF($CC$72:$CC$95,CC147)+COUNTIF($CD$72:$CD$95,CC147)+COUNTIF($CA$100:$CA$123,CC147)+COUNTIF($CB$100:$CB$123,CC147)+COUNTIF($CC$100:$CC$123,CC147)+COUNTIF($CD$100:$CD$123,CC147)+COUNTIF($CA$128:$CA$151,CC147)+COUNTIF($CB$128:$CB$151,CC147)+COUNTIF($CC$128:CC147,CC147),"000"))</f>
        <v/>
      </c>
      <c r="P147" s="9" t="str">
        <f>IF(AND($BN$23&lt;&gt;"",($BM$23+20)&lt;=$BO$23),$BN$23,"")</f>
        <v/>
      </c>
      <c r="Q147" s="9" t="str">
        <f>IF(AND($BN$23&lt;&gt;"",($BM$23+20)&lt;=$BO$23),TEXT(($BM$23+20),"00"),"")</f>
        <v/>
      </c>
      <c r="R147" s="9" t="str">
        <f>IF(AND($BN$23&lt;&gt;"",($BM$23+20)&lt;=$BO$23),$BN$23&amp;"-"&amp;TEXT(($BM$23+20),"00"),"")</f>
        <v/>
      </c>
      <c r="T147" s="6"/>
      <c r="U147" s="9" t="str">
        <f>IF(CD147="","",CD147&amp;"-"&amp;TEXT(COUNTIF($CA$72:$CA$95,CD147)+COUNTIF($CB$72:$CB$95,CD147)+COUNTIF($CC$72:$CC$95,CD147)+COUNTIF($CD$72:$CD$95,CD147)+COUNTIF($CA$100:$CA$123,CD147)+COUNTIF($CB$100:$CB$123,CD147)+COUNTIF($CC$100:$CC$123,CD147)+COUNTIF($CD$100:$CD$123,CD147)+COUNTIF($CA$128:$CA$151,CD147)+COUNTIF($CB$128:$CB$151,CD147)+COUNTIF($CC$128:$CC$151,CD147)+COUNTIF($CD$128:CD147,CD147),"000"))</f>
        <v/>
      </c>
      <c r="V147" s="9" t="str">
        <f>IF(AND($BN$24&lt;&gt;"",($BM$24+20)&lt;=$BO$24),$BN$24,"")</f>
        <v/>
      </c>
      <c r="W147" s="9" t="str">
        <f>IF(AND($BN$24&lt;&gt;"",($BM$24+20)&lt;=$BO$24),TEXT(($BM$24+20),"00"),"")</f>
        <v/>
      </c>
      <c r="X147" s="9" t="str">
        <f>IF(AND($BN$24&lt;&gt;"",($BM$24+20)&lt;=$BO$24),$BN$24&amp;"-"&amp;TEXT(($BM$24+20),"00"),"")</f>
        <v/>
      </c>
      <c r="CA147" t="str" cm="1">
        <f t="array" ref="CA147">IF(NOT(AND($BN$21&lt;&gt;"",($BM$21+20)&lt;=$BO$21)),"",IF(B147&lt;&gt;"",IF(B147="-","",B147),IF(ISNUMBER(SEARCH(":",$BP$21)),IFERROR(_xlfn.LET(_xlpm.s,_xlfn.TEXTSPLIT($BP$21,","),_xlpm.k,FIND(":",_xlpm.s),INDEX(TRIM(LEFT(_xlpm.s,_xlpm.k-1)),_xlfn.XMATCH(($BM$21+20),_xlfn.SCAN(0,--MID(_xlpm.s,_xlpm.k+1,9),_xlfn.LAMBDA(_xlpm.a,_xlpm.v,_xlpm.a+_xlpm.v)),1))),""),IF(($BM$21+20)&lt;=$BQ$21,$BP$21,""))))</f>
        <v/>
      </c>
      <c r="CB147" t="str" cm="1">
        <f t="array" ref="CB147">IF(NOT(AND($BN$22&lt;&gt;"",($BM$22+20)&lt;=$BO$22)),"",IF(H147&lt;&gt;"",IF(H147="-","",H147),IF(ISNUMBER(SEARCH(":",$BP$22)),IFERROR(_xlfn.LET(_xlpm.s,_xlfn.TEXTSPLIT($BP$22,","),_xlpm.k,FIND(":",_xlpm.s),INDEX(TRIM(LEFT(_xlpm.s,_xlpm.k-1)),_xlfn.XMATCH(($BM$22+20),_xlfn.SCAN(0,--MID(_xlpm.s,_xlpm.k+1,9),_xlfn.LAMBDA(_xlpm.a,_xlpm.v,_xlpm.a+_xlpm.v)),1))),""),IF(($BM$22+20)&lt;=$BQ$22,$BP$22,""))))</f>
        <v/>
      </c>
      <c r="CC147" t="str" cm="1">
        <f t="array" ref="CC147">IF(NOT(AND($BN$23&lt;&gt;"",($BM$23+20)&lt;=$BO$23)),"",IF(N147&lt;&gt;"",IF(N147="-","",N147),IF(ISNUMBER(SEARCH(":",$BP$23)),IFERROR(_xlfn.LET(_xlpm.s,_xlfn.TEXTSPLIT($BP$23,","),_xlpm.k,FIND(":",_xlpm.s),INDEX(TRIM(LEFT(_xlpm.s,_xlpm.k-1)),_xlfn.XMATCH(($BM$23+20),_xlfn.SCAN(0,--MID(_xlpm.s,_xlpm.k+1,9),_xlfn.LAMBDA(_xlpm.a,_xlpm.v,_xlpm.a+_xlpm.v)),1))),""),IF(($BM$23+20)&lt;=$BQ$23,$BP$23,""))))</f>
        <v/>
      </c>
      <c r="CD147" t="str" cm="1">
        <f t="array" ref="CD147">IF(NOT(AND($BN$24&lt;&gt;"",($BM$24+20)&lt;=$BO$24)),"",IF(T147&lt;&gt;"",IF(T147="-","",T147),IF(ISNUMBER(SEARCH(":",$BP$24)),IFERROR(_xlfn.LET(_xlpm.s,_xlfn.TEXTSPLIT($BP$24,","),_xlpm.k,FIND(":",_xlpm.s),INDEX(TRIM(LEFT(_xlpm.s,_xlpm.k-1)),_xlfn.XMATCH(($BM$24+20),_xlfn.SCAN(0,--MID(_xlpm.s,_xlpm.k+1,9),_xlfn.LAMBDA(_xlpm.a,_xlpm.v,_xlpm.a+_xlpm.v)),1))),""),IF(($BM$24+20)&lt;=$BQ$24,$BP$24,""))))</f>
        <v/>
      </c>
    </row>
    <row r="148" spans="2:82" hidden="1" x14ac:dyDescent="0.45">
      <c r="B148" s="6"/>
      <c r="C148" s="9" t="str">
        <f>IF(CA148="","",CA148&amp;"-"&amp;TEXT(COUNTIF($CA$72:$CA$95,CA148)+COUNTIF($CB$72:$CB$95,CA148)+COUNTIF($CC$72:$CC$95,CA148)+COUNTIF($CD$72:$CD$95,CA148)+COUNTIF($CA$100:$CA$123,CA148)+COUNTIF($CB$100:$CB$123,CA148)+COUNTIF($CC$100:$CC$123,CA148)+COUNTIF($CD$100:$CD$123,CA148)+COUNTIF($CA$128:CA148,CA148),"000"))</f>
        <v/>
      </c>
      <c r="D148" s="9" t="str">
        <f>IF(AND($BN$21&lt;&gt;"",($BM$21+21)&lt;=$BO$21),$BN$21,"")</f>
        <v/>
      </c>
      <c r="E148" s="9" t="str">
        <f>IF(AND($BN$21&lt;&gt;"",($BM$21+21)&lt;=$BO$21),TEXT(($BM$21+21),"00"),"")</f>
        <v/>
      </c>
      <c r="F148" s="9" t="str">
        <f>IF(AND($BN$21&lt;&gt;"",($BM$21+21)&lt;=$BO$21),$BN$21&amp;"-"&amp;TEXT(($BM$21+21),"00"),"")</f>
        <v/>
      </c>
      <c r="H148" s="6"/>
      <c r="I148" s="9" t="str">
        <f>IF(CB148="","",CB148&amp;"-"&amp;TEXT(COUNTIF($CA$72:$CA$95,CB148)+COUNTIF($CB$72:$CB$95,CB148)+COUNTIF($CC$72:$CC$95,CB148)+COUNTIF($CD$72:$CD$95,CB148)+COUNTIF($CA$100:$CA$123,CB148)+COUNTIF($CB$100:$CB$123,CB148)+COUNTIF($CC$100:$CC$123,CB148)+COUNTIF($CD$100:$CD$123,CB148)+COUNTIF($CA$128:$CA$151,CB148)+COUNTIF($CB$128:CB148,CB148),"000"))</f>
        <v/>
      </c>
      <c r="J148" s="9" t="str">
        <f>IF(AND($BN$22&lt;&gt;"",($BM$22+21)&lt;=$BO$22),$BN$22,"")</f>
        <v/>
      </c>
      <c r="K148" s="9" t="str">
        <f>IF(AND($BN$22&lt;&gt;"",($BM$22+21)&lt;=$BO$22),TEXT(($BM$22+21),"00"),"")</f>
        <v/>
      </c>
      <c r="L148" s="9" t="str">
        <f>IF(AND($BN$22&lt;&gt;"",($BM$22+21)&lt;=$BO$22),$BN$22&amp;"-"&amp;TEXT(($BM$22+21),"00"),"")</f>
        <v/>
      </c>
      <c r="N148" s="6"/>
      <c r="O148" s="9" t="str">
        <f>IF(CC148="","",CC148&amp;"-"&amp;TEXT(COUNTIF($CA$72:$CA$95,CC148)+COUNTIF($CB$72:$CB$95,CC148)+COUNTIF($CC$72:$CC$95,CC148)+COUNTIF($CD$72:$CD$95,CC148)+COUNTIF($CA$100:$CA$123,CC148)+COUNTIF($CB$100:$CB$123,CC148)+COUNTIF($CC$100:$CC$123,CC148)+COUNTIF($CD$100:$CD$123,CC148)+COUNTIF($CA$128:$CA$151,CC148)+COUNTIF($CB$128:$CB$151,CC148)+COUNTIF($CC$128:CC148,CC148),"000"))</f>
        <v/>
      </c>
      <c r="P148" s="9" t="str">
        <f>IF(AND($BN$23&lt;&gt;"",($BM$23+21)&lt;=$BO$23),$BN$23,"")</f>
        <v/>
      </c>
      <c r="Q148" s="9" t="str">
        <f>IF(AND($BN$23&lt;&gt;"",($BM$23+21)&lt;=$BO$23),TEXT(($BM$23+21),"00"),"")</f>
        <v/>
      </c>
      <c r="R148" s="9" t="str">
        <f>IF(AND($BN$23&lt;&gt;"",($BM$23+21)&lt;=$BO$23),$BN$23&amp;"-"&amp;TEXT(($BM$23+21),"00"),"")</f>
        <v/>
      </c>
      <c r="T148" s="6"/>
      <c r="U148" s="9" t="str">
        <f>IF(CD148="","",CD148&amp;"-"&amp;TEXT(COUNTIF($CA$72:$CA$95,CD148)+COUNTIF($CB$72:$CB$95,CD148)+COUNTIF($CC$72:$CC$95,CD148)+COUNTIF($CD$72:$CD$95,CD148)+COUNTIF($CA$100:$CA$123,CD148)+COUNTIF($CB$100:$CB$123,CD148)+COUNTIF($CC$100:$CC$123,CD148)+COUNTIF($CD$100:$CD$123,CD148)+COUNTIF($CA$128:$CA$151,CD148)+COUNTIF($CB$128:$CB$151,CD148)+COUNTIF($CC$128:$CC$151,CD148)+COUNTIF($CD$128:CD148,CD148),"000"))</f>
        <v/>
      </c>
      <c r="V148" s="9" t="str">
        <f>IF(AND($BN$24&lt;&gt;"",($BM$24+21)&lt;=$BO$24),$BN$24,"")</f>
        <v/>
      </c>
      <c r="W148" s="9" t="str">
        <f>IF(AND($BN$24&lt;&gt;"",($BM$24+21)&lt;=$BO$24),TEXT(($BM$24+21),"00"),"")</f>
        <v/>
      </c>
      <c r="X148" s="9" t="str">
        <f>IF(AND($BN$24&lt;&gt;"",($BM$24+21)&lt;=$BO$24),$BN$24&amp;"-"&amp;TEXT(($BM$24+21),"00"),"")</f>
        <v/>
      </c>
      <c r="CA148" t="str" cm="1">
        <f t="array" ref="CA148">IF(NOT(AND($BN$21&lt;&gt;"",($BM$21+21)&lt;=$BO$21)),"",IF(B148&lt;&gt;"",IF(B148="-","",B148),IF(ISNUMBER(SEARCH(":",$BP$21)),IFERROR(_xlfn.LET(_xlpm.s,_xlfn.TEXTSPLIT($BP$21,","),_xlpm.k,FIND(":",_xlpm.s),INDEX(TRIM(LEFT(_xlpm.s,_xlpm.k-1)),_xlfn.XMATCH(($BM$21+21),_xlfn.SCAN(0,--MID(_xlpm.s,_xlpm.k+1,9),_xlfn.LAMBDA(_xlpm.a,_xlpm.v,_xlpm.a+_xlpm.v)),1))),""),IF(($BM$21+21)&lt;=$BQ$21,$BP$21,""))))</f>
        <v/>
      </c>
      <c r="CB148" t="str" cm="1">
        <f t="array" ref="CB148">IF(NOT(AND($BN$22&lt;&gt;"",($BM$22+21)&lt;=$BO$22)),"",IF(H148&lt;&gt;"",IF(H148="-","",H148),IF(ISNUMBER(SEARCH(":",$BP$22)),IFERROR(_xlfn.LET(_xlpm.s,_xlfn.TEXTSPLIT($BP$22,","),_xlpm.k,FIND(":",_xlpm.s),INDEX(TRIM(LEFT(_xlpm.s,_xlpm.k-1)),_xlfn.XMATCH(($BM$22+21),_xlfn.SCAN(0,--MID(_xlpm.s,_xlpm.k+1,9),_xlfn.LAMBDA(_xlpm.a,_xlpm.v,_xlpm.a+_xlpm.v)),1))),""),IF(($BM$22+21)&lt;=$BQ$22,$BP$22,""))))</f>
        <v/>
      </c>
      <c r="CC148" t="str" cm="1">
        <f t="array" ref="CC148">IF(NOT(AND($BN$23&lt;&gt;"",($BM$23+21)&lt;=$BO$23)),"",IF(N148&lt;&gt;"",IF(N148="-","",N148),IF(ISNUMBER(SEARCH(":",$BP$23)),IFERROR(_xlfn.LET(_xlpm.s,_xlfn.TEXTSPLIT($BP$23,","),_xlpm.k,FIND(":",_xlpm.s),INDEX(TRIM(LEFT(_xlpm.s,_xlpm.k-1)),_xlfn.XMATCH(($BM$23+21),_xlfn.SCAN(0,--MID(_xlpm.s,_xlpm.k+1,9),_xlfn.LAMBDA(_xlpm.a,_xlpm.v,_xlpm.a+_xlpm.v)),1))),""),IF(($BM$23+21)&lt;=$BQ$23,$BP$23,""))))</f>
        <v/>
      </c>
      <c r="CD148" t="str" cm="1">
        <f t="array" ref="CD148">IF(NOT(AND($BN$24&lt;&gt;"",($BM$24+21)&lt;=$BO$24)),"",IF(T148&lt;&gt;"",IF(T148="-","",T148),IF(ISNUMBER(SEARCH(":",$BP$24)),IFERROR(_xlfn.LET(_xlpm.s,_xlfn.TEXTSPLIT($BP$24,","),_xlpm.k,FIND(":",_xlpm.s),INDEX(TRIM(LEFT(_xlpm.s,_xlpm.k-1)),_xlfn.XMATCH(($BM$24+21),_xlfn.SCAN(0,--MID(_xlpm.s,_xlpm.k+1,9),_xlfn.LAMBDA(_xlpm.a,_xlpm.v,_xlpm.a+_xlpm.v)),1))),""),IF(($BM$24+21)&lt;=$BQ$24,$BP$24,""))))</f>
        <v/>
      </c>
    </row>
    <row r="149" spans="2:82" hidden="1" x14ac:dyDescent="0.45">
      <c r="B149" s="6"/>
      <c r="C149" s="9" t="str">
        <f>IF(CA149="","",CA149&amp;"-"&amp;TEXT(COUNTIF($CA$72:$CA$95,CA149)+COUNTIF($CB$72:$CB$95,CA149)+COUNTIF($CC$72:$CC$95,CA149)+COUNTIF($CD$72:$CD$95,CA149)+COUNTIF($CA$100:$CA$123,CA149)+COUNTIF($CB$100:$CB$123,CA149)+COUNTIF($CC$100:$CC$123,CA149)+COUNTIF($CD$100:$CD$123,CA149)+COUNTIF($CA$128:CA149,CA149),"000"))</f>
        <v/>
      </c>
      <c r="D149" s="9" t="str">
        <f>IF(AND($BN$21&lt;&gt;"",($BM$21+22)&lt;=$BO$21),$BN$21,"")</f>
        <v/>
      </c>
      <c r="E149" s="9" t="str">
        <f>IF(AND($BN$21&lt;&gt;"",($BM$21+22)&lt;=$BO$21),TEXT(($BM$21+22),"00"),"")</f>
        <v/>
      </c>
      <c r="F149" s="9" t="str">
        <f>IF(AND($BN$21&lt;&gt;"",($BM$21+22)&lt;=$BO$21),$BN$21&amp;"-"&amp;TEXT(($BM$21+22),"00"),"")</f>
        <v/>
      </c>
      <c r="H149" s="6"/>
      <c r="I149" s="9" t="str">
        <f>IF(CB149="","",CB149&amp;"-"&amp;TEXT(COUNTIF($CA$72:$CA$95,CB149)+COUNTIF($CB$72:$CB$95,CB149)+COUNTIF($CC$72:$CC$95,CB149)+COUNTIF($CD$72:$CD$95,CB149)+COUNTIF($CA$100:$CA$123,CB149)+COUNTIF($CB$100:$CB$123,CB149)+COUNTIF($CC$100:$CC$123,CB149)+COUNTIF($CD$100:$CD$123,CB149)+COUNTIF($CA$128:$CA$151,CB149)+COUNTIF($CB$128:CB149,CB149),"000"))</f>
        <v/>
      </c>
      <c r="J149" s="9" t="str">
        <f>IF(AND($BN$22&lt;&gt;"",($BM$22+22)&lt;=$BO$22),$BN$22,"")</f>
        <v/>
      </c>
      <c r="K149" s="9" t="str">
        <f>IF(AND($BN$22&lt;&gt;"",($BM$22+22)&lt;=$BO$22),TEXT(($BM$22+22),"00"),"")</f>
        <v/>
      </c>
      <c r="L149" s="9" t="str">
        <f>IF(AND($BN$22&lt;&gt;"",($BM$22+22)&lt;=$BO$22),$BN$22&amp;"-"&amp;TEXT(($BM$22+22),"00"),"")</f>
        <v/>
      </c>
      <c r="N149" s="6"/>
      <c r="O149" s="9" t="str">
        <f>IF(CC149="","",CC149&amp;"-"&amp;TEXT(COUNTIF($CA$72:$CA$95,CC149)+COUNTIF($CB$72:$CB$95,CC149)+COUNTIF($CC$72:$CC$95,CC149)+COUNTIF($CD$72:$CD$95,CC149)+COUNTIF($CA$100:$CA$123,CC149)+COUNTIF($CB$100:$CB$123,CC149)+COUNTIF($CC$100:$CC$123,CC149)+COUNTIF($CD$100:$CD$123,CC149)+COUNTIF($CA$128:$CA$151,CC149)+COUNTIF($CB$128:$CB$151,CC149)+COUNTIF($CC$128:CC149,CC149),"000"))</f>
        <v/>
      </c>
      <c r="P149" s="9" t="str">
        <f>IF(AND($BN$23&lt;&gt;"",($BM$23+22)&lt;=$BO$23),$BN$23,"")</f>
        <v/>
      </c>
      <c r="Q149" s="9" t="str">
        <f>IF(AND($BN$23&lt;&gt;"",($BM$23+22)&lt;=$BO$23),TEXT(($BM$23+22),"00"),"")</f>
        <v/>
      </c>
      <c r="R149" s="9" t="str">
        <f>IF(AND($BN$23&lt;&gt;"",($BM$23+22)&lt;=$BO$23),$BN$23&amp;"-"&amp;TEXT(($BM$23+22),"00"),"")</f>
        <v/>
      </c>
      <c r="T149" s="6"/>
      <c r="U149" s="9" t="str">
        <f>IF(CD149="","",CD149&amp;"-"&amp;TEXT(COUNTIF($CA$72:$CA$95,CD149)+COUNTIF($CB$72:$CB$95,CD149)+COUNTIF($CC$72:$CC$95,CD149)+COUNTIF($CD$72:$CD$95,CD149)+COUNTIF($CA$100:$CA$123,CD149)+COUNTIF($CB$100:$CB$123,CD149)+COUNTIF($CC$100:$CC$123,CD149)+COUNTIF($CD$100:$CD$123,CD149)+COUNTIF($CA$128:$CA$151,CD149)+COUNTIF($CB$128:$CB$151,CD149)+COUNTIF($CC$128:$CC$151,CD149)+COUNTIF($CD$128:CD149,CD149),"000"))</f>
        <v/>
      </c>
      <c r="V149" s="9" t="str">
        <f>IF(AND($BN$24&lt;&gt;"",($BM$24+22)&lt;=$BO$24),$BN$24,"")</f>
        <v/>
      </c>
      <c r="W149" s="9" t="str">
        <f>IF(AND($BN$24&lt;&gt;"",($BM$24+22)&lt;=$BO$24),TEXT(($BM$24+22),"00"),"")</f>
        <v/>
      </c>
      <c r="X149" s="9" t="str">
        <f>IF(AND($BN$24&lt;&gt;"",($BM$24+22)&lt;=$BO$24),$BN$24&amp;"-"&amp;TEXT(($BM$24+22),"00"),"")</f>
        <v/>
      </c>
      <c r="CA149" t="str" cm="1">
        <f t="array" ref="CA149">IF(NOT(AND($BN$21&lt;&gt;"",($BM$21+22)&lt;=$BO$21)),"",IF(B149&lt;&gt;"",IF(B149="-","",B149),IF(ISNUMBER(SEARCH(":",$BP$21)),IFERROR(_xlfn.LET(_xlpm.s,_xlfn.TEXTSPLIT($BP$21,","),_xlpm.k,FIND(":",_xlpm.s),INDEX(TRIM(LEFT(_xlpm.s,_xlpm.k-1)),_xlfn.XMATCH(($BM$21+22),_xlfn.SCAN(0,--MID(_xlpm.s,_xlpm.k+1,9),_xlfn.LAMBDA(_xlpm.a,_xlpm.v,_xlpm.a+_xlpm.v)),1))),""),IF(($BM$21+22)&lt;=$BQ$21,$BP$21,""))))</f>
        <v/>
      </c>
      <c r="CB149" t="str" cm="1">
        <f t="array" ref="CB149">IF(NOT(AND($BN$22&lt;&gt;"",($BM$22+22)&lt;=$BO$22)),"",IF(H149&lt;&gt;"",IF(H149="-","",H149),IF(ISNUMBER(SEARCH(":",$BP$22)),IFERROR(_xlfn.LET(_xlpm.s,_xlfn.TEXTSPLIT($BP$22,","),_xlpm.k,FIND(":",_xlpm.s),INDEX(TRIM(LEFT(_xlpm.s,_xlpm.k-1)),_xlfn.XMATCH(($BM$22+22),_xlfn.SCAN(0,--MID(_xlpm.s,_xlpm.k+1,9),_xlfn.LAMBDA(_xlpm.a,_xlpm.v,_xlpm.a+_xlpm.v)),1))),""),IF(($BM$22+22)&lt;=$BQ$22,$BP$22,""))))</f>
        <v/>
      </c>
      <c r="CC149" t="str" cm="1">
        <f t="array" ref="CC149">IF(NOT(AND($BN$23&lt;&gt;"",($BM$23+22)&lt;=$BO$23)),"",IF(N149&lt;&gt;"",IF(N149="-","",N149),IF(ISNUMBER(SEARCH(":",$BP$23)),IFERROR(_xlfn.LET(_xlpm.s,_xlfn.TEXTSPLIT($BP$23,","),_xlpm.k,FIND(":",_xlpm.s),INDEX(TRIM(LEFT(_xlpm.s,_xlpm.k-1)),_xlfn.XMATCH(($BM$23+22),_xlfn.SCAN(0,--MID(_xlpm.s,_xlpm.k+1,9),_xlfn.LAMBDA(_xlpm.a,_xlpm.v,_xlpm.a+_xlpm.v)),1))),""),IF(($BM$23+22)&lt;=$BQ$23,$BP$23,""))))</f>
        <v/>
      </c>
      <c r="CD149" t="str" cm="1">
        <f t="array" ref="CD149">IF(NOT(AND($BN$24&lt;&gt;"",($BM$24+22)&lt;=$BO$24)),"",IF(T149&lt;&gt;"",IF(T149="-","",T149),IF(ISNUMBER(SEARCH(":",$BP$24)),IFERROR(_xlfn.LET(_xlpm.s,_xlfn.TEXTSPLIT($BP$24,","),_xlpm.k,FIND(":",_xlpm.s),INDEX(TRIM(LEFT(_xlpm.s,_xlpm.k-1)),_xlfn.XMATCH(($BM$24+22),_xlfn.SCAN(0,--MID(_xlpm.s,_xlpm.k+1,9),_xlfn.LAMBDA(_xlpm.a,_xlpm.v,_xlpm.a+_xlpm.v)),1))),""),IF(($BM$24+22)&lt;=$BQ$24,$BP$24,""))))</f>
        <v/>
      </c>
    </row>
    <row r="150" spans="2:82" hidden="1" x14ac:dyDescent="0.45">
      <c r="B150" s="6"/>
      <c r="C150" s="9" t="str">
        <f>IF(CA150="","",CA150&amp;"-"&amp;TEXT(COUNTIF($CA$72:$CA$95,CA150)+COUNTIF($CB$72:$CB$95,CA150)+COUNTIF($CC$72:$CC$95,CA150)+COUNTIF($CD$72:$CD$95,CA150)+COUNTIF($CA$100:$CA$123,CA150)+COUNTIF($CB$100:$CB$123,CA150)+COUNTIF($CC$100:$CC$123,CA150)+COUNTIF($CD$100:$CD$123,CA150)+COUNTIF($CA$128:CA150,CA150),"000"))</f>
        <v/>
      </c>
      <c r="D150" s="9" t="str">
        <f>IF(AND($BN$21&lt;&gt;"",($BM$21+23)&lt;=$BO$21),$BN$21,"")</f>
        <v/>
      </c>
      <c r="E150" s="9" t="str">
        <f>IF(AND($BN$21&lt;&gt;"",($BM$21+23)&lt;=$BO$21),TEXT(($BM$21+23),"00"),"")</f>
        <v/>
      </c>
      <c r="F150" s="9" t="str">
        <f>IF(AND($BN$21&lt;&gt;"",($BM$21+23)&lt;=$BO$21),$BN$21&amp;"-"&amp;TEXT(($BM$21+23),"00"),"")</f>
        <v/>
      </c>
      <c r="H150" s="6"/>
      <c r="I150" s="9" t="str">
        <f>IF(CB150="","",CB150&amp;"-"&amp;TEXT(COUNTIF($CA$72:$CA$95,CB150)+COUNTIF($CB$72:$CB$95,CB150)+COUNTIF($CC$72:$CC$95,CB150)+COUNTIF($CD$72:$CD$95,CB150)+COUNTIF($CA$100:$CA$123,CB150)+COUNTIF($CB$100:$CB$123,CB150)+COUNTIF($CC$100:$CC$123,CB150)+COUNTIF($CD$100:$CD$123,CB150)+COUNTIF($CA$128:$CA$151,CB150)+COUNTIF($CB$128:CB150,CB150),"000"))</f>
        <v/>
      </c>
      <c r="J150" s="9" t="str">
        <f>IF(AND($BN$22&lt;&gt;"",($BM$22+23)&lt;=$BO$22),$BN$22,"")</f>
        <v/>
      </c>
      <c r="K150" s="9" t="str">
        <f>IF(AND($BN$22&lt;&gt;"",($BM$22+23)&lt;=$BO$22),TEXT(($BM$22+23),"00"),"")</f>
        <v/>
      </c>
      <c r="L150" s="9" t="str">
        <f>IF(AND($BN$22&lt;&gt;"",($BM$22+23)&lt;=$BO$22),$BN$22&amp;"-"&amp;TEXT(($BM$22+23),"00"),"")</f>
        <v/>
      </c>
      <c r="N150" s="6"/>
      <c r="O150" s="9" t="str">
        <f>IF(CC150="","",CC150&amp;"-"&amp;TEXT(COUNTIF($CA$72:$CA$95,CC150)+COUNTIF($CB$72:$CB$95,CC150)+COUNTIF($CC$72:$CC$95,CC150)+COUNTIF($CD$72:$CD$95,CC150)+COUNTIF($CA$100:$CA$123,CC150)+COUNTIF($CB$100:$CB$123,CC150)+COUNTIF($CC$100:$CC$123,CC150)+COUNTIF($CD$100:$CD$123,CC150)+COUNTIF($CA$128:$CA$151,CC150)+COUNTIF($CB$128:$CB$151,CC150)+COUNTIF($CC$128:CC150,CC150),"000"))</f>
        <v/>
      </c>
      <c r="P150" s="9" t="str">
        <f>IF(AND($BN$23&lt;&gt;"",($BM$23+23)&lt;=$BO$23),$BN$23,"")</f>
        <v/>
      </c>
      <c r="Q150" s="9" t="str">
        <f>IF(AND($BN$23&lt;&gt;"",($BM$23+23)&lt;=$BO$23),TEXT(($BM$23+23),"00"),"")</f>
        <v/>
      </c>
      <c r="R150" s="9" t="str">
        <f>IF(AND($BN$23&lt;&gt;"",($BM$23+23)&lt;=$BO$23),$BN$23&amp;"-"&amp;TEXT(($BM$23+23),"00"),"")</f>
        <v/>
      </c>
      <c r="T150" s="6"/>
      <c r="U150" s="9" t="str">
        <f>IF(CD150="","",CD150&amp;"-"&amp;TEXT(COUNTIF($CA$72:$CA$95,CD150)+COUNTIF($CB$72:$CB$95,CD150)+COUNTIF($CC$72:$CC$95,CD150)+COUNTIF($CD$72:$CD$95,CD150)+COUNTIF($CA$100:$CA$123,CD150)+COUNTIF($CB$100:$CB$123,CD150)+COUNTIF($CC$100:$CC$123,CD150)+COUNTIF($CD$100:$CD$123,CD150)+COUNTIF($CA$128:$CA$151,CD150)+COUNTIF($CB$128:$CB$151,CD150)+COUNTIF($CC$128:$CC$151,CD150)+COUNTIF($CD$128:CD150,CD150),"000"))</f>
        <v/>
      </c>
      <c r="V150" s="9" t="str">
        <f>IF(AND($BN$24&lt;&gt;"",($BM$24+23)&lt;=$BO$24),$BN$24,"")</f>
        <v/>
      </c>
      <c r="W150" s="9" t="str">
        <f>IF(AND($BN$24&lt;&gt;"",($BM$24+23)&lt;=$BO$24),TEXT(($BM$24+23),"00"),"")</f>
        <v/>
      </c>
      <c r="X150" s="9" t="str">
        <f>IF(AND($BN$24&lt;&gt;"",($BM$24+23)&lt;=$BO$24),$BN$24&amp;"-"&amp;TEXT(($BM$24+23),"00"),"")</f>
        <v/>
      </c>
      <c r="CA150" t="str" cm="1">
        <f t="array" ref="CA150">IF(NOT(AND($BN$21&lt;&gt;"",($BM$21+23)&lt;=$BO$21)),"",IF(B150&lt;&gt;"",IF(B150="-","",B150),IF(ISNUMBER(SEARCH(":",$BP$21)),IFERROR(_xlfn.LET(_xlpm.s,_xlfn.TEXTSPLIT($BP$21,","),_xlpm.k,FIND(":",_xlpm.s),INDEX(TRIM(LEFT(_xlpm.s,_xlpm.k-1)),_xlfn.XMATCH(($BM$21+23),_xlfn.SCAN(0,--MID(_xlpm.s,_xlpm.k+1,9),_xlfn.LAMBDA(_xlpm.a,_xlpm.v,_xlpm.a+_xlpm.v)),1))),""),IF(($BM$21+23)&lt;=$BQ$21,$BP$21,""))))</f>
        <v/>
      </c>
      <c r="CB150" t="str" cm="1">
        <f t="array" ref="CB150">IF(NOT(AND($BN$22&lt;&gt;"",($BM$22+23)&lt;=$BO$22)),"",IF(H150&lt;&gt;"",IF(H150="-","",H150),IF(ISNUMBER(SEARCH(":",$BP$22)),IFERROR(_xlfn.LET(_xlpm.s,_xlfn.TEXTSPLIT($BP$22,","),_xlpm.k,FIND(":",_xlpm.s),INDEX(TRIM(LEFT(_xlpm.s,_xlpm.k-1)),_xlfn.XMATCH(($BM$22+23),_xlfn.SCAN(0,--MID(_xlpm.s,_xlpm.k+1,9),_xlfn.LAMBDA(_xlpm.a,_xlpm.v,_xlpm.a+_xlpm.v)),1))),""),IF(($BM$22+23)&lt;=$BQ$22,$BP$22,""))))</f>
        <v/>
      </c>
      <c r="CC150" t="str" cm="1">
        <f t="array" ref="CC150">IF(NOT(AND($BN$23&lt;&gt;"",($BM$23+23)&lt;=$BO$23)),"",IF(N150&lt;&gt;"",IF(N150="-","",N150),IF(ISNUMBER(SEARCH(":",$BP$23)),IFERROR(_xlfn.LET(_xlpm.s,_xlfn.TEXTSPLIT($BP$23,","),_xlpm.k,FIND(":",_xlpm.s),INDEX(TRIM(LEFT(_xlpm.s,_xlpm.k-1)),_xlfn.XMATCH(($BM$23+23),_xlfn.SCAN(0,--MID(_xlpm.s,_xlpm.k+1,9),_xlfn.LAMBDA(_xlpm.a,_xlpm.v,_xlpm.a+_xlpm.v)),1))),""),IF(($BM$23+23)&lt;=$BQ$23,$BP$23,""))))</f>
        <v/>
      </c>
      <c r="CD150" t="str" cm="1">
        <f t="array" ref="CD150">IF(NOT(AND($BN$24&lt;&gt;"",($BM$24+23)&lt;=$BO$24)),"",IF(T150&lt;&gt;"",IF(T150="-","",T150),IF(ISNUMBER(SEARCH(":",$BP$24)),IFERROR(_xlfn.LET(_xlpm.s,_xlfn.TEXTSPLIT($BP$24,","),_xlpm.k,FIND(":",_xlpm.s),INDEX(TRIM(LEFT(_xlpm.s,_xlpm.k-1)),_xlfn.XMATCH(($BM$24+23),_xlfn.SCAN(0,--MID(_xlpm.s,_xlpm.k+1,9),_xlfn.LAMBDA(_xlpm.a,_xlpm.v,_xlpm.a+_xlpm.v)),1))),""),IF(($BM$24+23)&lt;=$BQ$24,$BP$24,""))))</f>
        <v/>
      </c>
    </row>
    <row r="151" spans="2:82" hidden="1" x14ac:dyDescent="0.45">
      <c r="B151" s="6"/>
      <c r="C151" s="9" t="str">
        <f>IF(CA151="","",CA151&amp;"-"&amp;TEXT(COUNTIF($CA$72:$CA$95,CA151)+COUNTIF($CB$72:$CB$95,CA151)+COUNTIF($CC$72:$CC$95,CA151)+COUNTIF($CD$72:$CD$95,CA151)+COUNTIF($CA$100:$CA$123,CA151)+COUNTIF($CB$100:$CB$123,CA151)+COUNTIF($CC$100:$CC$123,CA151)+COUNTIF($CD$100:$CD$123,CA151)+COUNTIF($CA$128:CA151,CA151),"000"))</f>
        <v/>
      </c>
      <c r="D151" s="9" t="str">
        <f>IF(AND($BN$21&lt;&gt;"",($BM$21+24)&lt;=$BO$21),$BN$21,"")</f>
        <v/>
      </c>
      <c r="E151" s="9" t="str">
        <f>IF(AND($BN$21&lt;&gt;"",($BM$21+24)&lt;=$BO$21),TEXT(($BM$21+24),"00"),"")</f>
        <v/>
      </c>
      <c r="F151" s="9" t="str">
        <f>IF(AND($BN$21&lt;&gt;"",($BM$21+24)&lt;=$BO$21),$BN$21&amp;"-"&amp;TEXT(($BM$21+24),"00"),"")</f>
        <v/>
      </c>
      <c r="H151" s="6"/>
      <c r="I151" s="9" t="str">
        <f>IF(CB151="","",CB151&amp;"-"&amp;TEXT(COUNTIF($CA$72:$CA$95,CB151)+COUNTIF($CB$72:$CB$95,CB151)+COUNTIF($CC$72:$CC$95,CB151)+COUNTIF($CD$72:$CD$95,CB151)+COUNTIF($CA$100:$CA$123,CB151)+COUNTIF($CB$100:$CB$123,CB151)+COUNTIF($CC$100:$CC$123,CB151)+COUNTIF($CD$100:$CD$123,CB151)+COUNTIF($CA$128:$CA$151,CB151)+COUNTIF($CB$128:CB151,CB151),"000"))</f>
        <v/>
      </c>
      <c r="J151" s="9" t="str">
        <f>IF(AND($BN$22&lt;&gt;"",($BM$22+24)&lt;=$BO$22),$BN$22,"")</f>
        <v/>
      </c>
      <c r="K151" s="9" t="str">
        <f>IF(AND($BN$22&lt;&gt;"",($BM$22+24)&lt;=$BO$22),TEXT(($BM$22+24),"00"),"")</f>
        <v/>
      </c>
      <c r="L151" s="9" t="str">
        <f>IF(AND($BN$22&lt;&gt;"",($BM$22+24)&lt;=$BO$22),$BN$22&amp;"-"&amp;TEXT(($BM$22+24),"00"),"")</f>
        <v/>
      </c>
      <c r="N151" s="6"/>
      <c r="O151" s="9" t="str">
        <f>IF(CC151="","",CC151&amp;"-"&amp;TEXT(COUNTIF($CA$72:$CA$95,CC151)+COUNTIF($CB$72:$CB$95,CC151)+COUNTIF($CC$72:$CC$95,CC151)+COUNTIF($CD$72:$CD$95,CC151)+COUNTIF($CA$100:$CA$123,CC151)+COUNTIF($CB$100:$CB$123,CC151)+COUNTIF($CC$100:$CC$123,CC151)+COUNTIF($CD$100:$CD$123,CC151)+COUNTIF($CA$128:$CA$151,CC151)+COUNTIF($CB$128:$CB$151,CC151)+COUNTIF($CC$128:CC151,CC151),"000"))</f>
        <v/>
      </c>
      <c r="P151" s="9" t="str">
        <f>IF(AND($BN$23&lt;&gt;"",($BM$23+24)&lt;=$BO$23),$BN$23,"")</f>
        <v/>
      </c>
      <c r="Q151" s="9" t="str">
        <f>IF(AND($BN$23&lt;&gt;"",($BM$23+24)&lt;=$BO$23),TEXT(($BM$23+24),"00"),"")</f>
        <v/>
      </c>
      <c r="R151" s="9" t="str">
        <f>IF(AND($BN$23&lt;&gt;"",($BM$23+24)&lt;=$BO$23),$BN$23&amp;"-"&amp;TEXT(($BM$23+24),"00"),"")</f>
        <v/>
      </c>
      <c r="T151" s="6"/>
      <c r="U151" s="9" t="str">
        <f>IF(CD151="","",CD151&amp;"-"&amp;TEXT(COUNTIF($CA$72:$CA$95,CD151)+COUNTIF($CB$72:$CB$95,CD151)+COUNTIF($CC$72:$CC$95,CD151)+COUNTIF($CD$72:$CD$95,CD151)+COUNTIF($CA$100:$CA$123,CD151)+COUNTIF($CB$100:$CB$123,CD151)+COUNTIF($CC$100:$CC$123,CD151)+COUNTIF($CD$100:$CD$123,CD151)+COUNTIF($CA$128:$CA$151,CD151)+COUNTIF($CB$128:$CB$151,CD151)+COUNTIF($CC$128:$CC$151,CD151)+COUNTIF($CD$128:CD151,CD151),"000"))</f>
        <v/>
      </c>
      <c r="V151" s="9" t="str">
        <f>IF(AND($BN$24&lt;&gt;"",($BM$24+24)&lt;=$BO$24),$BN$24,"")</f>
        <v/>
      </c>
      <c r="W151" s="9" t="str">
        <f>IF(AND($BN$24&lt;&gt;"",($BM$24+24)&lt;=$BO$24),TEXT(($BM$24+24),"00"),"")</f>
        <v/>
      </c>
      <c r="X151" s="9" t="str">
        <f>IF(AND($BN$24&lt;&gt;"",($BM$24+24)&lt;=$BO$24),$BN$24&amp;"-"&amp;TEXT(($BM$24+24),"00"),"")</f>
        <v/>
      </c>
      <c r="CA151" t="str" cm="1">
        <f t="array" ref="CA151">IF(NOT(AND($BN$21&lt;&gt;"",($BM$21+24)&lt;=$BO$21)),"",IF(B151&lt;&gt;"",IF(B151="-","",B151),IF(ISNUMBER(SEARCH(":",$BP$21)),IFERROR(_xlfn.LET(_xlpm.s,_xlfn.TEXTSPLIT($BP$21,","),_xlpm.k,FIND(":",_xlpm.s),INDEX(TRIM(LEFT(_xlpm.s,_xlpm.k-1)),_xlfn.XMATCH(($BM$21+24),_xlfn.SCAN(0,--MID(_xlpm.s,_xlpm.k+1,9),_xlfn.LAMBDA(_xlpm.a,_xlpm.v,_xlpm.a+_xlpm.v)),1))),""),IF(($BM$21+24)&lt;=$BQ$21,$BP$21,""))))</f>
        <v/>
      </c>
      <c r="CB151" t="str" cm="1">
        <f t="array" ref="CB151">IF(NOT(AND($BN$22&lt;&gt;"",($BM$22+24)&lt;=$BO$22)),"",IF(H151&lt;&gt;"",IF(H151="-","",H151),IF(ISNUMBER(SEARCH(":",$BP$22)),IFERROR(_xlfn.LET(_xlpm.s,_xlfn.TEXTSPLIT($BP$22,","),_xlpm.k,FIND(":",_xlpm.s),INDEX(TRIM(LEFT(_xlpm.s,_xlpm.k-1)),_xlfn.XMATCH(($BM$22+24),_xlfn.SCAN(0,--MID(_xlpm.s,_xlpm.k+1,9),_xlfn.LAMBDA(_xlpm.a,_xlpm.v,_xlpm.a+_xlpm.v)),1))),""),IF(($BM$22+24)&lt;=$BQ$22,$BP$22,""))))</f>
        <v/>
      </c>
      <c r="CC151" t="str" cm="1">
        <f t="array" ref="CC151">IF(NOT(AND($BN$23&lt;&gt;"",($BM$23+24)&lt;=$BO$23)),"",IF(N151&lt;&gt;"",IF(N151="-","",N151),IF(ISNUMBER(SEARCH(":",$BP$23)),IFERROR(_xlfn.LET(_xlpm.s,_xlfn.TEXTSPLIT($BP$23,","),_xlpm.k,FIND(":",_xlpm.s),INDEX(TRIM(LEFT(_xlpm.s,_xlpm.k-1)),_xlfn.XMATCH(($BM$23+24),_xlfn.SCAN(0,--MID(_xlpm.s,_xlpm.k+1,9),_xlfn.LAMBDA(_xlpm.a,_xlpm.v,_xlpm.a+_xlpm.v)),1))),""),IF(($BM$23+24)&lt;=$BQ$23,$BP$23,""))))</f>
        <v/>
      </c>
      <c r="CD151" t="str" cm="1">
        <f t="array" ref="CD151">IF(NOT(AND($BN$24&lt;&gt;"",($BM$24+24)&lt;=$BO$24)),"",IF(T151&lt;&gt;"",IF(T151="-","",T151),IF(ISNUMBER(SEARCH(":",$BP$24)),IFERROR(_xlfn.LET(_xlpm.s,_xlfn.TEXTSPLIT($BP$24,","),_xlpm.k,FIND(":",_xlpm.s),INDEX(TRIM(LEFT(_xlpm.s,_xlpm.k-1)),_xlfn.XMATCH(($BM$24+24),_xlfn.SCAN(0,--MID(_xlpm.s,_xlpm.k+1,9),_xlfn.LAMBDA(_xlpm.a,_xlpm.v,_xlpm.a+_xlpm.v)),1))),""),IF(($BM$24+24)&lt;=$BQ$24,$BP$24,""))))</f>
        <v/>
      </c>
    </row>
    <row r="152" spans="2:82" hidden="1" x14ac:dyDescent="0.45"/>
    <row r="153" spans="2:82" hidden="1" x14ac:dyDescent="0.45"/>
    <row r="154" spans="2:82" hidden="1" x14ac:dyDescent="0.45">
      <c r="B154" s="51" t="str">
        <f>IF($BN$25="","Bloque 13 — sin panel","Panel "&amp;$BN$25&amp;"  (puertos "&amp;($BM$25+1)&amp;"-"&amp;MIN($BM$25+24,$BO$25)&amp;")"&amp;IF($BP$25&lt;&gt;"","  · "&amp;$BP$25,"")&amp;"  · "&amp;TEXT(IFERROR(INDEX($BS$13:$BS$28,$BL$25)/$BO$25,0),"0%"))</f>
        <v>Bloque 13 — sin panel</v>
      </c>
      <c r="C154" s="40"/>
      <c r="D154" s="40"/>
      <c r="E154" s="40"/>
      <c r="F154" s="40"/>
      <c r="H154" s="51" t="str">
        <f>IF($BN$26="","Bloque 14 — sin panel","Panel "&amp;$BN$26&amp;"  (puertos "&amp;($BM$26+1)&amp;"-"&amp;MIN($BM$26+24,$BO$26)&amp;")"&amp;IF($BP$26&lt;&gt;"","  · "&amp;$BP$26,"")&amp;"  · "&amp;TEXT(IFERROR(INDEX($BS$13:$BS$28,$BL$26)/$BO$26,0),"0%"))</f>
        <v>Bloque 14 — sin panel</v>
      </c>
      <c r="I154" s="40"/>
      <c r="J154" s="40"/>
      <c r="K154" s="40"/>
      <c r="L154" s="40"/>
      <c r="N154" s="51" t="str">
        <f>IF($BN$27="","Bloque 15 — sin panel","Panel "&amp;$BN$27&amp;"  (puertos "&amp;($BM$27+1)&amp;"-"&amp;MIN($BM$27+24,$BO$27)&amp;")"&amp;IF($BP$27&lt;&gt;"","  · "&amp;$BP$27,"")&amp;"  · "&amp;TEXT(IFERROR(INDEX($BS$13:$BS$28,$BL$27)/$BO$27,0),"0%"))</f>
        <v>Bloque 15 — sin panel</v>
      </c>
      <c r="O154" s="40"/>
      <c r="P154" s="40"/>
      <c r="Q154" s="40"/>
      <c r="R154" s="40"/>
      <c r="T154" s="51" t="str">
        <f>IF($BN$28="","Bloque 16 — sin panel","Panel "&amp;$BN$28&amp;"  (puertos "&amp;($BM$28+1)&amp;"-"&amp;MIN($BM$28+24,$BO$28)&amp;")"&amp;IF($BP$28&lt;&gt;"","  · "&amp;$BP$28,"")&amp;"  · "&amp;TEXT(IFERROR(INDEX($BS$13:$BS$28,$BL$28)/$BO$28,0),"0%"))</f>
        <v>Bloque 16 — sin panel</v>
      </c>
      <c r="U154" s="40"/>
      <c r="V154" s="40"/>
      <c r="W154" s="40"/>
      <c r="X154" s="40"/>
    </row>
    <row r="155" spans="2:82" hidden="1" x14ac:dyDescent="0.45">
      <c r="B155" s="5" t="s">
        <v>410</v>
      </c>
      <c r="C155" s="5" t="s">
        <v>411</v>
      </c>
      <c r="D155" s="5" t="s">
        <v>389</v>
      </c>
      <c r="E155" s="5" t="s">
        <v>412</v>
      </c>
      <c r="F155" s="5" t="s">
        <v>413</v>
      </c>
      <c r="H155" s="5" t="s">
        <v>410</v>
      </c>
      <c r="I155" s="5" t="s">
        <v>411</v>
      </c>
      <c r="J155" s="5" t="s">
        <v>389</v>
      </c>
      <c r="K155" s="5" t="s">
        <v>412</v>
      </c>
      <c r="L155" s="5" t="s">
        <v>413</v>
      </c>
      <c r="N155" s="5" t="s">
        <v>410</v>
      </c>
      <c r="O155" s="5" t="s">
        <v>411</v>
      </c>
      <c r="P155" s="5" t="s">
        <v>389</v>
      </c>
      <c r="Q155" s="5" t="s">
        <v>412</v>
      </c>
      <c r="R155" s="5" t="s">
        <v>413</v>
      </c>
      <c r="T155" s="5" t="s">
        <v>410</v>
      </c>
      <c r="U155" s="5" t="s">
        <v>411</v>
      </c>
      <c r="V155" s="5" t="s">
        <v>389</v>
      </c>
      <c r="W155" s="5" t="s">
        <v>412</v>
      </c>
      <c r="X155" s="5" t="s">
        <v>413</v>
      </c>
    </row>
    <row r="156" spans="2:82" hidden="1" x14ac:dyDescent="0.45">
      <c r="B156" s="6"/>
      <c r="C156" s="9" t="str">
        <f>IF(CA156="","",CA156&amp;"-"&amp;TEXT(COUNTIF($CA$72:$CA$95,CA156)+COUNTIF($CB$72:$CB$95,CA156)+COUNTIF($CC$72:$CC$95,CA156)+COUNTIF($CD$72:$CD$95,CA156)+COUNTIF($CA$100:$CA$123,CA156)+COUNTIF($CB$100:$CB$123,CA156)+COUNTIF($CC$100:$CC$123,CA156)+COUNTIF($CD$100:$CD$123,CA156)+COUNTIF($CA$128:$CA$151,CA156)+COUNTIF($CB$128:$CB$151,CA156)+COUNTIF($CC$128:$CC$151,CA156)+COUNTIF($CD$128:$CD$151,CA156)+COUNTIF($CA$156:CA156,CA156),"000"))</f>
        <v/>
      </c>
      <c r="D156" s="9" t="str">
        <f>IF(AND($BN$25&lt;&gt;"",($BM$25+1)&lt;=$BO$25),$BN$25,"")</f>
        <v/>
      </c>
      <c r="E156" s="9" t="str">
        <f>IF(AND($BN$25&lt;&gt;"",($BM$25+1)&lt;=$BO$25),TEXT(($BM$25+1),"00"),"")</f>
        <v/>
      </c>
      <c r="F156" s="9" t="str">
        <f>IF(AND($BN$25&lt;&gt;"",($BM$25+1)&lt;=$BO$25),$BN$25&amp;"-"&amp;TEXT(($BM$25+1),"00"),"")</f>
        <v/>
      </c>
      <c r="H156" s="6"/>
      <c r="I156" s="9" t="str">
        <f>IF(CB156="","",CB156&amp;"-"&amp;TEXT(COUNTIF($CA$72:$CA$95,CB156)+COUNTIF($CB$72:$CB$95,CB156)+COUNTIF($CC$72:$CC$95,CB156)+COUNTIF($CD$72:$CD$95,CB156)+COUNTIF($CA$100:$CA$123,CB156)+COUNTIF($CB$100:$CB$123,CB156)+COUNTIF($CC$100:$CC$123,CB156)+COUNTIF($CD$100:$CD$123,CB156)+COUNTIF($CA$128:$CA$151,CB156)+COUNTIF($CB$128:$CB$151,CB156)+COUNTIF($CC$128:$CC$151,CB156)+COUNTIF($CD$128:$CD$151,CB156)+COUNTIF($CA$156:$CA$179,CB156)+COUNTIF($CB$156:CB156,CB156),"000"))</f>
        <v/>
      </c>
      <c r="J156" s="9" t="str">
        <f>IF(AND($BN$26&lt;&gt;"",($BM$26+1)&lt;=$BO$26),$BN$26,"")</f>
        <v/>
      </c>
      <c r="K156" s="9" t="str">
        <f>IF(AND($BN$26&lt;&gt;"",($BM$26+1)&lt;=$BO$26),TEXT(($BM$26+1),"00"),"")</f>
        <v/>
      </c>
      <c r="L156" s="9" t="str">
        <f>IF(AND($BN$26&lt;&gt;"",($BM$26+1)&lt;=$BO$26),$BN$26&amp;"-"&amp;TEXT(($BM$26+1),"00"),"")</f>
        <v/>
      </c>
      <c r="N156" s="6"/>
      <c r="O156" s="9" t="str">
        <f>IF(CC156="","",CC156&amp;"-"&amp;TEXT(COUNTIF($CA$72:$CA$95,CC156)+COUNTIF($CB$72:$CB$95,CC156)+COUNTIF($CC$72:$CC$95,CC156)+COUNTIF($CD$72:$CD$95,CC156)+COUNTIF($CA$100:$CA$123,CC156)+COUNTIF($CB$100:$CB$123,CC156)+COUNTIF($CC$100:$CC$123,CC156)+COUNTIF($CD$100:$CD$123,CC156)+COUNTIF($CA$128:$CA$151,CC156)+COUNTIF($CB$128:$CB$151,CC156)+COUNTIF($CC$128:$CC$151,CC156)+COUNTIF($CD$128:$CD$151,CC156)+COUNTIF($CA$156:$CA$179,CC156)+COUNTIF($CB$156:$CB$179,CC156)+COUNTIF($CC$156:CC156,CC156),"000"))</f>
        <v/>
      </c>
      <c r="P156" s="9" t="str">
        <f>IF(AND($BN$27&lt;&gt;"",($BM$27+1)&lt;=$BO$27),$BN$27,"")</f>
        <v/>
      </c>
      <c r="Q156" s="9" t="str">
        <f>IF(AND($BN$27&lt;&gt;"",($BM$27+1)&lt;=$BO$27),TEXT(($BM$27+1),"00"),"")</f>
        <v/>
      </c>
      <c r="R156" s="9" t="str">
        <f>IF(AND($BN$27&lt;&gt;"",($BM$27+1)&lt;=$BO$27),$BN$27&amp;"-"&amp;TEXT(($BM$27+1),"00"),"")</f>
        <v/>
      </c>
      <c r="T156" s="6"/>
      <c r="U156" s="9" t="str">
        <f>IF(CD156="","",CD156&amp;"-"&amp;TEXT(COUNTIF($CA$72:$CA$95,CD156)+COUNTIF($CB$72:$CB$95,CD156)+COUNTIF($CC$72:$CC$95,CD156)+COUNTIF($CD$72:$CD$95,CD156)+COUNTIF($CA$100:$CA$123,CD156)+COUNTIF($CB$100:$CB$123,CD156)+COUNTIF($CC$100:$CC$123,CD156)+COUNTIF($CD$100:$CD$123,CD156)+COUNTIF($CA$128:$CA$151,CD156)+COUNTIF($CB$128:$CB$151,CD156)+COUNTIF($CC$128:$CC$151,CD156)+COUNTIF($CD$128:$CD$151,CD156)+COUNTIF($CA$156:$CA$179,CD156)+COUNTIF($CB$156:$CB$179,CD156)+COUNTIF($CC$156:$CC$179,CD156)+COUNTIF($CD$156:CD156,CD156),"000"))</f>
        <v/>
      </c>
      <c r="V156" s="9" t="str">
        <f>IF(AND($BN$28&lt;&gt;"",($BM$28+1)&lt;=$BO$28),$BN$28,"")</f>
        <v/>
      </c>
      <c r="W156" s="9" t="str">
        <f>IF(AND($BN$28&lt;&gt;"",($BM$28+1)&lt;=$BO$28),TEXT(($BM$28+1),"00"),"")</f>
        <v/>
      </c>
      <c r="X156" s="9" t="str">
        <f>IF(AND($BN$28&lt;&gt;"",($BM$28+1)&lt;=$BO$28),$BN$28&amp;"-"&amp;TEXT(($BM$28+1),"00"),"")</f>
        <v/>
      </c>
      <c r="CA156" t="str" cm="1">
        <f t="array" ref="CA156">IF(NOT(AND($BN$25&lt;&gt;"",($BM$25+1)&lt;=$BO$25)),"",IF(B156&lt;&gt;"",IF(B156="-","",B156),IF(ISNUMBER(SEARCH(":",$BP$25)),IFERROR(_xlfn.LET(_xlpm.s,_xlfn.TEXTSPLIT($BP$25,","),_xlpm.k,FIND(":",_xlpm.s),INDEX(TRIM(LEFT(_xlpm.s,_xlpm.k-1)),_xlfn.XMATCH(($BM$25+1),_xlfn.SCAN(0,--MID(_xlpm.s,_xlpm.k+1,9),_xlfn.LAMBDA(_xlpm.a,_xlpm.v,_xlpm.a+_xlpm.v)),1))),""),IF(($BM$25+1)&lt;=$BQ$25,$BP$25,""))))</f>
        <v/>
      </c>
      <c r="CB156" t="str" cm="1">
        <f t="array" ref="CB156">IF(NOT(AND($BN$26&lt;&gt;"",($BM$26+1)&lt;=$BO$26)),"",IF(H156&lt;&gt;"",IF(H156="-","",H156),IF(ISNUMBER(SEARCH(":",$BP$26)),IFERROR(_xlfn.LET(_xlpm.s,_xlfn.TEXTSPLIT($BP$26,","),_xlpm.k,FIND(":",_xlpm.s),INDEX(TRIM(LEFT(_xlpm.s,_xlpm.k-1)),_xlfn.XMATCH(($BM$26+1),_xlfn.SCAN(0,--MID(_xlpm.s,_xlpm.k+1,9),_xlfn.LAMBDA(_xlpm.a,_xlpm.v,_xlpm.a+_xlpm.v)),1))),""),IF(($BM$26+1)&lt;=$BQ$26,$BP$26,""))))</f>
        <v/>
      </c>
      <c r="CC156" t="str" cm="1">
        <f t="array" ref="CC156">IF(NOT(AND($BN$27&lt;&gt;"",($BM$27+1)&lt;=$BO$27)),"",IF(N156&lt;&gt;"",IF(N156="-","",N156),IF(ISNUMBER(SEARCH(":",$BP$27)),IFERROR(_xlfn.LET(_xlpm.s,_xlfn.TEXTSPLIT($BP$27,","),_xlpm.k,FIND(":",_xlpm.s),INDEX(TRIM(LEFT(_xlpm.s,_xlpm.k-1)),_xlfn.XMATCH(($BM$27+1),_xlfn.SCAN(0,--MID(_xlpm.s,_xlpm.k+1,9),_xlfn.LAMBDA(_xlpm.a,_xlpm.v,_xlpm.a+_xlpm.v)),1))),""),IF(($BM$27+1)&lt;=$BQ$27,$BP$27,""))))</f>
        <v/>
      </c>
      <c r="CD156" t="str" cm="1">
        <f t="array" ref="CD156">IF(NOT(AND($BN$28&lt;&gt;"",($BM$28+1)&lt;=$BO$28)),"",IF(T156&lt;&gt;"",IF(T156="-","",T156),IF(ISNUMBER(SEARCH(":",$BP$28)),IFERROR(_xlfn.LET(_xlpm.s,_xlfn.TEXTSPLIT($BP$28,","),_xlpm.k,FIND(":",_xlpm.s),INDEX(TRIM(LEFT(_xlpm.s,_xlpm.k-1)),_xlfn.XMATCH(($BM$28+1),_xlfn.SCAN(0,--MID(_xlpm.s,_xlpm.k+1,9),_xlfn.LAMBDA(_xlpm.a,_xlpm.v,_xlpm.a+_xlpm.v)),1))),""),IF(($BM$28+1)&lt;=$BQ$28,$BP$28,""))))</f>
        <v/>
      </c>
    </row>
    <row r="157" spans="2:82" hidden="1" x14ac:dyDescent="0.45">
      <c r="B157" s="6"/>
      <c r="C157" s="9" t="str">
        <f>IF(CA157="","",CA157&amp;"-"&amp;TEXT(COUNTIF($CA$72:$CA$95,CA157)+COUNTIF($CB$72:$CB$95,CA157)+COUNTIF($CC$72:$CC$95,CA157)+COUNTIF($CD$72:$CD$95,CA157)+COUNTIF($CA$100:$CA$123,CA157)+COUNTIF($CB$100:$CB$123,CA157)+COUNTIF($CC$100:$CC$123,CA157)+COUNTIF($CD$100:$CD$123,CA157)+COUNTIF($CA$128:$CA$151,CA157)+COUNTIF($CB$128:$CB$151,CA157)+COUNTIF($CC$128:$CC$151,CA157)+COUNTIF($CD$128:$CD$151,CA157)+COUNTIF($CA$156:CA157,CA157),"000"))</f>
        <v/>
      </c>
      <c r="D157" s="9" t="str">
        <f>IF(AND($BN$25&lt;&gt;"",($BM$25+2)&lt;=$BO$25),$BN$25,"")</f>
        <v/>
      </c>
      <c r="E157" s="9" t="str">
        <f>IF(AND($BN$25&lt;&gt;"",($BM$25+2)&lt;=$BO$25),TEXT(($BM$25+2),"00"),"")</f>
        <v/>
      </c>
      <c r="F157" s="9" t="str">
        <f>IF(AND($BN$25&lt;&gt;"",($BM$25+2)&lt;=$BO$25),$BN$25&amp;"-"&amp;TEXT(($BM$25+2),"00"),"")</f>
        <v/>
      </c>
      <c r="H157" s="6"/>
      <c r="I157" s="9" t="str">
        <f>IF(CB157="","",CB157&amp;"-"&amp;TEXT(COUNTIF($CA$72:$CA$95,CB157)+COUNTIF($CB$72:$CB$95,CB157)+COUNTIF($CC$72:$CC$95,CB157)+COUNTIF($CD$72:$CD$95,CB157)+COUNTIF($CA$100:$CA$123,CB157)+COUNTIF($CB$100:$CB$123,CB157)+COUNTIF($CC$100:$CC$123,CB157)+COUNTIF($CD$100:$CD$123,CB157)+COUNTIF($CA$128:$CA$151,CB157)+COUNTIF($CB$128:$CB$151,CB157)+COUNTIF($CC$128:$CC$151,CB157)+COUNTIF($CD$128:$CD$151,CB157)+COUNTIF($CA$156:$CA$179,CB157)+COUNTIF($CB$156:CB157,CB157),"000"))</f>
        <v/>
      </c>
      <c r="J157" s="9" t="str">
        <f>IF(AND($BN$26&lt;&gt;"",($BM$26+2)&lt;=$BO$26),$BN$26,"")</f>
        <v/>
      </c>
      <c r="K157" s="9" t="str">
        <f>IF(AND($BN$26&lt;&gt;"",($BM$26+2)&lt;=$BO$26),TEXT(($BM$26+2),"00"),"")</f>
        <v/>
      </c>
      <c r="L157" s="9" t="str">
        <f>IF(AND($BN$26&lt;&gt;"",($BM$26+2)&lt;=$BO$26),$BN$26&amp;"-"&amp;TEXT(($BM$26+2),"00"),"")</f>
        <v/>
      </c>
      <c r="N157" s="6"/>
      <c r="O157" s="9" t="str">
        <f>IF(CC157="","",CC157&amp;"-"&amp;TEXT(COUNTIF($CA$72:$CA$95,CC157)+COUNTIF($CB$72:$CB$95,CC157)+COUNTIF($CC$72:$CC$95,CC157)+COUNTIF($CD$72:$CD$95,CC157)+COUNTIF($CA$100:$CA$123,CC157)+COUNTIF($CB$100:$CB$123,CC157)+COUNTIF($CC$100:$CC$123,CC157)+COUNTIF($CD$100:$CD$123,CC157)+COUNTIF($CA$128:$CA$151,CC157)+COUNTIF($CB$128:$CB$151,CC157)+COUNTIF($CC$128:$CC$151,CC157)+COUNTIF($CD$128:$CD$151,CC157)+COUNTIF($CA$156:$CA$179,CC157)+COUNTIF($CB$156:$CB$179,CC157)+COUNTIF($CC$156:CC157,CC157),"000"))</f>
        <v/>
      </c>
      <c r="P157" s="9" t="str">
        <f>IF(AND($BN$27&lt;&gt;"",($BM$27+2)&lt;=$BO$27),$BN$27,"")</f>
        <v/>
      </c>
      <c r="Q157" s="9" t="str">
        <f>IF(AND($BN$27&lt;&gt;"",($BM$27+2)&lt;=$BO$27),TEXT(($BM$27+2),"00"),"")</f>
        <v/>
      </c>
      <c r="R157" s="9" t="str">
        <f>IF(AND($BN$27&lt;&gt;"",($BM$27+2)&lt;=$BO$27),$BN$27&amp;"-"&amp;TEXT(($BM$27+2),"00"),"")</f>
        <v/>
      </c>
      <c r="T157" s="6"/>
      <c r="U157" s="9" t="str">
        <f>IF(CD157="","",CD157&amp;"-"&amp;TEXT(COUNTIF($CA$72:$CA$95,CD157)+COUNTIF($CB$72:$CB$95,CD157)+COUNTIF($CC$72:$CC$95,CD157)+COUNTIF($CD$72:$CD$95,CD157)+COUNTIF($CA$100:$CA$123,CD157)+COUNTIF($CB$100:$CB$123,CD157)+COUNTIF($CC$100:$CC$123,CD157)+COUNTIF($CD$100:$CD$123,CD157)+COUNTIF($CA$128:$CA$151,CD157)+COUNTIF($CB$128:$CB$151,CD157)+COUNTIF($CC$128:$CC$151,CD157)+COUNTIF($CD$128:$CD$151,CD157)+COUNTIF($CA$156:$CA$179,CD157)+COUNTIF($CB$156:$CB$179,CD157)+COUNTIF($CC$156:$CC$179,CD157)+COUNTIF($CD$156:CD157,CD157),"000"))</f>
        <v/>
      </c>
      <c r="V157" s="9" t="str">
        <f>IF(AND($BN$28&lt;&gt;"",($BM$28+2)&lt;=$BO$28),$BN$28,"")</f>
        <v/>
      </c>
      <c r="W157" s="9" t="str">
        <f>IF(AND($BN$28&lt;&gt;"",($BM$28+2)&lt;=$BO$28),TEXT(($BM$28+2),"00"),"")</f>
        <v/>
      </c>
      <c r="X157" s="9" t="str">
        <f>IF(AND($BN$28&lt;&gt;"",($BM$28+2)&lt;=$BO$28),$BN$28&amp;"-"&amp;TEXT(($BM$28+2),"00"),"")</f>
        <v/>
      </c>
      <c r="CA157" t="str" cm="1">
        <f t="array" ref="CA157">IF(NOT(AND($BN$25&lt;&gt;"",($BM$25+2)&lt;=$BO$25)),"",IF(B157&lt;&gt;"",IF(B157="-","",B157),IF(ISNUMBER(SEARCH(":",$BP$25)),IFERROR(_xlfn.LET(_xlpm.s,_xlfn.TEXTSPLIT($BP$25,","),_xlpm.k,FIND(":",_xlpm.s),INDEX(TRIM(LEFT(_xlpm.s,_xlpm.k-1)),_xlfn.XMATCH(($BM$25+2),_xlfn.SCAN(0,--MID(_xlpm.s,_xlpm.k+1,9),_xlfn.LAMBDA(_xlpm.a,_xlpm.v,_xlpm.a+_xlpm.v)),1))),""),IF(($BM$25+2)&lt;=$BQ$25,$BP$25,""))))</f>
        <v/>
      </c>
      <c r="CB157" t="str" cm="1">
        <f t="array" ref="CB157">IF(NOT(AND($BN$26&lt;&gt;"",($BM$26+2)&lt;=$BO$26)),"",IF(H157&lt;&gt;"",IF(H157="-","",H157),IF(ISNUMBER(SEARCH(":",$BP$26)),IFERROR(_xlfn.LET(_xlpm.s,_xlfn.TEXTSPLIT($BP$26,","),_xlpm.k,FIND(":",_xlpm.s),INDEX(TRIM(LEFT(_xlpm.s,_xlpm.k-1)),_xlfn.XMATCH(($BM$26+2),_xlfn.SCAN(0,--MID(_xlpm.s,_xlpm.k+1,9),_xlfn.LAMBDA(_xlpm.a,_xlpm.v,_xlpm.a+_xlpm.v)),1))),""),IF(($BM$26+2)&lt;=$BQ$26,$BP$26,""))))</f>
        <v/>
      </c>
      <c r="CC157" t="str" cm="1">
        <f t="array" ref="CC157">IF(NOT(AND($BN$27&lt;&gt;"",($BM$27+2)&lt;=$BO$27)),"",IF(N157&lt;&gt;"",IF(N157="-","",N157),IF(ISNUMBER(SEARCH(":",$BP$27)),IFERROR(_xlfn.LET(_xlpm.s,_xlfn.TEXTSPLIT($BP$27,","),_xlpm.k,FIND(":",_xlpm.s),INDEX(TRIM(LEFT(_xlpm.s,_xlpm.k-1)),_xlfn.XMATCH(($BM$27+2),_xlfn.SCAN(0,--MID(_xlpm.s,_xlpm.k+1,9),_xlfn.LAMBDA(_xlpm.a,_xlpm.v,_xlpm.a+_xlpm.v)),1))),""),IF(($BM$27+2)&lt;=$BQ$27,$BP$27,""))))</f>
        <v/>
      </c>
      <c r="CD157" t="str" cm="1">
        <f t="array" ref="CD157">IF(NOT(AND($BN$28&lt;&gt;"",($BM$28+2)&lt;=$BO$28)),"",IF(T157&lt;&gt;"",IF(T157="-","",T157),IF(ISNUMBER(SEARCH(":",$BP$28)),IFERROR(_xlfn.LET(_xlpm.s,_xlfn.TEXTSPLIT($BP$28,","),_xlpm.k,FIND(":",_xlpm.s),INDEX(TRIM(LEFT(_xlpm.s,_xlpm.k-1)),_xlfn.XMATCH(($BM$28+2),_xlfn.SCAN(0,--MID(_xlpm.s,_xlpm.k+1,9),_xlfn.LAMBDA(_xlpm.a,_xlpm.v,_xlpm.a+_xlpm.v)),1))),""),IF(($BM$28+2)&lt;=$BQ$28,$BP$28,""))))</f>
        <v/>
      </c>
    </row>
    <row r="158" spans="2:82" hidden="1" x14ac:dyDescent="0.45">
      <c r="B158" s="6"/>
      <c r="C158" s="9" t="str">
        <f>IF(CA158="","",CA158&amp;"-"&amp;TEXT(COUNTIF($CA$72:$CA$95,CA158)+COUNTIF($CB$72:$CB$95,CA158)+COUNTIF($CC$72:$CC$95,CA158)+COUNTIF($CD$72:$CD$95,CA158)+COUNTIF($CA$100:$CA$123,CA158)+COUNTIF($CB$100:$CB$123,CA158)+COUNTIF($CC$100:$CC$123,CA158)+COUNTIF($CD$100:$CD$123,CA158)+COUNTIF($CA$128:$CA$151,CA158)+COUNTIF($CB$128:$CB$151,CA158)+COUNTIF($CC$128:$CC$151,CA158)+COUNTIF($CD$128:$CD$151,CA158)+COUNTIF($CA$156:CA158,CA158),"000"))</f>
        <v/>
      </c>
      <c r="D158" s="9" t="str">
        <f>IF(AND($BN$25&lt;&gt;"",($BM$25+3)&lt;=$BO$25),$BN$25,"")</f>
        <v/>
      </c>
      <c r="E158" s="9" t="str">
        <f>IF(AND($BN$25&lt;&gt;"",($BM$25+3)&lt;=$BO$25),TEXT(($BM$25+3),"00"),"")</f>
        <v/>
      </c>
      <c r="F158" s="9" t="str">
        <f>IF(AND($BN$25&lt;&gt;"",($BM$25+3)&lt;=$BO$25),$BN$25&amp;"-"&amp;TEXT(($BM$25+3),"00"),"")</f>
        <v/>
      </c>
      <c r="H158" s="6"/>
      <c r="I158" s="9" t="str">
        <f>IF(CB158="","",CB158&amp;"-"&amp;TEXT(COUNTIF($CA$72:$CA$95,CB158)+COUNTIF($CB$72:$CB$95,CB158)+COUNTIF($CC$72:$CC$95,CB158)+COUNTIF($CD$72:$CD$95,CB158)+COUNTIF($CA$100:$CA$123,CB158)+COUNTIF($CB$100:$CB$123,CB158)+COUNTIF($CC$100:$CC$123,CB158)+COUNTIF($CD$100:$CD$123,CB158)+COUNTIF($CA$128:$CA$151,CB158)+COUNTIF($CB$128:$CB$151,CB158)+COUNTIF($CC$128:$CC$151,CB158)+COUNTIF($CD$128:$CD$151,CB158)+COUNTIF($CA$156:$CA$179,CB158)+COUNTIF($CB$156:CB158,CB158),"000"))</f>
        <v/>
      </c>
      <c r="J158" s="9" t="str">
        <f>IF(AND($BN$26&lt;&gt;"",($BM$26+3)&lt;=$BO$26),$BN$26,"")</f>
        <v/>
      </c>
      <c r="K158" s="9" t="str">
        <f>IF(AND($BN$26&lt;&gt;"",($BM$26+3)&lt;=$BO$26),TEXT(($BM$26+3),"00"),"")</f>
        <v/>
      </c>
      <c r="L158" s="9" t="str">
        <f>IF(AND($BN$26&lt;&gt;"",($BM$26+3)&lt;=$BO$26),$BN$26&amp;"-"&amp;TEXT(($BM$26+3),"00"),"")</f>
        <v/>
      </c>
      <c r="N158" s="6"/>
      <c r="O158" s="9" t="str">
        <f>IF(CC158="","",CC158&amp;"-"&amp;TEXT(COUNTIF($CA$72:$CA$95,CC158)+COUNTIF($CB$72:$CB$95,CC158)+COUNTIF($CC$72:$CC$95,CC158)+COUNTIF($CD$72:$CD$95,CC158)+COUNTIF($CA$100:$CA$123,CC158)+COUNTIF($CB$100:$CB$123,CC158)+COUNTIF($CC$100:$CC$123,CC158)+COUNTIF($CD$100:$CD$123,CC158)+COUNTIF($CA$128:$CA$151,CC158)+COUNTIF($CB$128:$CB$151,CC158)+COUNTIF($CC$128:$CC$151,CC158)+COUNTIF($CD$128:$CD$151,CC158)+COUNTIF($CA$156:$CA$179,CC158)+COUNTIF($CB$156:$CB$179,CC158)+COUNTIF($CC$156:CC158,CC158),"000"))</f>
        <v/>
      </c>
      <c r="P158" s="9" t="str">
        <f>IF(AND($BN$27&lt;&gt;"",($BM$27+3)&lt;=$BO$27),$BN$27,"")</f>
        <v/>
      </c>
      <c r="Q158" s="9" t="str">
        <f>IF(AND($BN$27&lt;&gt;"",($BM$27+3)&lt;=$BO$27),TEXT(($BM$27+3),"00"),"")</f>
        <v/>
      </c>
      <c r="R158" s="9" t="str">
        <f>IF(AND($BN$27&lt;&gt;"",($BM$27+3)&lt;=$BO$27),$BN$27&amp;"-"&amp;TEXT(($BM$27+3),"00"),"")</f>
        <v/>
      </c>
      <c r="T158" s="6"/>
      <c r="U158" s="9" t="str">
        <f>IF(CD158="","",CD158&amp;"-"&amp;TEXT(COUNTIF($CA$72:$CA$95,CD158)+COUNTIF($CB$72:$CB$95,CD158)+COUNTIF($CC$72:$CC$95,CD158)+COUNTIF($CD$72:$CD$95,CD158)+COUNTIF($CA$100:$CA$123,CD158)+COUNTIF($CB$100:$CB$123,CD158)+COUNTIF($CC$100:$CC$123,CD158)+COUNTIF($CD$100:$CD$123,CD158)+COUNTIF($CA$128:$CA$151,CD158)+COUNTIF($CB$128:$CB$151,CD158)+COUNTIF($CC$128:$CC$151,CD158)+COUNTIF($CD$128:$CD$151,CD158)+COUNTIF($CA$156:$CA$179,CD158)+COUNTIF($CB$156:$CB$179,CD158)+COUNTIF($CC$156:$CC$179,CD158)+COUNTIF($CD$156:CD158,CD158),"000"))</f>
        <v/>
      </c>
      <c r="V158" s="9" t="str">
        <f>IF(AND($BN$28&lt;&gt;"",($BM$28+3)&lt;=$BO$28),$BN$28,"")</f>
        <v/>
      </c>
      <c r="W158" s="9" t="str">
        <f>IF(AND($BN$28&lt;&gt;"",($BM$28+3)&lt;=$BO$28),TEXT(($BM$28+3),"00"),"")</f>
        <v/>
      </c>
      <c r="X158" s="9" t="str">
        <f>IF(AND($BN$28&lt;&gt;"",($BM$28+3)&lt;=$BO$28),$BN$28&amp;"-"&amp;TEXT(($BM$28+3),"00"),"")</f>
        <v/>
      </c>
      <c r="CA158" t="str" cm="1">
        <f t="array" ref="CA158">IF(NOT(AND($BN$25&lt;&gt;"",($BM$25+3)&lt;=$BO$25)),"",IF(B158&lt;&gt;"",IF(B158="-","",B158),IF(ISNUMBER(SEARCH(":",$BP$25)),IFERROR(_xlfn.LET(_xlpm.s,_xlfn.TEXTSPLIT($BP$25,","),_xlpm.k,FIND(":",_xlpm.s),INDEX(TRIM(LEFT(_xlpm.s,_xlpm.k-1)),_xlfn.XMATCH(($BM$25+3),_xlfn.SCAN(0,--MID(_xlpm.s,_xlpm.k+1,9),_xlfn.LAMBDA(_xlpm.a,_xlpm.v,_xlpm.a+_xlpm.v)),1))),""),IF(($BM$25+3)&lt;=$BQ$25,$BP$25,""))))</f>
        <v/>
      </c>
      <c r="CB158" t="str" cm="1">
        <f t="array" ref="CB158">IF(NOT(AND($BN$26&lt;&gt;"",($BM$26+3)&lt;=$BO$26)),"",IF(H158&lt;&gt;"",IF(H158="-","",H158),IF(ISNUMBER(SEARCH(":",$BP$26)),IFERROR(_xlfn.LET(_xlpm.s,_xlfn.TEXTSPLIT($BP$26,","),_xlpm.k,FIND(":",_xlpm.s),INDEX(TRIM(LEFT(_xlpm.s,_xlpm.k-1)),_xlfn.XMATCH(($BM$26+3),_xlfn.SCAN(0,--MID(_xlpm.s,_xlpm.k+1,9),_xlfn.LAMBDA(_xlpm.a,_xlpm.v,_xlpm.a+_xlpm.v)),1))),""),IF(($BM$26+3)&lt;=$BQ$26,$BP$26,""))))</f>
        <v/>
      </c>
      <c r="CC158" t="str" cm="1">
        <f t="array" ref="CC158">IF(NOT(AND($BN$27&lt;&gt;"",($BM$27+3)&lt;=$BO$27)),"",IF(N158&lt;&gt;"",IF(N158="-","",N158),IF(ISNUMBER(SEARCH(":",$BP$27)),IFERROR(_xlfn.LET(_xlpm.s,_xlfn.TEXTSPLIT($BP$27,","),_xlpm.k,FIND(":",_xlpm.s),INDEX(TRIM(LEFT(_xlpm.s,_xlpm.k-1)),_xlfn.XMATCH(($BM$27+3),_xlfn.SCAN(0,--MID(_xlpm.s,_xlpm.k+1,9),_xlfn.LAMBDA(_xlpm.a,_xlpm.v,_xlpm.a+_xlpm.v)),1))),""),IF(($BM$27+3)&lt;=$BQ$27,$BP$27,""))))</f>
        <v/>
      </c>
      <c r="CD158" t="str" cm="1">
        <f t="array" ref="CD158">IF(NOT(AND($BN$28&lt;&gt;"",($BM$28+3)&lt;=$BO$28)),"",IF(T158&lt;&gt;"",IF(T158="-","",T158),IF(ISNUMBER(SEARCH(":",$BP$28)),IFERROR(_xlfn.LET(_xlpm.s,_xlfn.TEXTSPLIT($BP$28,","),_xlpm.k,FIND(":",_xlpm.s),INDEX(TRIM(LEFT(_xlpm.s,_xlpm.k-1)),_xlfn.XMATCH(($BM$28+3),_xlfn.SCAN(0,--MID(_xlpm.s,_xlpm.k+1,9),_xlfn.LAMBDA(_xlpm.a,_xlpm.v,_xlpm.a+_xlpm.v)),1))),""),IF(($BM$28+3)&lt;=$BQ$28,$BP$28,""))))</f>
        <v/>
      </c>
    </row>
    <row r="159" spans="2:82" hidden="1" x14ac:dyDescent="0.45">
      <c r="B159" s="6"/>
      <c r="C159" s="9" t="str">
        <f>IF(CA159="","",CA159&amp;"-"&amp;TEXT(COUNTIF($CA$72:$CA$95,CA159)+COUNTIF($CB$72:$CB$95,CA159)+COUNTIF($CC$72:$CC$95,CA159)+COUNTIF($CD$72:$CD$95,CA159)+COUNTIF($CA$100:$CA$123,CA159)+COUNTIF($CB$100:$CB$123,CA159)+COUNTIF($CC$100:$CC$123,CA159)+COUNTIF($CD$100:$CD$123,CA159)+COUNTIF($CA$128:$CA$151,CA159)+COUNTIF($CB$128:$CB$151,CA159)+COUNTIF($CC$128:$CC$151,CA159)+COUNTIF($CD$128:$CD$151,CA159)+COUNTIF($CA$156:CA159,CA159),"000"))</f>
        <v/>
      </c>
      <c r="D159" s="9" t="str">
        <f>IF(AND($BN$25&lt;&gt;"",($BM$25+4)&lt;=$BO$25),$BN$25,"")</f>
        <v/>
      </c>
      <c r="E159" s="9" t="str">
        <f>IF(AND($BN$25&lt;&gt;"",($BM$25+4)&lt;=$BO$25),TEXT(($BM$25+4),"00"),"")</f>
        <v/>
      </c>
      <c r="F159" s="9" t="str">
        <f>IF(AND($BN$25&lt;&gt;"",($BM$25+4)&lt;=$BO$25),$BN$25&amp;"-"&amp;TEXT(($BM$25+4),"00"),"")</f>
        <v/>
      </c>
      <c r="H159" s="6"/>
      <c r="I159" s="9" t="str">
        <f>IF(CB159="","",CB159&amp;"-"&amp;TEXT(COUNTIF($CA$72:$CA$95,CB159)+COUNTIF($CB$72:$CB$95,CB159)+COUNTIF($CC$72:$CC$95,CB159)+COUNTIF($CD$72:$CD$95,CB159)+COUNTIF($CA$100:$CA$123,CB159)+COUNTIF($CB$100:$CB$123,CB159)+COUNTIF($CC$100:$CC$123,CB159)+COUNTIF($CD$100:$CD$123,CB159)+COUNTIF($CA$128:$CA$151,CB159)+COUNTIF($CB$128:$CB$151,CB159)+COUNTIF($CC$128:$CC$151,CB159)+COUNTIF($CD$128:$CD$151,CB159)+COUNTIF($CA$156:$CA$179,CB159)+COUNTIF($CB$156:CB159,CB159),"000"))</f>
        <v/>
      </c>
      <c r="J159" s="9" t="str">
        <f>IF(AND($BN$26&lt;&gt;"",($BM$26+4)&lt;=$BO$26),$BN$26,"")</f>
        <v/>
      </c>
      <c r="K159" s="9" t="str">
        <f>IF(AND($BN$26&lt;&gt;"",($BM$26+4)&lt;=$BO$26),TEXT(($BM$26+4),"00"),"")</f>
        <v/>
      </c>
      <c r="L159" s="9" t="str">
        <f>IF(AND($BN$26&lt;&gt;"",($BM$26+4)&lt;=$BO$26),$BN$26&amp;"-"&amp;TEXT(($BM$26+4),"00"),"")</f>
        <v/>
      </c>
      <c r="N159" s="6"/>
      <c r="O159" s="9" t="str">
        <f>IF(CC159="","",CC159&amp;"-"&amp;TEXT(COUNTIF($CA$72:$CA$95,CC159)+COUNTIF($CB$72:$CB$95,CC159)+COUNTIF($CC$72:$CC$95,CC159)+COUNTIF($CD$72:$CD$95,CC159)+COUNTIF($CA$100:$CA$123,CC159)+COUNTIF($CB$100:$CB$123,CC159)+COUNTIF($CC$100:$CC$123,CC159)+COUNTIF($CD$100:$CD$123,CC159)+COUNTIF($CA$128:$CA$151,CC159)+COUNTIF($CB$128:$CB$151,CC159)+COUNTIF($CC$128:$CC$151,CC159)+COUNTIF($CD$128:$CD$151,CC159)+COUNTIF($CA$156:$CA$179,CC159)+COUNTIF($CB$156:$CB$179,CC159)+COUNTIF($CC$156:CC159,CC159),"000"))</f>
        <v/>
      </c>
      <c r="P159" s="9" t="str">
        <f>IF(AND($BN$27&lt;&gt;"",($BM$27+4)&lt;=$BO$27),$BN$27,"")</f>
        <v/>
      </c>
      <c r="Q159" s="9" t="str">
        <f>IF(AND($BN$27&lt;&gt;"",($BM$27+4)&lt;=$BO$27),TEXT(($BM$27+4),"00"),"")</f>
        <v/>
      </c>
      <c r="R159" s="9" t="str">
        <f>IF(AND($BN$27&lt;&gt;"",($BM$27+4)&lt;=$BO$27),$BN$27&amp;"-"&amp;TEXT(($BM$27+4),"00"),"")</f>
        <v/>
      </c>
      <c r="T159" s="6"/>
      <c r="U159" s="9" t="str">
        <f>IF(CD159="","",CD159&amp;"-"&amp;TEXT(COUNTIF($CA$72:$CA$95,CD159)+COUNTIF($CB$72:$CB$95,CD159)+COUNTIF($CC$72:$CC$95,CD159)+COUNTIF($CD$72:$CD$95,CD159)+COUNTIF($CA$100:$CA$123,CD159)+COUNTIF($CB$100:$CB$123,CD159)+COUNTIF($CC$100:$CC$123,CD159)+COUNTIF($CD$100:$CD$123,CD159)+COUNTIF($CA$128:$CA$151,CD159)+COUNTIF($CB$128:$CB$151,CD159)+COUNTIF($CC$128:$CC$151,CD159)+COUNTIF($CD$128:$CD$151,CD159)+COUNTIF($CA$156:$CA$179,CD159)+COUNTIF($CB$156:$CB$179,CD159)+COUNTIF($CC$156:$CC$179,CD159)+COUNTIF($CD$156:CD159,CD159),"000"))</f>
        <v/>
      </c>
      <c r="V159" s="9" t="str">
        <f>IF(AND($BN$28&lt;&gt;"",($BM$28+4)&lt;=$BO$28),$BN$28,"")</f>
        <v/>
      </c>
      <c r="W159" s="9" t="str">
        <f>IF(AND($BN$28&lt;&gt;"",($BM$28+4)&lt;=$BO$28),TEXT(($BM$28+4),"00"),"")</f>
        <v/>
      </c>
      <c r="X159" s="9" t="str">
        <f>IF(AND($BN$28&lt;&gt;"",($BM$28+4)&lt;=$BO$28),$BN$28&amp;"-"&amp;TEXT(($BM$28+4),"00"),"")</f>
        <v/>
      </c>
      <c r="CA159" t="str" cm="1">
        <f t="array" ref="CA159">IF(NOT(AND($BN$25&lt;&gt;"",($BM$25+4)&lt;=$BO$25)),"",IF(B159&lt;&gt;"",IF(B159="-","",B159),IF(ISNUMBER(SEARCH(":",$BP$25)),IFERROR(_xlfn.LET(_xlpm.s,_xlfn.TEXTSPLIT($BP$25,","),_xlpm.k,FIND(":",_xlpm.s),INDEX(TRIM(LEFT(_xlpm.s,_xlpm.k-1)),_xlfn.XMATCH(($BM$25+4),_xlfn.SCAN(0,--MID(_xlpm.s,_xlpm.k+1,9),_xlfn.LAMBDA(_xlpm.a,_xlpm.v,_xlpm.a+_xlpm.v)),1))),""),IF(($BM$25+4)&lt;=$BQ$25,$BP$25,""))))</f>
        <v/>
      </c>
      <c r="CB159" t="str" cm="1">
        <f t="array" ref="CB159">IF(NOT(AND($BN$26&lt;&gt;"",($BM$26+4)&lt;=$BO$26)),"",IF(H159&lt;&gt;"",IF(H159="-","",H159),IF(ISNUMBER(SEARCH(":",$BP$26)),IFERROR(_xlfn.LET(_xlpm.s,_xlfn.TEXTSPLIT($BP$26,","),_xlpm.k,FIND(":",_xlpm.s),INDEX(TRIM(LEFT(_xlpm.s,_xlpm.k-1)),_xlfn.XMATCH(($BM$26+4),_xlfn.SCAN(0,--MID(_xlpm.s,_xlpm.k+1,9),_xlfn.LAMBDA(_xlpm.a,_xlpm.v,_xlpm.a+_xlpm.v)),1))),""),IF(($BM$26+4)&lt;=$BQ$26,$BP$26,""))))</f>
        <v/>
      </c>
      <c r="CC159" t="str" cm="1">
        <f t="array" ref="CC159">IF(NOT(AND($BN$27&lt;&gt;"",($BM$27+4)&lt;=$BO$27)),"",IF(N159&lt;&gt;"",IF(N159="-","",N159),IF(ISNUMBER(SEARCH(":",$BP$27)),IFERROR(_xlfn.LET(_xlpm.s,_xlfn.TEXTSPLIT($BP$27,","),_xlpm.k,FIND(":",_xlpm.s),INDEX(TRIM(LEFT(_xlpm.s,_xlpm.k-1)),_xlfn.XMATCH(($BM$27+4),_xlfn.SCAN(0,--MID(_xlpm.s,_xlpm.k+1,9),_xlfn.LAMBDA(_xlpm.a,_xlpm.v,_xlpm.a+_xlpm.v)),1))),""),IF(($BM$27+4)&lt;=$BQ$27,$BP$27,""))))</f>
        <v/>
      </c>
      <c r="CD159" t="str" cm="1">
        <f t="array" ref="CD159">IF(NOT(AND($BN$28&lt;&gt;"",($BM$28+4)&lt;=$BO$28)),"",IF(T159&lt;&gt;"",IF(T159="-","",T159),IF(ISNUMBER(SEARCH(":",$BP$28)),IFERROR(_xlfn.LET(_xlpm.s,_xlfn.TEXTSPLIT($BP$28,","),_xlpm.k,FIND(":",_xlpm.s),INDEX(TRIM(LEFT(_xlpm.s,_xlpm.k-1)),_xlfn.XMATCH(($BM$28+4),_xlfn.SCAN(0,--MID(_xlpm.s,_xlpm.k+1,9),_xlfn.LAMBDA(_xlpm.a,_xlpm.v,_xlpm.a+_xlpm.v)),1))),""),IF(($BM$28+4)&lt;=$BQ$28,$BP$28,""))))</f>
        <v/>
      </c>
    </row>
    <row r="160" spans="2:82" hidden="1" x14ac:dyDescent="0.45">
      <c r="B160" s="6"/>
      <c r="C160" s="9" t="str">
        <f>IF(CA160="","",CA160&amp;"-"&amp;TEXT(COUNTIF($CA$72:$CA$95,CA160)+COUNTIF($CB$72:$CB$95,CA160)+COUNTIF($CC$72:$CC$95,CA160)+COUNTIF($CD$72:$CD$95,CA160)+COUNTIF($CA$100:$CA$123,CA160)+COUNTIF($CB$100:$CB$123,CA160)+COUNTIF($CC$100:$CC$123,CA160)+COUNTIF($CD$100:$CD$123,CA160)+COUNTIF($CA$128:$CA$151,CA160)+COUNTIF($CB$128:$CB$151,CA160)+COUNTIF($CC$128:$CC$151,CA160)+COUNTIF($CD$128:$CD$151,CA160)+COUNTIF($CA$156:CA160,CA160),"000"))</f>
        <v/>
      </c>
      <c r="D160" s="9" t="str">
        <f>IF(AND($BN$25&lt;&gt;"",($BM$25+5)&lt;=$BO$25),$BN$25,"")</f>
        <v/>
      </c>
      <c r="E160" s="9" t="str">
        <f>IF(AND($BN$25&lt;&gt;"",($BM$25+5)&lt;=$BO$25),TEXT(($BM$25+5),"00"),"")</f>
        <v/>
      </c>
      <c r="F160" s="9" t="str">
        <f>IF(AND($BN$25&lt;&gt;"",($BM$25+5)&lt;=$BO$25),$BN$25&amp;"-"&amp;TEXT(($BM$25+5),"00"),"")</f>
        <v/>
      </c>
      <c r="H160" s="6"/>
      <c r="I160" s="9" t="str">
        <f>IF(CB160="","",CB160&amp;"-"&amp;TEXT(COUNTIF($CA$72:$CA$95,CB160)+COUNTIF($CB$72:$CB$95,CB160)+COUNTIF($CC$72:$CC$95,CB160)+COUNTIF($CD$72:$CD$95,CB160)+COUNTIF($CA$100:$CA$123,CB160)+COUNTIF($CB$100:$CB$123,CB160)+COUNTIF($CC$100:$CC$123,CB160)+COUNTIF($CD$100:$CD$123,CB160)+COUNTIF($CA$128:$CA$151,CB160)+COUNTIF($CB$128:$CB$151,CB160)+COUNTIF($CC$128:$CC$151,CB160)+COUNTIF($CD$128:$CD$151,CB160)+COUNTIF($CA$156:$CA$179,CB160)+COUNTIF($CB$156:CB160,CB160),"000"))</f>
        <v/>
      </c>
      <c r="J160" s="9" t="str">
        <f>IF(AND($BN$26&lt;&gt;"",($BM$26+5)&lt;=$BO$26),$BN$26,"")</f>
        <v/>
      </c>
      <c r="K160" s="9" t="str">
        <f>IF(AND($BN$26&lt;&gt;"",($BM$26+5)&lt;=$BO$26),TEXT(($BM$26+5),"00"),"")</f>
        <v/>
      </c>
      <c r="L160" s="9" t="str">
        <f>IF(AND($BN$26&lt;&gt;"",($BM$26+5)&lt;=$BO$26),$BN$26&amp;"-"&amp;TEXT(($BM$26+5),"00"),"")</f>
        <v/>
      </c>
      <c r="N160" s="6"/>
      <c r="O160" s="9" t="str">
        <f>IF(CC160="","",CC160&amp;"-"&amp;TEXT(COUNTIF($CA$72:$CA$95,CC160)+COUNTIF($CB$72:$CB$95,CC160)+COUNTIF($CC$72:$CC$95,CC160)+COUNTIF($CD$72:$CD$95,CC160)+COUNTIF($CA$100:$CA$123,CC160)+COUNTIF($CB$100:$CB$123,CC160)+COUNTIF($CC$100:$CC$123,CC160)+COUNTIF($CD$100:$CD$123,CC160)+COUNTIF($CA$128:$CA$151,CC160)+COUNTIF($CB$128:$CB$151,CC160)+COUNTIF($CC$128:$CC$151,CC160)+COUNTIF($CD$128:$CD$151,CC160)+COUNTIF($CA$156:$CA$179,CC160)+COUNTIF($CB$156:$CB$179,CC160)+COUNTIF($CC$156:CC160,CC160),"000"))</f>
        <v/>
      </c>
      <c r="P160" s="9" t="str">
        <f>IF(AND($BN$27&lt;&gt;"",($BM$27+5)&lt;=$BO$27),$BN$27,"")</f>
        <v/>
      </c>
      <c r="Q160" s="9" t="str">
        <f>IF(AND($BN$27&lt;&gt;"",($BM$27+5)&lt;=$BO$27),TEXT(($BM$27+5),"00"),"")</f>
        <v/>
      </c>
      <c r="R160" s="9" t="str">
        <f>IF(AND($BN$27&lt;&gt;"",($BM$27+5)&lt;=$BO$27),$BN$27&amp;"-"&amp;TEXT(($BM$27+5),"00"),"")</f>
        <v/>
      </c>
      <c r="T160" s="6"/>
      <c r="U160" s="9" t="str">
        <f>IF(CD160="","",CD160&amp;"-"&amp;TEXT(COUNTIF($CA$72:$CA$95,CD160)+COUNTIF($CB$72:$CB$95,CD160)+COUNTIF($CC$72:$CC$95,CD160)+COUNTIF($CD$72:$CD$95,CD160)+COUNTIF($CA$100:$CA$123,CD160)+COUNTIF($CB$100:$CB$123,CD160)+COUNTIF($CC$100:$CC$123,CD160)+COUNTIF($CD$100:$CD$123,CD160)+COUNTIF($CA$128:$CA$151,CD160)+COUNTIF($CB$128:$CB$151,CD160)+COUNTIF($CC$128:$CC$151,CD160)+COUNTIF($CD$128:$CD$151,CD160)+COUNTIF($CA$156:$CA$179,CD160)+COUNTIF($CB$156:$CB$179,CD160)+COUNTIF($CC$156:$CC$179,CD160)+COUNTIF($CD$156:CD160,CD160),"000"))</f>
        <v/>
      </c>
      <c r="V160" s="9" t="str">
        <f>IF(AND($BN$28&lt;&gt;"",($BM$28+5)&lt;=$BO$28),$BN$28,"")</f>
        <v/>
      </c>
      <c r="W160" s="9" t="str">
        <f>IF(AND($BN$28&lt;&gt;"",($BM$28+5)&lt;=$BO$28),TEXT(($BM$28+5),"00"),"")</f>
        <v/>
      </c>
      <c r="X160" s="9" t="str">
        <f>IF(AND($BN$28&lt;&gt;"",($BM$28+5)&lt;=$BO$28),$BN$28&amp;"-"&amp;TEXT(($BM$28+5),"00"),"")</f>
        <v/>
      </c>
      <c r="CA160" t="str" cm="1">
        <f t="array" ref="CA160">IF(NOT(AND($BN$25&lt;&gt;"",($BM$25+5)&lt;=$BO$25)),"",IF(B160&lt;&gt;"",IF(B160="-","",B160),IF(ISNUMBER(SEARCH(":",$BP$25)),IFERROR(_xlfn.LET(_xlpm.s,_xlfn.TEXTSPLIT($BP$25,","),_xlpm.k,FIND(":",_xlpm.s),INDEX(TRIM(LEFT(_xlpm.s,_xlpm.k-1)),_xlfn.XMATCH(($BM$25+5),_xlfn.SCAN(0,--MID(_xlpm.s,_xlpm.k+1,9),_xlfn.LAMBDA(_xlpm.a,_xlpm.v,_xlpm.a+_xlpm.v)),1))),""),IF(($BM$25+5)&lt;=$BQ$25,$BP$25,""))))</f>
        <v/>
      </c>
      <c r="CB160" t="str" cm="1">
        <f t="array" ref="CB160">IF(NOT(AND($BN$26&lt;&gt;"",($BM$26+5)&lt;=$BO$26)),"",IF(H160&lt;&gt;"",IF(H160="-","",H160),IF(ISNUMBER(SEARCH(":",$BP$26)),IFERROR(_xlfn.LET(_xlpm.s,_xlfn.TEXTSPLIT($BP$26,","),_xlpm.k,FIND(":",_xlpm.s),INDEX(TRIM(LEFT(_xlpm.s,_xlpm.k-1)),_xlfn.XMATCH(($BM$26+5),_xlfn.SCAN(0,--MID(_xlpm.s,_xlpm.k+1,9),_xlfn.LAMBDA(_xlpm.a,_xlpm.v,_xlpm.a+_xlpm.v)),1))),""),IF(($BM$26+5)&lt;=$BQ$26,$BP$26,""))))</f>
        <v/>
      </c>
      <c r="CC160" t="str" cm="1">
        <f t="array" ref="CC160">IF(NOT(AND($BN$27&lt;&gt;"",($BM$27+5)&lt;=$BO$27)),"",IF(N160&lt;&gt;"",IF(N160="-","",N160),IF(ISNUMBER(SEARCH(":",$BP$27)),IFERROR(_xlfn.LET(_xlpm.s,_xlfn.TEXTSPLIT($BP$27,","),_xlpm.k,FIND(":",_xlpm.s),INDEX(TRIM(LEFT(_xlpm.s,_xlpm.k-1)),_xlfn.XMATCH(($BM$27+5),_xlfn.SCAN(0,--MID(_xlpm.s,_xlpm.k+1,9),_xlfn.LAMBDA(_xlpm.a,_xlpm.v,_xlpm.a+_xlpm.v)),1))),""),IF(($BM$27+5)&lt;=$BQ$27,$BP$27,""))))</f>
        <v/>
      </c>
      <c r="CD160" t="str" cm="1">
        <f t="array" ref="CD160">IF(NOT(AND($BN$28&lt;&gt;"",($BM$28+5)&lt;=$BO$28)),"",IF(T160&lt;&gt;"",IF(T160="-","",T160),IF(ISNUMBER(SEARCH(":",$BP$28)),IFERROR(_xlfn.LET(_xlpm.s,_xlfn.TEXTSPLIT($BP$28,","),_xlpm.k,FIND(":",_xlpm.s),INDEX(TRIM(LEFT(_xlpm.s,_xlpm.k-1)),_xlfn.XMATCH(($BM$28+5),_xlfn.SCAN(0,--MID(_xlpm.s,_xlpm.k+1,9),_xlfn.LAMBDA(_xlpm.a,_xlpm.v,_xlpm.a+_xlpm.v)),1))),""),IF(($BM$28+5)&lt;=$BQ$28,$BP$28,""))))</f>
        <v/>
      </c>
    </row>
    <row r="161" spans="2:82" hidden="1" x14ac:dyDescent="0.45">
      <c r="B161" s="6"/>
      <c r="C161" s="9" t="str">
        <f>IF(CA161="","",CA161&amp;"-"&amp;TEXT(COUNTIF($CA$72:$CA$95,CA161)+COUNTIF($CB$72:$CB$95,CA161)+COUNTIF($CC$72:$CC$95,CA161)+COUNTIF($CD$72:$CD$95,CA161)+COUNTIF($CA$100:$CA$123,CA161)+COUNTIF($CB$100:$CB$123,CA161)+COUNTIF($CC$100:$CC$123,CA161)+COUNTIF($CD$100:$CD$123,CA161)+COUNTIF($CA$128:$CA$151,CA161)+COUNTIF($CB$128:$CB$151,CA161)+COUNTIF($CC$128:$CC$151,CA161)+COUNTIF($CD$128:$CD$151,CA161)+COUNTIF($CA$156:CA161,CA161),"000"))</f>
        <v/>
      </c>
      <c r="D161" s="9" t="str">
        <f>IF(AND($BN$25&lt;&gt;"",($BM$25+6)&lt;=$BO$25),$BN$25,"")</f>
        <v/>
      </c>
      <c r="E161" s="9" t="str">
        <f>IF(AND($BN$25&lt;&gt;"",($BM$25+6)&lt;=$BO$25),TEXT(($BM$25+6),"00"),"")</f>
        <v/>
      </c>
      <c r="F161" s="9" t="str">
        <f>IF(AND($BN$25&lt;&gt;"",($BM$25+6)&lt;=$BO$25),$BN$25&amp;"-"&amp;TEXT(($BM$25+6),"00"),"")</f>
        <v/>
      </c>
      <c r="H161" s="6"/>
      <c r="I161" s="9" t="str">
        <f>IF(CB161="","",CB161&amp;"-"&amp;TEXT(COUNTIF($CA$72:$CA$95,CB161)+COUNTIF($CB$72:$CB$95,CB161)+COUNTIF($CC$72:$CC$95,CB161)+COUNTIF($CD$72:$CD$95,CB161)+COUNTIF($CA$100:$CA$123,CB161)+COUNTIF($CB$100:$CB$123,CB161)+COUNTIF($CC$100:$CC$123,CB161)+COUNTIF($CD$100:$CD$123,CB161)+COUNTIF($CA$128:$CA$151,CB161)+COUNTIF($CB$128:$CB$151,CB161)+COUNTIF($CC$128:$CC$151,CB161)+COUNTIF($CD$128:$CD$151,CB161)+COUNTIF($CA$156:$CA$179,CB161)+COUNTIF($CB$156:CB161,CB161),"000"))</f>
        <v/>
      </c>
      <c r="J161" s="9" t="str">
        <f>IF(AND($BN$26&lt;&gt;"",($BM$26+6)&lt;=$BO$26),$BN$26,"")</f>
        <v/>
      </c>
      <c r="K161" s="9" t="str">
        <f>IF(AND($BN$26&lt;&gt;"",($BM$26+6)&lt;=$BO$26),TEXT(($BM$26+6),"00"),"")</f>
        <v/>
      </c>
      <c r="L161" s="9" t="str">
        <f>IF(AND($BN$26&lt;&gt;"",($BM$26+6)&lt;=$BO$26),$BN$26&amp;"-"&amp;TEXT(($BM$26+6),"00"),"")</f>
        <v/>
      </c>
      <c r="N161" s="6"/>
      <c r="O161" s="9" t="str">
        <f>IF(CC161="","",CC161&amp;"-"&amp;TEXT(COUNTIF($CA$72:$CA$95,CC161)+COUNTIF($CB$72:$CB$95,CC161)+COUNTIF($CC$72:$CC$95,CC161)+COUNTIF($CD$72:$CD$95,CC161)+COUNTIF($CA$100:$CA$123,CC161)+COUNTIF($CB$100:$CB$123,CC161)+COUNTIF($CC$100:$CC$123,CC161)+COUNTIF($CD$100:$CD$123,CC161)+COUNTIF($CA$128:$CA$151,CC161)+COUNTIF($CB$128:$CB$151,CC161)+COUNTIF($CC$128:$CC$151,CC161)+COUNTIF($CD$128:$CD$151,CC161)+COUNTIF($CA$156:$CA$179,CC161)+COUNTIF($CB$156:$CB$179,CC161)+COUNTIF($CC$156:CC161,CC161),"000"))</f>
        <v/>
      </c>
      <c r="P161" s="9" t="str">
        <f>IF(AND($BN$27&lt;&gt;"",($BM$27+6)&lt;=$BO$27),$BN$27,"")</f>
        <v/>
      </c>
      <c r="Q161" s="9" t="str">
        <f>IF(AND($BN$27&lt;&gt;"",($BM$27+6)&lt;=$BO$27),TEXT(($BM$27+6),"00"),"")</f>
        <v/>
      </c>
      <c r="R161" s="9" t="str">
        <f>IF(AND($BN$27&lt;&gt;"",($BM$27+6)&lt;=$BO$27),$BN$27&amp;"-"&amp;TEXT(($BM$27+6),"00"),"")</f>
        <v/>
      </c>
      <c r="T161" s="6"/>
      <c r="U161" s="9" t="str">
        <f>IF(CD161="","",CD161&amp;"-"&amp;TEXT(COUNTIF($CA$72:$CA$95,CD161)+COUNTIF($CB$72:$CB$95,CD161)+COUNTIF($CC$72:$CC$95,CD161)+COUNTIF($CD$72:$CD$95,CD161)+COUNTIF($CA$100:$CA$123,CD161)+COUNTIF($CB$100:$CB$123,CD161)+COUNTIF($CC$100:$CC$123,CD161)+COUNTIF($CD$100:$CD$123,CD161)+COUNTIF($CA$128:$CA$151,CD161)+COUNTIF($CB$128:$CB$151,CD161)+COUNTIF($CC$128:$CC$151,CD161)+COUNTIF($CD$128:$CD$151,CD161)+COUNTIF($CA$156:$CA$179,CD161)+COUNTIF($CB$156:$CB$179,CD161)+COUNTIF($CC$156:$CC$179,CD161)+COUNTIF($CD$156:CD161,CD161),"000"))</f>
        <v/>
      </c>
      <c r="V161" s="9" t="str">
        <f>IF(AND($BN$28&lt;&gt;"",($BM$28+6)&lt;=$BO$28),$BN$28,"")</f>
        <v/>
      </c>
      <c r="W161" s="9" t="str">
        <f>IF(AND($BN$28&lt;&gt;"",($BM$28+6)&lt;=$BO$28),TEXT(($BM$28+6),"00"),"")</f>
        <v/>
      </c>
      <c r="X161" s="9" t="str">
        <f>IF(AND($BN$28&lt;&gt;"",($BM$28+6)&lt;=$BO$28),$BN$28&amp;"-"&amp;TEXT(($BM$28+6),"00"),"")</f>
        <v/>
      </c>
      <c r="CA161" t="str" cm="1">
        <f t="array" ref="CA161">IF(NOT(AND($BN$25&lt;&gt;"",($BM$25+6)&lt;=$BO$25)),"",IF(B161&lt;&gt;"",IF(B161="-","",B161),IF(ISNUMBER(SEARCH(":",$BP$25)),IFERROR(_xlfn.LET(_xlpm.s,_xlfn.TEXTSPLIT($BP$25,","),_xlpm.k,FIND(":",_xlpm.s),INDEX(TRIM(LEFT(_xlpm.s,_xlpm.k-1)),_xlfn.XMATCH(($BM$25+6),_xlfn.SCAN(0,--MID(_xlpm.s,_xlpm.k+1,9),_xlfn.LAMBDA(_xlpm.a,_xlpm.v,_xlpm.a+_xlpm.v)),1))),""),IF(($BM$25+6)&lt;=$BQ$25,$BP$25,""))))</f>
        <v/>
      </c>
      <c r="CB161" t="str" cm="1">
        <f t="array" ref="CB161">IF(NOT(AND($BN$26&lt;&gt;"",($BM$26+6)&lt;=$BO$26)),"",IF(H161&lt;&gt;"",IF(H161="-","",H161),IF(ISNUMBER(SEARCH(":",$BP$26)),IFERROR(_xlfn.LET(_xlpm.s,_xlfn.TEXTSPLIT($BP$26,","),_xlpm.k,FIND(":",_xlpm.s),INDEX(TRIM(LEFT(_xlpm.s,_xlpm.k-1)),_xlfn.XMATCH(($BM$26+6),_xlfn.SCAN(0,--MID(_xlpm.s,_xlpm.k+1,9),_xlfn.LAMBDA(_xlpm.a,_xlpm.v,_xlpm.a+_xlpm.v)),1))),""),IF(($BM$26+6)&lt;=$BQ$26,$BP$26,""))))</f>
        <v/>
      </c>
      <c r="CC161" t="str" cm="1">
        <f t="array" ref="CC161">IF(NOT(AND($BN$27&lt;&gt;"",($BM$27+6)&lt;=$BO$27)),"",IF(N161&lt;&gt;"",IF(N161="-","",N161),IF(ISNUMBER(SEARCH(":",$BP$27)),IFERROR(_xlfn.LET(_xlpm.s,_xlfn.TEXTSPLIT($BP$27,","),_xlpm.k,FIND(":",_xlpm.s),INDEX(TRIM(LEFT(_xlpm.s,_xlpm.k-1)),_xlfn.XMATCH(($BM$27+6),_xlfn.SCAN(0,--MID(_xlpm.s,_xlpm.k+1,9),_xlfn.LAMBDA(_xlpm.a,_xlpm.v,_xlpm.a+_xlpm.v)),1))),""),IF(($BM$27+6)&lt;=$BQ$27,$BP$27,""))))</f>
        <v/>
      </c>
      <c r="CD161" t="str" cm="1">
        <f t="array" ref="CD161">IF(NOT(AND($BN$28&lt;&gt;"",($BM$28+6)&lt;=$BO$28)),"",IF(T161&lt;&gt;"",IF(T161="-","",T161),IF(ISNUMBER(SEARCH(":",$BP$28)),IFERROR(_xlfn.LET(_xlpm.s,_xlfn.TEXTSPLIT($BP$28,","),_xlpm.k,FIND(":",_xlpm.s),INDEX(TRIM(LEFT(_xlpm.s,_xlpm.k-1)),_xlfn.XMATCH(($BM$28+6),_xlfn.SCAN(0,--MID(_xlpm.s,_xlpm.k+1,9),_xlfn.LAMBDA(_xlpm.a,_xlpm.v,_xlpm.a+_xlpm.v)),1))),""),IF(($BM$28+6)&lt;=$BQ$28,$BP$28,""))))</f>
        <v/>
      </c>
    </row>
    <row r="162" spans="2:82" hidden="1" x14ac:dyDescent="0.45">
      <c r="B162" s="6"/>
      <c r="C162" s="9" t="str">
        <f>IF(CA162="","",CA162&amp;"-"&amp;TEXT(COUNTIF($CA$72:$CA$95,CA162)+COUNTIF($CB$72:$CB$95,CA162)+COUNTIF($CC$72:$CC$95,CA162)+COUNTIF($CD$72:$CD$95,CA162)+COUNTIF($CA$100:$CA$123,CA162)+COUNTIF($CB$100:$CB$123,CA162)+COUNTIF($CC$100:$CC$123,CA162)+COUNTIF($CD$100:$CD$123,CA162)+COUNTIF($CA$128:$CA$151,CA162)+COUNTIF($CB$128:$CB$151,CA162)+COUNTIF($CC$128:$CC$151,CA162)+COUNTIF($CD$128:$CD$151,CA162)+COUNTIF($CA$156:CA162,CA162),"000"))</f>
        <v/>
      </c>
      <c r="D162" s="9" t="str">
        <f>IF(AND($BN$25&lt;&gt;"",($BM$25+7)&lt;=$BO$25),$BN$25,"")</f>
        <v/>
      </c>
      <c r="E162" s="9" t="str">
        <f>IF(AND($BN$25&lt;&gt;"",($BM$25+7)&lt;=$BO$25),TEXT(($BM$25+7),"00"),"")</f>
        <v/>
      </c>
      <c r="F162" s="9" t="str">
        <f>IF(AND($BN$25&lt;&gt;"",($BM$25+7)&lt;=$BO$25),$BN$25&amp;"-"&amp;TEXT(($BM$25+7),"00"),"")</f>
        <v/>
      </c>
      <c r="H162" s="6"/>
      <c r="I162" s="9" t="str">
        <f>IF(CB162="","",CB162&amp;"-"&amp;TEXT(COUNTIF($CA$72:$CA$95,CB162)+COUNTIF($CB$72:$CB$95,CB162)+COUNTIF($CC$72:$CC$95,CB162)+COUNTIF($CD$72:$CD$95,CB162)+COUNTIF($CA$100:$CA$123,CB162)+COUNTIF($CB$100:$CB$123,CB162)+COUNTIF($CC$100:$CC$123,CB162)+COUNTIF($CD$100:$CD$123,CB162)+COUNTIF($CA$128:$CA$151,CB162)+COUNTIF($CB$128:$CB$151,CB162)+COUNTIF($CC$128:$CC$151,CB162)+COUNTIF($CD$128:$CD$151,CB162)+COUNTIF($CA$156:$CA$179,CB162)+COUNTIF($CB$156:CB162,CB162),"000"))</f>
        <v/>
      </c>
      <c r="J162" s="9" t="str">
        <f>IF(AND($BN$26&lt;&gt;"",($BM$26+7)&lt;=$BO$26),$BN$26,"")</f>
        <v/>
      </c>
      <c r="K162" s="9" t="str">
        <f>IF(AND($BN$26&lt;&gt;"",($BM$26+7)&lt;=$BO$26),TEXT(($BM$26+7),"00"),"")</f>
        <v/>
      </c>
      <c r="L162" s="9" t="str">
        <f>IF(AND($BN$26&lt;&gt;"",($BM$26+7)&lt;=$BO$26),$BN$26&amp;"-"&amp;TEXT(($BM$26+7),"00"),"")</f>
        <v/>
      </c>
      <c r="N162" s="6"/>
      <c r="O162" s="9" t="str">
        <f>IF(CC162="","",CC162&amp;"-"&amp;TEXT(COUNTIF($CA$72:$CA$95,CC162)+COUNTIF($CB$72:$CB$95,CC162)+COUNTIF($CC$72:$CC$95,CC162)+COUNTIF($CD$72:$CD$95,CC162)+COUNTIF($CA$100:$CA$123,CC162)+COUNTIF($CB$100:$CB$123,CC162)+COUNTIF($CC$100:$CC$123,CC162)+COUNTIF($CD$100:$CD$123,CC162)+COUNTIF($CA$128:$CA$151,CC162)+COUNTIF($CB$128:$CB$151,CC162)+COUNTIF($CC$128:$CC$151,CC162)+COUNTIF($CD$128:$CD$151,CC162)+COUNTIF($CA$156:$CA$179,CC162)+COUNTIF($CB$156:$CB$179,CC162)+COUNTIF($CC$156:CC162,CC162),"000"))</f>
        <v/>
      </c>
      <c r="P162" s="9" t="str">
        <f>IF(AND($BN$27&lt;&gt;"",($BM$27+7)&lt;=$BO$27),$BN$27,"")</f>
        <v/>
      </c>
      <c r="Q162" s="9" t="str">
        <f>IF(AND($BN$27&lt;&gt;"",($BM$27+7)&lt;=$BO$27),TEXT(($BM$27+7),"00"),"")</f>
        <v/>
      </c>
      <c r="R162" s="9" t="str">
        <f>IF(AND($BN$27&lt;&gt;"",($BM$27+7)&lt;=$BO$27),$BN$27&amp;"-"&amp;TEXT(($BM$27+7),"00"),"")</f>
        <v/>
      </c>
      <c r="T162" s="6"/>
      <c r="U162" s="9" t="str">
        <f>IF(CD162="","",CD162&amp;"-"&amp;TEXT(COUNTIF($CA$72:$CA$95,CD162)+COUNTIF($CB$72:$CB$95,CD162)+COUNTIF($CC$72:$CC$95,CD162)+COUNTIF($CD$72:$CD$95,CD162)+COUNTIF($CA$100:$CA$123,CD162)+COUNTIF($CB$100:$CB$123,CD162)+COUNTIF($CC$100:$CC$123,CD162)+COUNTIF($CD$100:$CD$123,CD162)+COUNTIF($CA$128:$CA$151,CD162)+COUNTIF($CB$128:$CB$151,CD162)+COUNTIF($CC$128:$CC$151,CD162)+COUNTIF($CD$128:$CD$151,CD162)+COUNTIF($CA$156:$CA$179,CD162)+COUNTIF($CB$156:$CB$179,CD162)+COUNTIF($CC$156:$CC$179,CD162)+COUNTIF($CD$156:CD162,CD162),"000"))</f>
        <v/>
      </c>
      <c r="V162" s="9" t="str">
        <f>IF(AND($BN$28&lt;&gt;"",($BM$28+7)&lt;=$BO$28),$BN$28,"")</f>
        <v/>
      </c>
      <c r="W162" s="9" t="str">
        <f>IF(AND($BN$28&lt;&gt;"",($BM$28+7)&lt;=$BO$28),TEXT(($BM$28+7),"00"),"")</f>
        <v/>
      </c>
      <c r="X162" s="9" t="str">
        <f>IF(AND($BN$28&lt;&gt;"",($BM$28+7)&lt;=$BO$28),$BN$28&amp;"-"&amp;TEXT(($BM$28+7),"00"),"")</f>
        <v/>
      </c>
      <c r="CA162" t="str" cm="1">
        <f t="array" ref="CA162">IF(NOT(AND($BN$25&lt;&gt;"",($BM$25+7)&lt;=$BO$25)),"",IF(B162&lt;&gt;"",IF(B162="-","",B162),IF(ISNUMBER(SEARCH(":",$BP$25)),IFERROR(_xlfn.LET(_xlpm.s,_xlfn.TEXTSPLIT($BP$25,","),_xlpm.k,FIND(":",_xlpm.s),INDEX(TRIM(LEFT(_xlpm.s,_xlpm.k-1)),_xlfn.XMATCH(($BM$25+7),_xlfn.SCAN(0,--MID(_xlpm.s,_xlpm.k+1,9),_xlfn.LAMBDA(_xlpm.a,_xlpm.v,_xlpm.a+_xlpm.v)),1))),""),IF(($BM$25+7)&lt;=$BQ$25,$BP$25,""))))</f>
        <v/>
      </c>
      <c r="CB162" t="str" cm="1">
        <f t="array" ref="CB162">IF(NOT(AND($BN$26&lt;&gt;"",($BM$26+7)&lt;=$BO$26)),"",IF(H162&lt;&gt;"",IF(H162="-","",H162),IF(ISNUMBER(SEARCH(":",$BP$26)),IFERROR(_xlfn.LET(_xlpm.s,_xlfn.TEXTSPLIT($BP$26,","),_xlpm.k,FIND(":",_xlpm.s),INDEX(TRIM(LEFT(_xlpm.s,_xlpm.k-1)),_xlfn.XMATCH(($BM$26+7),_xlfn.SCAN(0,--MID(_xlpm.s,_xlpm.k+1,9),_xlfn.LAMBDA(_xlpm.a,_xlpm.v,_xlpm.a+_xlpm.v)),1))),""),IF(($BM$26+7)&lt;=$BQ$26,$BP$26,""))))</f>
        <v/>
      </c>
      <c r="CC162" t="str" cm="1">
        <f t="array" ref="CC162">IF(NOT(AND($BN$27&lt;&gt;"",($BM$27+7)&lt;=$BO$27)),"",IF(N162&lt;&gt;"",IF(N162="-","",N162),IF(ISNUMBER(SEARCH(":",$BP$27)),IFERROR(_xlfn.LET(_xlpm.s,_xlfn.TEXTSPLIT($BP$27,","),_xlpm.k,FIND(":",_xlpm.s),INDEX(TRIM(LEFT(_xlpm.s,_xlpm.k-1)),_xlfn.XMATCH(($BM$27+7),_xlfn.SCAN(0,--MID(_xlpm.s,_xlpm.k+1,9),_xlfn.LAMBDA(_xlpm.a,_xlpm.v,_xlpm.a+_xlpm.v)),1))),""),IF(($BM$27+7)&lt;=$BQ$27,$BP$27,""))))</f>
        <v/>
      </c>
      <c r="CD162" t="str" cm="1">
        <f t="array" ref="CD162">IF(NOT(AND($BN$28&lt;&gt;"",($BM$28+7)&lt;=$BO$28)),"",IF(T162&lt;&gt;"",IF(T162="-","",T162),IF(ISNUMBER(SEARCH(":",$BP$28)),IFERROR(_xlfn.LET(_xlpm.s,_xlfn.TEXTSPLIT($BP$28,","),_xlpm.k,FIND(":",_xlpm.s),INDEX(TRIM(LEFT(_xlpm.s,_xlpm.k-1)),_xlfn.XMATCH(($BM$28+7),_xlfn.SCAN(0,--MID(_xlpm.s,_xlpm.k+1,9),_xlfn.LAMBDA(_xlpm.a,_xlpm.v,_xlpm.a+_xlpm.v)),1))),""),IF(($BM$28+7)&lt;=$BQ$28,$BP$28,""))))</f>
        <v/>
      </c>
    </row>
    <row r="163" spans="2:82" hidden="1" x14ac:dyDescent="0.45">
      <c r="B163" s="6"/>
      <c r="C163" s="9" t="str">
        <f>IF(CA163="","",CA163&amp;"-"&amp;TEXT(COUNTIF($CA$72:$CA$95,CA163)+COUNTIF($CB$72:$CB$95,CA163)+COUNTIF($CC$72:$CC$95,CA163)+COUNTIF($CD$72:$CD$95,CA163)+COUNTIF($CA$100:$CA$123,CA163)+COUNTIF($CB$100:$CB$123,CA163)+COUNTIF($CC$100:$CC$123,CA163)+COUNTIF($CD$100:$CD$123,CA163)+COUNTIF($CA$128:$CA$151,CA163)+COUNTIF($CB$128:$CB$151,CA163)+COUNTIF($CC$128:$CC$151,CA163)+COUNTIF($CD$128:$CD$151,CA163)+COUNTIF($CA$156:CA163,CA163),"000"))</f>
        <v/>
      </c>
      <c r="D163" s="9" t="str">
        <f>IF(AND($BN$25&lt;&gt;"",($BM$25+8)&lt;=$BO$25),$BN$25,"")</f>
        <v/>
      </c>
      <c r="E163" s="9" t="str">
        <f>IF(AND($BN$25&lt;&gt;"",($BM$25+8)&lt;=$BO$25),TEXT(($BM$25+8),"00"),"")</f>
        <v/>
      </c>
      <c r="F163" s="9" t="str">
        <f>IF(AND($BN$25&lt;&gt;"",($BM$25+8)&lt;=$BO$25),$BN$25&amp;"-"&amp;TEXT(($BM$25+8),"00"),"")</f>
        <v/>
      </c>
      <c r="H163" s="6"/>
      <c r="I163" s="9" t="str">
        <f>IF(CB163="","",CB163&amp;"-"&amp;TEXT(COUNTIF($CA$72:$CA$95,CB163)+COUNTIF($CB$72:$CB$95,CB163)+COUNTIF($CC$72:$CC$95,CB163)+COUNTIF($CD$72:$CD$95,CB163)+COUNTIF($CA$100:$CA$123,CB163)+COUNTIF($CB$100:$CB$123,CB163)+COUNTIF($CC$100:$CC$123,CB163)+COUNTIF($CD$100:$CD$123,CB163)+COUNTIF($CA$128:$CA$151,CB163)+COUNTIF($CB$128:$CB$151,CB163)+COUNTIF($CC$128:$CC$151,CB163)+COUNTIF($CD$128:$CD$151,CB163)+COUNTIF($CA$156:$CA$179,CB163)+COUNTIF($CB$156:CB163,CB163),"000"))</f>
        <v/>
      </c>
      <c r="J163" s="9" t="str">
        <f>IF(AND($BN$26&lt;&gt;"",($BM$26+8)&lt;=$BO$26),$BN$26,"")</f>
        <v/>
      </c>
      <c r="K163" s="9" t="str">
        <f>IF(AND($BN$26&lt;&gt;"",($BM$26+8)&lt;=$BO$26),TEXT(($BM$26+8),"00"),"")</f>
        <v/>
      </c>
      <c r="L163" s="9" t="str">
        <f>IF(AND($BN$26&lt;&gt;"",($BM$26+8)&lt;=$BO$26),$BN$26&amp;"-"&amp;TEXT(($BM$26+8),"00"),"")</f>
        <v/>
      </c>
      <c r="N163" s="6"/>
      <c r="O163" s="9" t="str">
        <f>IF(CC163="","",CC163&amp;"-"&amp;TEXT(COUNTIF($CA$72:$CA$95,CC163)+COUNTIF($CB$72:$CB$95,CC163)+COUNTIF($CC$72:$CC$95,CC163)+COUNTIF($CD$72:$CD$95,CC163)+COUNTIF($CA$100:$CA$123,CC163)+COUNTIF($CB$100:$CB$123,CC163)+COUNTIF($CC$100:$CC$123,CC163)+COUNTIF($CD$100:$CD$123,CC163)+COUNTIF($CA$128:$CA$151,CC163)+COUNTIF($CB$128:$CB$151,CC163)+COUNTIF($CC$128:$CC$151,CC163)+COUNTIF($CD$128:$CD$151,CC163)+COUNTIF($CA$156:$CA$179,CC163)+COUNTIF($CB$156:$CB$179,CC163)+COUNTIF($CC$156:CC163,CC163),"000"))</f>
        <v/>
      </c>
      <c r="P163" s="9" t="str">
        <f>IF(AND($BN$27&lt;&gt;"",($BM$27+8)&lt;=$BO$27),$BN$27,"")</f>
        <v/>
      </c>
      <c r="Q163" s="9" t="str">
        <f>IF(AND($BN$27&lt;&gt;"",($BM$27+8)&lt;=$BO$27),TEXT(($BM$27+8),"00"),"")</f>
        <v/>
      </c>
      <c r="R163" s="9" t="str">
        <f>IF(AND($BN$27&lt;&gt;"",($BM$27+8)&lt;=$BO$27),$BN$27&amp;"-"&amp;TEXT(($BM$27+8),"00"),"")</f>
        <v/>
      </c>
      <c r="T163" s="6"/>
      <c r="U163" s="9" t="str">
        <f>IF(CD163="","",CD163&amp;"-"&amp;TEXT(COUNTIF($CA$72:$CA$95,CD163)+COUNTIF($CB$72:$CB$95,CD163)+COUNTIF($CC$72:$CC$95,CD163)+COUNTIF($CD$72:$CD$95,CD163)+COUNTIF($CA$100:$CA$123,CD163)+COUNTIF($CB$100:$CB$123,CD163)+COUNTIF($CC$100:$CC$123,CD163)+COUNTIF($CD$100:$CD$123,CD163)+COUNTIF($CA$128:$CA$151,CD163)+COUNTIF($CB$128:$CB$151,CD163)+COUNTIF($CC$128:$CC$151,CD163)+COUNTIF($CD$128:$CD$151,CD163)+COUNTIF($CA$156:$CA$179,CD163)+COUNTIF($CB$156:$CB$179,CD163)+COUNTIF($CC$156:$CC$179,CD163)+COUNTIF($CD$156:CD163,CD163),"000"))</f>
        <v/>
      </c>
      <c r="V163" s="9" t="str">
        <f>IF(AND($BN$28&lt;&gt;"",($BM$28+8)&lt;=$BO$28),$BN$28,"")</f>
        <v/>
      </c>
      <c r="W163" s="9" t="str">
        <f>IF(AND($BN$28&lt;&gt;"",($BM$28+8)&lt;=$BO$28),TEXT(($BM$28+8),"00"),"")</f>
        <v/>
      </c>
      <c r="X163" s="9" t="str">
        <f>IF(AND($BN$28&lt;&gt;"",($BM$28+8)&lt;=$BO$28),$BN$28&amp;"-"&amp;TEXT(($BM$28+8),"00"),"")</f>
        <v/>
      </c>
      <c r="CA163" t="str" cm="1">
        <f t="array" ref="CA163">IF(NOT(AND($BN$25&lt;&gt;"",($BM$25+8)&lt;=$BO$25)),"",IF(B163&lt;&gt;"",IF(B163="-","",B163),IF(ISNUMBER(SEARCH(":",$BP$25)),IFERROR(_xlfn.LET(_xlpm.s,_xlfn.TEXTSPLIT($BP$25,","),_xlpm.k,FIND(":",_xlpm.s),INDEX(TRIM(LEFT(_xlpm.s,_xlpm.k-1)),_xlfn.XMATCH(($BM$25+8),_xlfn.SCAN(0,--MID(_xlpm.s,_xlpm.k+1,9),_xlfn.LAMBDA(_xlpm.a,_xlpm.v,_xlpm.a+_xlpm.v)),1))),""),IF(($BM$25+8)&lt;=$BQ$25,$BP$25,""))))</f>
        <v/>
      </c>
      <c r="CB163" t="str" cm="1">
        <f t="array" ref="CB163">IF(NOT(AND($BN$26&lt;&gt;"",($BM$26+8)&lt;=$BO$26)),"",IF(H163&lt;&gt;"",IF(H163="-","",H163),IF(ISNUMBER(SEARCH(":",$BP$26)),IFERROR(_xlfn.LET(_xlpm.s,_xlfn.TEXTSPLIT($BP$26,","),_xlpm.k,FIND(":",_xlpm.s),INDEX(TRIM(LEFT(_xlpm.s,_xlpm.k-1)),_xlfn.XMATCH(($BM$26+8),_xlfn.SCAN(0,--MID(_xlpm.s,_xlpm.k+1,9),_xlfn.LAMBDA(_xlpm.a,_xlpm.v,_xlpm.a+_xlpm.v)),1))),""),IF(($BM$26+8)&lt;=$BQ$26,$BP$26,""))))</f>
        <v/>
      </c>
      <c r="CC163" t="str" cm="1">
        <f t="array" ref="CC163">IF(NOT(AND($BN$27&lt;&gt;"",($BM$27+8)&lt;=$BO$27)),"",IF(N163&lt;&gt;"",IF(N163="-","",N163),IF(ISNUMBER(SEARCH(":",$BP$27)),IFERROR(_xlfn.LET(_xlpm.s,_xlfn.TEXTSPLIT($BP$27,","),_xlpm.k,FIND(":",_xlpm.s),INDEX(TRIM(LEFT(_xlpm.s,_xlpm.k-1)),_xlfn.XMATCH(($BM$27+8),_xlfn.SCAN(0,--MID(_xlpm.s,_xlpm.k+1,9),_xlfn.LAMBDA(_xlpm.a,_xlpm.v,_xlpm.a+_xlpm.v)),1))),""),IF(($BM$27+8)&lt;=$BQ$27,$BP$27,""))))</f>
        <v/>
      </c>
      <c r="CD163" t="str" cm="1">
        <f t="array" ref="CD163">IF(NOT(AND($BN$28&lt;&gt;"",($BM$28+8)&lt;=$BO$28)),"",IF(T163&lt;&gt;"",IF(T163="-","",T163),IF(ISNUMBER(SEARCH(":",$BP$28)),IFERROR(_xlfn.LET(_xlpm.s,_xlfn.TEXTSPLIT($BP$28,","),_xlpm.k,FIND(":",_xlpm.s),INDEX(TRIM(LEFT(_xlpm.s,_xlpm.k-1)),_xlfn.XMATCH(($BM$28+8),_xlfn.SCAN(0,--MID(_xlpm.s,_xlpm.k+1,9),_xlfn.LAMBDA(_xlpm.a,_xlpm.v,_xlpm.a+_xlpm.v)),1))),""),IF(($BM$28+8)&lt;=$BQ$28,$BP$28,""))))</f>
        <v/>
      </c>
    </row>
    <row r="164" spans="2:82" hidden="1" x14ac:dyDescent="0.45">
      <c r="B164" s="6"/>
      <c r="C164" s="9" t="str">
        <f>IF(CA164="","",CA164&amp;"-"&amp;TEXT(COUNTIF($CA$72:$CA$95,CA164)+COUNTIF($CB$72:$CB$95,CA164)+COUNTIF($CC$72:$CC$95,CA164)+COUNTIF($CD$72:$CD$95,CA164)+COUNTIF($CA$100:$CA$123,CA164)+COUNTIF($CB$100:$CB$123,CA164)+COUNTIF($CC$100:$CC$123,CA164)+COUNTIF($CD$100:$CD$123,CA164)+COUNTIF($CA$128:$CA$151,CA164)+COUNTIF($CB$128:$CB$151,CA164)+COUNTIF($CC$128:$CC$151,CA164)+COUNTIF($CD$128:$CD$151,CA164)+COUNTIF($CA$156:CA164,CA164),"000"))</f>
        <v/>
      </c>
      <c r="D164" s="9" t="str">
        <f>IF(AND($BN$25&lt;&gt;"",($BM$25+9)&lt;=$BO$25),$BN$25,"")</f>
        <v/>
      </c>
      <c r="E164" s="9" t="str">
        <f>IF(AND($BN$25&lt;&gt;"",($BM$25+9)&lt;=$BO$25),TEXT(($BM$25+9),"00"),"")</f>
        <v/>
      </c>
      <c r="F164" s="9" t="str">
        <f>IF(AND($BN$25&lt;&gt;"",($BM$25+9)&lt;=$BO$25),$BN$25&amp;"-"&amp;TEXT(($BM$25+9),"00"),"")</f>
        <v/>
      </c>
      <c r="H164" s="6"/>
      <c r="I164" s="9" t="str">
        <f>IF(CB164="","",CB164&amp;"-"&amp;TEXT(COUNTIF($CA$72:$CA$95,CB164)+COUNTIF($CB$72:$CB$95,CB164)+COUNTIF($CC$72:$CC$95,CB164)+COUNTIF($CD$72:$CD$95,CB164)+COUNTIF($CA$100:$CA$123,CB164)+COUNTIF($CB$100:$CB$123,CB164)+COUNTIF($CC$100:$CC$123,CB164)+COUNTIF($CD$100:$CD$123,CB164)+COUNTIF($CA$128:$CA$151,CB164)+COUNTIF($CB$128:$CB$151,CB164)+COUNTIF($CC$128:$CC$151,CB164)+COUNTIF($CD$128:$CD$151,CB164)+COUNTIF($CA$156:$CA$179,CB164)+COUNTIF($CB$156:CB164,CB164),"000"))</f>
        <v/>
      </c>
      <c r="J164" s="9" t="str">
        <f>IF(AND($BN$26&lt;&gt;"",($BM$26+9)&lt;=$BO$26),$BN$26,"")</f>
        <v/>
      </c>
      <c r="K164" s="9" t="str">
        <f>IF(AND($BN$26&lt;&gt;"",($BM$26+9)&lt;=$BO$26),TEXT(($BM$26+9),"00"),"")</f>
        <v/>
      </c>
      <c r="L164" s="9" t="str">
        <f>IF(AND($BN$26&lt;&gt;"",($BM$26+9)&lt;=$BO$26),$BN$26&amp;"-"&amp;TEXT(($BM$26+9),"00"),"")</f>
        <v/>
      </c>
      <c r="N164" s="6"/>
      <c r="O164" s="9" t="str">
        <f>IF(CC164="","",CC164&amp;"-"&amp;TEXT(COUNTIF($CA$72:$CA$95,CC164)+COUNTIF($CB$72:$CB$95,CC164)+COUNTIF($CC$72:$CC$95,CC164)+COUNTIF($CD$72:$CD$95,CC164)+COUNTIF($CA$100:$CA$123,CC164)+COUNTIF($CB$100:$CB$123,CC164)+COUNTIF($CC$100:$CC$123,CC164)+COUNTIF($CD$100:$CD$123,CC164)+COUNTIF($CA$128:$CA$151,CC164)+COUNTIF($CB$128:$CB$151,CC164)+COUNTIF($CC$128:$CC$151,CC164)+COUNTIF($CD$128:$CD$151,CC164)+COUNTIF($CA$156:$CA$179,CC164)+COUNTIF($CB$156:$CB$179,CC164)+COUNTIF($CC$156:CC164,CC164),"000"))</f>
        <v/>
      </c>
      <c r="P164" s="9" t="str">
        <f>IF(AND($BN$27&lt;&gt;"",($BM$27+9)&lt;=$BO$27),$BN$27,"")</f>
        <v/>
      </c>
      <c r="Q164" s="9" t="str">
        <f>IF(AND($BN$27&lt;&gt;"",($BM$27+9)&lt;=$BO$27),TEXT(($BM$27+9),"00"),"")</f>
        <v/>
      </c>
      <c r="R164" s="9" t="str">
        <f>IF(AND($BN$27&lt;&gt;"",($BM$27+9)&lt;=$BO$27),$BN$27&amp;"-"&amp;TEXT(($BM$27+9),"00"),"")</f>
        <v/>
      </c>
      <c r="T164" s="6"/>
      <c r="U164" s="9" t="str">
        <f>IF(CD164="","",CD164&amp;"-"&amp;TEXT(COUNTIF($CA$72:$CA$95,CD164)+COUNTIF($CB$72:$CB$95,CD164)+COUNTIF($CC$72:$CC$95,CD164)+COUNTIF($CD$72:$CD$95,CD164)+COUNTIF($CA$100:$CA$123,CD164)+COUNTIF($CB$100:$CB$123,CD164)+COUNTIF($CC$100:$CC$123,CD164)+COUNTIF($CD$100:$CD$123,CD164)+COUNTIF($CA$128:$CA$151,CD164)+COUNTIF($CB$128:$CB$151,CD164)+COUNTIF($CC$128:$CC$151,CD164)+COUNTIF($CD$128:$CD$151,CD164)+COUNTIF($CA$156:$CA$179,CD164)+COUNTIF($CB$156:$CB$179,CD164)+COUNTIF($CC$156:$CC$179,CD164)+COUNTIF($CD$156:CD164,CD164),"000"))</f>
        <v/>
      </c>
      <c r="V164" s="9" t="str">
        <f>IF(AND($BN$28&lt;&gt;"",($BM$28+9)&lt;=$BO$28),$BN$28,"")</f>
        <v/>
      </c>
      <c r="W164" s="9" t="str">
        <f>IF(AND($BN$28&lt;&gt;"",($BM$28+9)&lt;=$BO$28),TEXT(($BM$28+9),"00"),"")</f>
        <v/>
      </c>
      <c r="X164" s="9" t="str">
        <f>IF(AND($BN$28&lt;&gt;"",($BM$28+9)&lt;=$BO$28),$BN$28&amp;"-"&amp;TEXT(($BM$28+9),"00"),"")</f>
        <v/>
      </c>
      <c r="CA164" t="str" cm="1">
        <f t="array" ref="CA164">IF(NOT(AND($BN$25&lt;&gt;"",($BM$25+9)&lt;=$BO$25)),"",IF(B164&lt;&gt;"",IF(B164="-","",B164),IF(ISNUMBER(SEARCH(":",$BP$25)),IFERROR(_xlfn.LET(_xlpm.s,_xlfn.TEXTSPLIT($BP$25,","),_xlpm.k,FIND(":",_xlpm.s),INDEX(TRIM(LEFT(_xlpm.s,_xlpm.k-1)),_xlfn.XMATCH(($BM$25+9),_xlfn.SCAN(0,--MID(_xlpm.s,_xlpm.k+1,9),_xlfn.LAMBDA(_xlpm.a,_xlpm.v,_xlpm.a+_xlpm.v)),1))),""),IF(($BM$25+9)&lt;=$BQ$25,$BP$25,""))))</f>
        <v/>
      </c>
      <c r="CB164" t="str" cm="1">
        <f t="array" ref="CB164">IF(NOT(AND($BN$26&lt;&gt;"",($BM$26+9)&lt;=$BO$26)),"",IF(H164&lt;&gt;"",IF(H164="-","",H164),IF(ISNUMBER(SEARCH(":",$BP$26)),IFERROR(_xlfn.LET(_xlpm.s,_xlfn.TEXTSPLIT($BP$26,","),_xlpm.k,FIND(":",_xlpm.s),INDEX(TRIM(LEFT(_xlpm.s,_xlpm.k-1)),_xlfn.XMATCH(($BM$26+9),_xlfn.SCAN(0,--MID(_xlpm.s,_xlpm.k+1,9),_xlfn.LAMBDA(_xlpm.a,_xlpm.v,_xlpm.a+_xlpm.v)),1))),""),IF(($BM$26+9)&lt;=$BQ$26,$BP$26,""))))</f>
        <v/>
      </c>
      <c r="CC164" t="str" cm="1">
        <f t="array" ref="CC164">IF(NOT(AND($BN$27&lt;&gt;"",($BM$27+9)&lt;=$BO$27)),"",IF(N164&lt;&gt;"",IF(N164="-","",N164),IF(ISNUMBER(SEARCH(":",$BP$27)),IFERROR(_xlfn.LET(_xlpm.s,_xlfn.TEXTSPLIT($BP$27,","),_xlpm.k,FIND(":",_xlpm.s),INDEX(TRIM(LEFT(_xlpm.s,_xlpm.k-1)),_xlfn.XMATCH(($BM$27+9),_xlfn.SCAN(0,--MID(_xlpm.s,_xlpm.k+1,9),_xlfn.LAMBDA(_xlpm.a,_xlpm.v,_xlpm.a+_xlpm.v)),1))),""),IF(($BM$27+9)&lt;=$BQ$27,$BP$27,""))))</f>
        <v/>
      </c>
      <c r="CD164" t="str" cm="1">
        <f t="array" ref="CD164">IF(NOT(AND($BN$28&lt;&gt;"",($BM$28+9)&lt;=$BO$28)),"",IF(T164&lt;&gt;"",IF(T164="-","",T164),IF(ISNUMBER(SEARCH(":",$BP$28)),IFERROR(_xlfn.LET(_xlpm.s,_xlfn.TEXTSPLIT($BP$28,","),_xlpm.k,FIND(":",_xlpm.s),INDEX(TRIM(LEFT(_xlpm.s,_xlpm.k-1)),_xlfn.XMATCH(($BM$28+9),_xlfn.SCAN(0,--MID(_xlpm.s,_xlpm.k+1,9),_xlfn.LAMBDA(_xlpm.a,_xlpm.v,_xlpm.a+_xlpm.v)),1))),""),IF(($BM$28+9)&lt;=$BQ$28,$BP$28,""))))</f>
        <v/>
      </c>
    </row>
    <row r="165" spans="2:82" hidden="1" x14ac:dyDescent="0.45">
      <c r="B165" s="6"/>
      <c r="C165" s="9" t="str">
        <f>IF(CA165="","",CA165&amp;"-"&amp;TEXT(COUNTIF($CA$72:$CA$95,CA165)+COUNTIF($CB$72:$CB$95,CA165)+COUNTIF($CC$72:$CC$95,CA165)+COUNTIF($CD$72:$CD$95,CA165)+COUNTIF($CA$100:$CA$123,CA165)+COUNTIF($CB$100:$CB$123,CA165)+COUNTIF($CC$100:$CC$123,CA165)+COUNTIF($CD$100:$CD$123,CA165)+COUNTIF($CA$128:$CA$151,CA165)+COUNTIF($CB$128:$CB$151,CA165)+COUNTIF($CC$128:$CC$151,CA165)+COUNTIF($CD$128:$CD$151,CA165)+COUNTIF($CA$156:CA165,CA165),"000"))</f>
        <v/>
      </c>
      <c r="D165" s="9" t="str">
        <f>IF(AND($BN$25&lt;&gt;"",($BM$25+10)&lt;=$BO$25),$BN$25,"")</f>
        <v/>
      </c>
      <c r="E165" s="9" t="str">
        <f>IF(AND($BN$25&lt;&gt;"",($BM$25+10)&lt;=$BO$25),TEXT(($BM$25+10),"00"),"")</f>
        <v/>
      </c>
      <c r="F165" s="9" t="str">
        <f>IF(AND($BN$25&lt;&gt;"",($BM$25+10)&lt;=$BO$25),$BN$25&amp;"-"&amp;TEXT(($BM$25+10),"00"),"")</f>
        <v/>
      </c>
      <c r="H165" s="6"/>
      <c r="I165" s="9" t="str">
        <f>IF(CB165="","",CB165&amp;"-"&amp;TEXT(COUNTIF($CA$72:$CA$95,CB165)+COUNTIF($CB$72:$CB$95,CB165)+COUNTIF($CC$72:$CC$95,CB165)+COUNTIF($CD$72:$CD$95,CB165)+COUNTIF($CA$100:$CA$123,CB165)+COUNTIF($CB$100:$CB$123,CB165)+COUNTIF($CC$100:$CC$123,CB165)+COUNTIF($CD$100:$CD$123,CB165)+COUNTIF($CA$128:$CA$151,CB165)+COUNTIF($CB$128:$CB$151,CB165)+COUNTIF($CC$128:$CC$151,CB165)+COUNTIF($CD$128:$CD$151,CB165)+COUNTIF($CA$156:$CA$179,CB165)+COUNTIF($CB$156:CB165,CB165),"000"))</f>
        <v/>
      </c>
      <c r="J165" s="9" t="str">
        <f>IF(AND($BN$26&lt;&gt;"",($BM$26+10)&lt;=$BO$26),$BN$26,"")</f>
        <v/>
      </c>
      <c r="K165" s="9" t="str">
        <f>IF(AND($BN$26&lt;&gt;"",($BM$26+10)&lt;=$BO$26),TEXT(($BM$26+10),"00"),"")</f>
        <v/>
      </c>
      <c r="L165" s="9" t="str">
        <f>IF(AND($BN$26&lt;&gt;"",($BM$26+10)&lt;=$BO$26),$BN$26&amp;"-"&amp;TEXT(($BM$26+10),"00"),"")</f>
        <v/>
      </c>
      <c r="N165" s="6"/>
      <c r="O165" s="9" t="str">
        <f>IF(CC165="","",CC165&amp;"-"&amp;TEXT(COUNTIF($CA$72:$CA$95,CC165)+COUNTIF($CB$72:$CB$95,CC165)+COUNTIF($CC$72:$CC$95,CC165)+COUNTIF($CD$72:$CD$95,CC165)+COUNTIF($CA$100:$CA$123,CC165)+COUNTIF($CB$100:$CB$123,CC165)+COUNTIF($CC$100:$CC$123,CC165)+COUNTIF($CD$100:$CD$123,CC165)+COUNTIF($CA$128:$CA$151,CC165)+COUNTIF($CB$128:$CB$151,CC165)+COUNTIF($CC$128:$CC$151,CC165)+COUNTIF($CD$128:$CD$151,CC165)+COUNTIF($CA$156:$CA$179,CC165)+COUNTIF($CB$156:$CB$179,CC165)+COUNTIF($CC$156:CC165,CC165),"000"))</f>
        <v/>
      </c>
      <c r="P165" s="9" t="str">
        <f>IF(AND($BN$27&lt;&gt;"",($BM$27+10)&lt;=$BO$27),$BN$27,"")</f>
        <v/>
      </c>
      <c r="Q165" s="9" t="str">
        <f>IF(AND($BN$27&lt;&gt;"",($BM$27+10)&lt;=$BO$27),TEXT(($BM$27+10),"00"),"")</f>
        <v/>
      </c>
      <c r="R165" s="9" t="str">
        <f>IF(AND($BN$27&lt;&gt;"",($BM$27+10)&lt;=$BO$27),$BN$27&amp;"-"&amp;TEXT(($BM$27+10),"00"),"")</f>
        <v/>
      </c>
      <c r="T165" s="6"/>
      <c r="U165" s="9" t="str">
        <f>IF(CD165="","",CD165&amp;"-"&amp;TEXT(COUNTIF($CA$72:$CA$95,CD165)+COUNTIF($CB$72:$CB$95,CD165)+COUNTIF($CC$72:$CC$95,CD165)+COUNTIF($CD$72:$CD$95,CD165)+COUNTIF($CA$100:$CA$123,CD165)+COUNTIF($CB$100:$CB$123,CD165)+COUNTIF($CC$100:$CC$123,CD165)+COUNTIF($CD$100:$CD$123,CD165)+COUNTIF($CA$128:$CA$151,CD165)+COUNTIF($CB$128:$CB$151,CD165)+COUNTIF($CC$128:$CC$151,CD165)+COUNTIF($CD$128:$CD$151,CD165)+COUNTIF($CA$156:$CA$179,CD165)+COUNTIF($CB$156:$CB$179,CD165)+COUNTIF($CC$156:$CC$179,CD165)+COUNTIF($CD$156:CD165,CD165),"000"))</f>
        <v/>
      </c>
      <c r="V165" s="9" t="str">
        <f>IF(AND($BN$28&lt;&gt;"",($BM$28+10)&lt;=$BO$28),$BN$28,"")</f>
        <v/>
      </c>
      <c r="W165" s="9" t="str">
        <f>IF(AND($BN$28&lt;&gt;"",($BM$28+10)&lt;=$BO$28),TEXT(($BM$28+10),"00"),"")</f>
        <v/>
      </c>
      <c r="X165" s="9" t="str">
        <f>IF(AND($BN$28&lt;&gt;"",($BM$28+10)&lt;=$BO$28),$BN$28&amp;"-"&amp;TEXT(($BM$28+10),"00"),"")</f>
        <v/>
      </c>
      <c r="CA165" t="str" cm="1">
        <f t="array" ref="CA165">IF(NOT(AND($BN$25&lt;&gt;"",($BM$25+10)&lt;=$BO$25)),"",IF(B165&lt;&gt;"",IF(B165="-","",B165),IF(ISNUMBER(SEARCH(":",$BP$25)),IFERROR(_xlfn.LET(_xlpm.s,_xlfn.TEXTSPLIT($BP$25,","),_xlpm.k,FIND(":",_xlpm.s),INDEX(TRIM(LEFT(_xlpm.s,_xlpm.k-1)),_xlfn.XMATCH(($BM$25+10),_xlfn.SCAN(0,--MID(_xlpm.s,_xlpm.k+1,9),_xlfn.LAMBDA(_xlpm.a,_xlpm.v,_xlpm.a+_xlpm.v)),1))),""),IF(($BM$25+10)&lt;=$BQ$25,$BP$25,""))))</f>
        <v/>
      </c>
      <c r="CB165" t="str" cm="1">
        <f t="array" ref="CB165">IF(NOT(AND($BN$26&lt;&gt;"",($BM$26+10)&lt;=$BO$26)),"",IF(H165&lt;&gt;"",IF(H165="-","",H165),IF(ISNUMBER(SEARCH(":",$BP$26)),IFERROR(_xlfn.LET(_xlpm.s,_xlfn.TEXTSPLIT($BP$26,","),_xlpm.k,FIND(":",_xlpm.s),INDEX(TRIM(LEFT(_xlpm.s,_xlpm.k-1)),_xlfn.XMATCH(($BM$26+10),_xlfn.SCAN(0,--MID(_xlpm.s,_xlpm.k+1,9),_xlfn.LAMBDA(_xlpm.a,_xlpm.v,_xlpm.a+_xlpm.v)),1))),""),IF(($BM$26+10)&lt;=$BQ$26,$BP$26,""))))</f>
        <v/>
      </c>
      <c r="CC165" t="str" cm="1">
        <f t="array" ref="CC165">IF(NOT(AND($BN$27&lt;&gt;"",($BM$27+10)&lt;=$BO$27)),"",IF(N165&lt;&gt;"",IF(N165="-","",N165),IF(ISNUMBER(SEARCH(":",$BP$27)),IFERROR(_xlfn.LET(_xlpm.s,_xlfn.TEXTSPLIT($BP$27,","),_xlpm.k,FIND(":",_xlpm.s),INDEX(TRIM(LEFT(_xlpm.s,_xlpm.k-1)),_xlfn.XMATCH(($BM$27+10),_xlfn.SCAN(0,--MID(_xlpm.s,_xlpm.k+1,9),_xlfn.LAMBDA(_xlpm.a,_xlpm.v,_xlpm.a+_xlpm.v)),1))),""),IF(($BM$27+10)&lt;=$BQ$27,$BP$27,""))))</f>
        <v/>
      </c>
      <c r="CD165" t="str" cm="1">
        <f t="array" ref="CD165">IF(NOT(AND($BN$28&lt;&gt;"",($BM$28+10)&lt;=$BO$28)),"",IF(T165&lt;&gt;"",IF(T165="-","",T165),IF(ISNUMBER(SEARCH(":",$BP$28)),IFERROR(_xlfn.LET(_xlpm.s,_xlfn.TEXTSPLIT($BP$28,","),_xlpm.k,FIND(":",_xlpm.s),INDEX(TRIM(LEFT(_xlpm.s,_xlpm.k-1)),_xlfn.XMATCH(($BM$28+10),_xlfn.SCAN(0,--MID(_xlpm.s,_xlpm.k+1,9),_xlfn.LAMBDA(_xlpm.a,_xlpm.v,_xlpm.a+_xlpm.v)),1))),""),IF(($BM$28+10)&lt;=$BQ$28,$BP$28,""))))</f>
        <v/>
      </c>
    </row>
    <row r="166" spans="2:82" hidden="1" x14ac:dyDescent="0.45">
      <c r="B166" s="6"/>
      <c r="C166" s="9" t="str">
        <f>IF(CA166="","",CA166&amp;"-"&amp;TEXT(COUNTIF($CA$72:$CA$95,CA166)+COUNTIF($CB$72:$CB$95,CA166)+COUNTIF($CC$72:$CC$95,CA166)+COUNTIF($CD$72:$CD$95,CA166)+COUNTIF($CA$100:$CA$123,CA166)+COUNTIF($CB$100:$CB$123,CA166)+COUNTIF($CC$100:$CC$123,CA166)+COUNTIF($CD$100:$CD$123,CA166)+COUNTIF($CA$128:$CA$151,CA166)+COUNTIF($CB$128:$CB$151,CA166)+COUNTIF($CC$128:$CC$151,CA166)+COUNTIF($CD$128:$CD$151,CA166)+COUNTIF($CA$156:CA166,CA166),"000"))</f>
        <v/>
      </c>
      <c r="D166" s="9" t="str">
        <f>IF(AND($BN$25&lt;&gt;"",($BM$25+11)&lt;=$BO$25),$BN$25,"")</f>
        <v/>
      </c>
      <c r="E166" s="9" t="str">
        <f>IF(AND($BN$25&lt;&gt;"",($BM$25+11)&lt;=$BO$25),TEXT(($BM$25+11),"00"),"")</f>
        <v/>
      </c>
      <c r="F166" s="9" t="str">
        <f>IF(AND($BN$25&lt;&gt;"",($BM$25+11)&lt;=$BO$25),$BN$25&amp;"-"&amp;TEXT(($BM$25+11),"00"),"")</f>
        <v/>
      </c>
      <c r="H166" s="6"/>
      <c r="I166" s="9" t="str">
        <f>IF(CB166="","",CB166&amp;"-"&amp;TEXT(COUNTIF($CA$72:$CA$95,CB166)+COUNTIF($CB$72:$CB$95,CB166)+COUNTIF($CC$72:$CC$95,CB166)+COUNTIF($CD$72:$CD$95,CB166)+COUNTIF($CA$100:$CA$123,CB166)+COUNTIF($CB$100:$CB$123,CB166)+COUNTIF($CC$100:$CC$123,CB166)+COUNTIF($CD$100:$CD$123,CB166)+COUNTIF($CA$128:$CA$151,CB166)+COUNTIF($CB$128:$CB$151,CB166)+COUNTIF($CC$128:$CC$151,CB166)+COUNTIF($CD$128:$CD$151,CB166)+COUNTIF($CA$156:$CA$179,CB166)+COUNTIF($CB$156:CB166,CB166),"000"))</f>
        <v/>
      </c>
      <c r="J166" s="9" t="str">
        <f>IF(AND($BN$26&lt;&gt;"",($BM$26+11)&lt;=$BO$26),$BN$26,"")</f>
        <v/>
      </c>
      <c r="K166" s="9" t="str">
        <f>IF(AND($BN$26&lt;&gt;"",($BM$26+11)&lt;=$BO$26),TEXT(($BM$26+11),"00"),"")</f>
        <v/>
      </c>
      <c r="L166" s="9" t="str">
        <f>IF(AND($BN$26&lt;&gt;"",($BM$26+11)&lt;=$BO$26),$BN$26&amp;"-"&amp;TEXT(($BM$26+11),"00"),"")</f>
        <v/>
      </c>
      <c r="N166" s="6"/>
      <c r="O166" s="9" t="str">
        <f>IF(CC166="","",CC166&amp;"-"&amp;TEXT(COUNTIF($CA$72:$CA$95,CC166)+COUNTIF($CB$72:$CB$95,CC166)+COUNTIF($CC$72:$CC$95,CC166)+COUNTIF($CD$72:$CD$95,CC166)+COUNTIF($CA$100:$CA$123,CC166)+COUNTIF($CB$100:$CB$123,CC166)+COUNTIF($CC$100:$CC$123,CC166)+COUNTIF($CD$100:$CD$123,CC166)+COUNTIF($CA$128:$CA$151,CC166)+COUNTIF($CB$128:$CB$151,CC166)+COUNTIF($CC$128:$CC$151,CC166)+COUNTIF($CD$128:$CD$151,CC166)+COUNTIF($CA$156:$CA$179,CC166)+COUNTIF($CB$156:$CB$179,CC166)+COUNTIF($CC$156:CC166,CC166),"000"))</f>
        <v/>
      </c>
      <c r="P166" s="9" t="str">
        <f>IF(AND($BN$27&lt;&gt;"",($BM$27+11)&lt;=$BO$27),$BN$27,"")</f>
        <v/>
      </c>
      <c r="Q166" s="9" t="str">
        <f>IF(AND($BN$27&lt;&gt;"",($BM$27+11)&lt;=$BO$27),TEXT(($BM$27+11),"00"),"")</f>
        <v/>
      </c>
      <c r="R166" s="9" t="str">
        <f>IF(AND($BN$27&lt;&gt;"",($BM$27+11)&lt;=$BO$27),$BN$27&amp;"-"&amp;TEXT(($BM$27+11),"00"),"")</f>
        <v/>
      </c>
      <c r="T166" s="6"/>
      <c r="U166" s="9" t="str">
        <f>IF(CD166="","",CD166&amp;"-"&amp;TEXT(COUNTIF($CA$72:$CA$95,CD166)+COUNTIF($CB$72:$CB$95,CD166)+COUNTIF($CC$72:$CC$95,CD166)+COUNTIF($CD$72:$CD$95,CD166)+COUNTIF($CA$100:$CA$123,CD166)+COUNTIF($CB$100:$CB$123,CD166)+COUNTIF($CC$100:$CC$123,CD166)+COUNTIF($CD$100:$CD$123,CD166)+COUNTIF($CA$128:$CA$151,CD166)+COUNTIF($CB$128:$CB$151,CD166)+COUNTIF($CC$128:$CC$151,CD166)+COUNTIF($CD$128:$CD$151,CD166)+COUNTIF($CA$156:$CA$179,CD166)+COUNTIF($CB$156:$CB$179,CD166)+COUNTIF($CC$156:$CC$179,CD166)+COUNTIF($CD$156:CD166,CD166),"000"))</f>
        <v/>
      </c>
      <c r="V166" s="9" t="str">
        <f>IF(AND($BN$28&lt;&gt;"",($BM$28+11)&lt;=$BO$28),$BN$28,"")</f>
        <v/>
      </c>
      <c r="W166" s="9" t="str">
        <f>IF(AND($BN$28&lt;&gt;"",($BM$28+11)&lt;=$BO$28),TEXT(($BM$28+11),"00"),"")</f>
        <v/>
      </c>
      <c r="X166" s="9" t="str">
        <f>IF(AND($BN$28&lt;&gt;"",($BM$28+11)&lt;=$BO$28),$BN$28&amp;"-"&amp;TEXT(($BM$28+11),"00"),"")</f>
        <v/>
      </c>
      <c r="CA166" t="str" cm="1">
        <f t="array" ref="CA166">IF(NOT(AND($BN$25&lt;&gt;"",($BM$25+11)&lt;=$BO$25)),"",IF(B166&lt;&gt;"",IF(B166="-","",B166),IF(ISNUMBER(SEARCH(":",$BP$25)),IFERROR(_xlfn.LET(_xlpm.s,_xlfn.TEXTSPLIT($BP$25,","),_xlpm.k,FIND(":",_xlpm.s),INDEX(TRIM(LEFT(_xlpm.s,_xlpm.k-1)),_xlfn.XMATCH(($BM$25+11),_xlfn.SCAN(0,--MID(_xlpm.s,_xlpm.k+1,9),_xlfn.LAMBDA(_xlpm.a,_xlpm.v,_xlpm.a+_xlpm.v)),1))),""),IF(($BM$25+11)&lt;=$BQ$25,$BP$25,""))))</f>
        <v/>
      </c>
      <c r="CB166" t="str" cm="1">
        <f t="array" ref="CB166">IF(NOT(AND($BN$26&lt;&gt;"",($BM$26+11)&lt;=$BO$26)),"",IF(H166&lt;&gt;"",IF(H166="-","",H166),IF(ISNUMBER(SEARCH(":",$BP$26)),IFERROR(_xlfn.LET(_xlpm.s,_xlfn.TEXTSPLIT($BP$26,","),_xlpm.k,FIND(":",_xlpm.s),INDEX(TRIM(LEFT(_xlpm.s,_xlpm.k-1)),_xlfn.XMATCH(($BM$26+11),_xlfn.SCAN(0,--MID(_xlpm.s,_xlpm.k+1,9),_xlfn.LAMBDA(_xlpm.a,_xlpm.v,_xlpm.a+_xlpm.v)),1))),""),IF(($BM$26+11)&lt;=$BQ$26,$BP$26,""))))</f>
        <v/>
      </c>
      <c r="CC166" t="str" cm="1">
        <f t="array" ref="CC166">IF(NOT(AND($BN$27&lt;&gt;"",($BM$27+11)&lt;=$BO$27)),"",IF(N166&lt;&gt;"",IF(N166="-","",N166),IF(ISNUMBER(SEARCH(":",$BP$27)),IFERROR(_xlfn.LET(_xlpm.s,_xlfn.TEXTSPLIT($BP$27,","),_xlpm.k,FIND(":",_xlpm.s),INDEX(TRIM(LEFT(_xlpm.s,_xlpm.k-1)),_xlfn.XMATCH(($BM$27+11),_xlfn.SCAN(0,--MID(_xlpm.s,_xlpm.k+1,9),_xlfn.LAMBDA(_xlpm.a,_xlpm.v,_xlpm.a+_xlpm.v)),1))),""),IF(($BM$27+11)&lt;=$BQ$27,$BP$27,""))))</f>
        <v/>
      </c>
      <c r="CD166" t="str" cm="1">
        <f t="array" ref="CD166">IF(NOT(AND($BN$28&lt;&gt;"",($BM$28+11)&lt;=$BO$28)),"",IF(T166&lt;&gt;"",IF(T166="-","",T166),IF(ISNUMBER(SEARCH(":",$BP$28)),IFERROR(_xlfn.LET(_xlpm.s,_xlfn.TEXTSPLIT($BP$28,","),_xlpm.k,FIND(":",_xlpm.s),INDEX(TRIM(LEFT(_xlpm.s,_xlpm.k-1)),_xlfn.XMATCH(($BM$28+11),_xlfn.SCAN(0,--MID(_xlpm.s,_xlpm.k+1,9),_xlfn.LAMBDA(_xlpm.a,_xlpm.v,_xlpm.a+_xlpm.v)),1))),""),IF(($BM$28+11)&lt;=$BQ$28,$BP$28,""))))</f>
        <v/>
      </c>
    </row>
    <row r="167" spans="2:82" hidden="1" x14ac:dyDescent="0.45">
      <c r="B167" s="6"/>
      <c r="C167" s="9" t="str">
        <f>IF(CA167="","",CA167&amp;"-"&amp;TEXT(COUNTIF($CA$72:$CA$95,CA167)+COUNTIF($CB$72:$CB$95,CA167)+COUNTIF($CC$72:$CC$95,CA167)+COUNTIF($CD$72:$CD$95,CA167)+COUNTIF($CA$100:$CA$123,CA167)+COUNTIF($CB$100:$CB$123,CA167)+COUNTIF($CC$100:$CC$123,CA167)+COUNTIF($CD$100:$CD$123,CA167)+COUNTIF($CA$128:$CA$151,CA167)+COUNTIF($CB$128:$CB$151,CA167)+COUNTIF($CC$128:$CC$151,CA167)+COUNTIF($CD$128:$CD$151,CA167)+COUNTIF($CA$156:CA167,CA167),"000"))</f>
        <v/>
      </c>
      <c r="D167" s="9" t="str">
        <f>IF(AND($BN$25&lt;&gt;"",($BM$25+12)&lt;=$BO$25),$BN$25,"")</f>
        <v/>
      </c>
      <c r="E167" s="9" t="str">
        <f>IF(AND($BN$25&lt;&gt;"",($BM$25+12)&lt;=$BO$25),TEXT(($BM$25+12),"00"),"")</f>
        <v/>
      </c>
      <c r="F167" s="9" t="str">
        <f>IF(AND($BN$25&lt;&gt;"",($BM$25+12)&lt;=$BO$25),$BN$25&amp;"-"&amp;TEXT(($BM$25+12),"00"),"")</f>
        <v/>
      </c>
      <c r="H167" s="6"/>
      <c r="I167" s="9" t="str">
        <f>IF(CB167="","",CB167&amp;"-"&amp;TEXT(COUNTIF($CA$72:$CA$95,CB167)+COUNTIF($CB$72:$CB$95,CB167)+COUNTIF($CC$72:$CC$95,CB167)+COUNTIF($CD$72:$CD$95,CB167)+COUNTIF($CA$100:$CA$123,CB167)+COUNTIF($CB$100:$CB$123,CB167)+COUNTIF($CC$100:$CC$123,CB167)+COUNTIF($CD$100:$CD$123,CB167)+COUNTIF($CA$128:$CA$151,CB167)+COUNTIF($CB$128:$CB$151,CB167)+COUNTIF($CC$128:$CC$151,CB167)+COUNTIF($CD$128:$CD$151,CB167)+COUNTIF($CA$156:$CA$179,CB167)+COUNTIF($CB$156:CB167,CB167),"000"))</f>
        <v/>
      </c>
      <c r="J167" s="9" t="str">
        <f>IF(AND($BN$26&lt;&gt;"",($BM$26+12)&lt;=$BO$26),$BN$26,"")</f>
        <v/>
      </c>
      <c r="K167" s="9" t="str">
        <f>IF(AND($BN$26&lt;&gt;"",($BM$26+12)&lt;=$BO$26),TEXT(($BM$26+12),"00"),"")</f>
        <v/>
      </c>
      <c r="L167" s="9" t="str">
        <f>IF(AND($BN$26&lt;&gt;"",($BM$26+12)&lt;=$BO$26),$BN$26&amp;"-"&amp;TEXT(($BM$26+12),"00"),"")</f>
        <v/>
      </c>
      <c r="N167" s="6"/>
      <c r="O167" s="9" t="str">
        <f>IF(CC167="","",CC167&amp;"-"&amp;TEXT(COUNTIF($CA$72:$CA$95,CC167)+COUNTIF($CB$72:$CB$95,CC167)+COUNTIF($CC$72:$CC$95,CC167)+COUNTIF($CD$72:$CD$95,CC167)+COUNTIF($CA$100:$CA$123,CC167)+COUNTIF($CB$100:$CB$123,CC167)+COUNTIF($CC$100:$CC$123,CC167)+COUNTIF($CD$100:$CD$123,CC167)+COUNTIF($CA$128:$CA$151,CC167)+COUNTIF($CB$128:$CB$151,CC167)+COUNTIF($CC$128:$CC$151,CC167)+COUNTIF($CD$128:$CD$151,CC167)+COUNTIF($CA$156:$CA$179,CC167)+COUNTIF($CB$156:$CB$179,CC167)+COUNTIF($CC$156:CC167,CC167),"000"))</f>
        <v/>
      </c>
      <c r="P167" s="9" t="str">
        <f>IF(AND($BN$27&lt;&gt;"",($BM$27+12)&lt;=$BO$27),$BN$27,"")</f>
        <v/>
      </c>
      <c r="Q167" s="9" t="str">
        <f>IF(AND($BN$27&lt;&gt;"",($BM$27+12)&lt;=$BO$27),TEXT(($BM$27+12),"00"),"")</f>
        <v/>
      </c>
      <c r="R167" s="9" t="str">
        <f>IF(AND($BN$27&lt;&gt;"",($BM$27+12)&lt;=$BO$27),$BN$27&amp;"-"&amp;TEXT(($BM$27+12),"00"),"")</f>
        <v/>
      </c>
      <c r="T167" s="6"/>
      <c r="U167" s="9" t="str">
        <f>IF(CD167="","",CD167&amp;"-"&amp;TEXT(COUNTIF($CA$72:$CA$95,CD167)+COUNTIF($CB$72:$CB$95,CD167)+COUNTIF($CC$72:$CC$95,CD167)+COUNTIF($CD$72:$CD$95,CD167)+COUNTIF($CA$100:$CA$123,CD167)+COUNTIF($CB$100:$CB$123,CD167)+COUNTIF($CC$100:$CC$123,CD167)+COUNTIF($CD$100:$CD$123,CD167)+COUNTIF($CA$128:$CA$151,CD167)+COUNTIF($CB$128:$CB$151,CD167)+COUNTIF($CC$128:$CC$151,CD167)+COUNTIF($CD$128:$CD$151,CD167)+COUNTIF($CA$156:$CA$179,CD167)+COUNTIF($CB$156:$CB$179,CD167)+COUNTIF($CC$156:$CC$179,CD167)+COUNTIF($CD$156:CD167,CD167),"000"))</f>
        <v/>
      </c>
      <c r="V167" s="9" t="str">
        <f>IF(AND($BN$28&lt;&gt;"",($BM$28+12)&lt;=$BO$28),$BN$28,"")</f>
        <v/>
      </c>
      <c r="W167" s="9" t="str">
        <f>IF(AND($BN$28&lt;&gt;"",($BM$28+12)&lt;=$BO$28),TEXT(($BM$28+12),"00"),"")</f>
        <v/>
      </c>
      <c r="X167" s="9" t="str">
        <f>IF(AND($BN$28&lt;&gt;"",($BM$28+12)&lt;=$BO$28),$BN$28&amp;"-"&amp;TEXT(($BM$28+12),"00"),"")</f>
        <v/>
      </c>
      <c r="CA167" t="str" cm="1">
        <f t="array" ref="CA167">IF(NOT(AND($BN$25&lt;&gt;"",($BM$25+12)&lt;=$BO$25)),"",IF(B167&lt;&gt;"",IF(B167="-","",B167),IF(ISNUMBER(SEARCH(":",$BP$25)),IFERROR(_xlfn.LET(_xlpm.s,_xlfn.TEXTSPLIT($BP$25,","),_xlpm.k,FIND(":",_xlpm.s),INDEX(TRIM(LEFT(_xlpm.s,_xlpm.k-1)),_xlfn.XMATCH(($BM$25+12),_xlfn.SCAN(0,--MID(_xlpm.s,_xlpm.k+1,9),_xlfn.LAMBDA(_xlpm.a,_xlpm.v,_xlpm.a+_xlpm.v)),1))),""),IF(($BM$25+12)&lt;=$BQ$25,$BP$25,""))))</f>
        <v/>
      </c>
      <c r="CB167" t="str" cm="1">
        <f t="array" ref="CB167">IF(NOT(AND($BN$26&lt;&gt;"",($BM$26+12)&lt;=$BO$26)),"",IF(H167&lt;&gt;"",IF(H167="-","",H167),IF(ISNUMBER(SEARCH(":",$BP$26)),IFERROR(_xlfn.LET(_xlpm.s,_xlfn.TEXTSPLIT($BP$26,","),_xlpm.k,FIND(":",_xlpm.s),INDEX(TRIM(LEFT(_xlpm.s,_xlpm.k-1)),_xlfn.XMATCH(($BM$26+12),_xlfn.SCAN(0,--MID(_xlpm.s,_xlpm.k+1,9),_xlfn.LAMBDA(_xlpm.a,_xlpm.v,_xlpm.a+_xlpm.v)),1))),""),IF(($BM$26+12)&lt;=$BQ$26,$BP$26,""))))</f>
        <v/>
      </c>
      <c r="CC167" t="str" cm="1">
        <f t="array" ref="CC167">IF(NOT(AND($BN$27&lt;&gt;"",($BM$27+12)&lt;=$BO$27)),"",IF(N167&lt;&gt;"",IF(N167="-","",N167),IF(ISNUMBER(SEARCH(":",$BP$27)),IFERROR(_xlfn.LET(_xlpm.s,_xlfn.TEXTSPLIT($BP$27,","),_xlpm.k,FIND(":",_xlpm.s),INDEX(TRIM(LEFT(_xlpm.s,_xlpm.k-1)),_xlfn.XMATCH(($BM$27+12),_xlfn.SCAN(0,--MID(_xlpm.s,_xlpm.k+1,9),_xlfn.LAMBDA(_xlpm.a,_xlpm.v,_xlpm.a+_xlpm.v)),1))),""),IF(($BM$27+12)&lt;=$BQ$27,$BP$27,""))))</f>
        <v/>
      </c>
      <c r="CD167" t="str" cm="1">
        <f t="array" ref="CD167">IF(NOT(AND($BN$28&lt;&gt;"",($BM$28+12)&lt;=$BO$28)),"",IF(T167&lt;&gt;"",IF(T167="-","",T167),IF(ISNUMBER(SEARCH(":",$BP$28)),IFERROR(_xlfn.LET(_xlpm.s,_xlfn.TEXTSPLIT($BP$28,","),_xlpm.k,FIND(":",_xlpm.s),INDEX(TRIM(LEFT(_xlpm.s,_xlpm.k-1)),_xlfn.XMATCH(($BM$28+12),_xlfn.SCAN(0,--MID(_xlpm.s,_xlpm.k+1,9),_xlfn.LAMBDA(_xlpm.a,_xlpm.v,_xlpm.a+_xlpm.v)),1))),""),IF(($BM$28+12)&lt;=$BQ$28,$BP$28,""))))</f>
        <v/>
      </c>
    </row>
    <row r="168" spans="2:82" hidden="1" x14ac:dyDescent="0.45">
      <c r="B168" s="6"/>
      <c r="C168" s="9" t="str">
        <f>IF(CA168="","",CA168&amp;"-"&amp;TEXT(COUNTIF($CA$72:$CA$95,CA168)+COUNTIF($CB$72:$CB$95,CA168)+COUNTIF($CC$72:$CC$95,CA168)+COUNTIF($CD$72:$CD$95,CA168)+COUNTIF($CA$100:$CA$123,CA168)+COUNTIF($CB$100:$CB$123,CA168)+COUNTIF($CC$100:$CC$123,CA168)+COUNTIF($CD$100:$CD$123,CA168)+COUNTIF($CA$128:$CA$151,CA168)+COUNTIF($CB$128:$CB$151,CA168)+COUNTIF($CC$128:$CC$151,CA168)+COUNTIF($CD$128:$CD$151,CA168)+COUNTIF($CA$156:CA168,CA168),"000"))</f>
        <v/>
      </c>
      <c r="D168" s="9" t="str">
        <f>IF(AND($BN$25&lt;&gt;"",($BM$25+13)&lt;=$BO$25),$BN$25,"")</f>
        <v/>
      </c>
      <c r="E168" s="9" t="str">
        <f>IF(AND($BN$25&lt;&gt;"",($BM$25+13)&lt;=$BO$25),TEXT(($BM$25+13),"00"),"")</f>
        <v/>
      </c>
      <c r="F168" s="9" t="str">
        <f>IF(AND($BN$25&lt;&gt;"",($BM$25+13)&lt;=$BO$25),$BN$25&amp;"-"&amp;TEXT(($BM$25+13),"00"),"")</f>
        <v/>
      </c>
      <c r="H168" s="6"/>
      <c r="I168" s="9" t="str">
        <f>IF(CB168="","",CB168&amp;"-"&amp;TEXT(COUNTIF($CA$72:$CA$95,CB168)+COUNTIF($CB$72:$CB$95,CB168)+COUNTIF($CC$72:$CC$95,CB168)+COUNTIF($CD$72:$CD$95,CB168)+COUNTIF($CA$100:$CA$123,CB168)+COUNTIF($CB$100:$CB$123,CB168)+COUNTIF($CC$100:$CC$123,CB168)+COUNTIF($CD$100:$CD$123,CB168)+COUNTIF($CA$128:$CA$151,CB168)+COUNTIF($CB$128:$CB$151,CB168)+COUNTIF($CC$128:$CC$151,CB168)+COUNTIF($CD$128:$CD$151,CB168)+COUNTIF($CA$156:$CA$179,CB168)+COUNTIF($CB$156:CB168,CB168),"000"))</f>
        <v/>
      </c>
      <c r="J168" s="9" t="str">
        <f>IF(AND($BN$26&lt;&gt;"",($BM$26+13)&lt;=$BO$26),$BN$26,"")</f>
        <v/>
      </c>
      <c r="K168" s="9" t="str">
        <f>IF(AND($BN$26&lt;&gt;"",($BM$26+13)&lt;=$BO$26),TEXT(($BM$26+13),"00"),"")</f>
        <v/>
      </c>
      <c r="L168" s="9" t="str">
        <f>IF(AND($BN$26&lt;&gt;"",($BM$26+13)&lt;=$BO$26),$BN$26&amp;"-"&amp;TEXT(($BM$26+13),"00"),"")</f>
        <v/>
      </c>
      <c r="N168" s="6"/>
      <c r="O168" s="9" t="str">
        <f>IF(CC168="","",CC168&amp;"-"&amp;TEXT(COUNTIF($CA$72:$CA$95,CC168)+COUNTIF($CB$72:$CB$95,CC168)+COUNTIF($CC$72:$CC$95,CC168)+COUNTIF($CD$72:$CD$95,CC168)+COUNTIF($CA$100:$CA$123,CC168)+COUNTIF($CB$100:$CB$123,CC168)+COUNTIF($CC$100:$CC$123,CC168)+COUNTIF($CD$100:$CD$123,CC168)+COUNTIF($CA$128:$CA$151,CC168)+COUNTIF($CB$128:$CB$151,CC168)+COUNTIF($CC$128:$CC$151,CC168)+COUNTIF($CD$128:$CD$151,CC168)+COUNTIF($CA$156:$CA$179,CC168)+COUNTIF($CB$156:$CB$179,CC168)+COUNTIF($CC$156:CC168,CC168),"000"))</f>
        <v/>
      </c>
      <c r="P168" s="9" t="str">
        <f>IF(AND($BN$27&lt;&gt;"",($BM$27+13)&lt;=$BO$27),$BN$27,"")</f>
        <v/>
      </c>
      <c r="Q168" s="9" t="str">
        <f>IF(AND($BN$27&lt;&gt;"",($BM$27+13)&lt;=$BO$27),TEXT(($BM$27+13),"00"),"")</f>
        <v/>
      </c>
      <c r="R168" s="9" t="str">
        <f>IF(AND($BN$27&lt;&gt;"",($BM$27+13)&lt;=$BO$27),$BN$27&amp;"-"&amp;TEXT(($BM$27+13),"00"),"")</f>
        <v/>
      </c>
      <c r="T168" s="6"/>
      <c r="U168" s="9" t="str">
        <f>IF(CD168="","",CD168&amp;"-"&amp;TEXT(COUNTIF($CA$72:$CA$95,CD168)+COUNTIF($CB$72:$CB$95,CD168)+COUNTIF($CC$72:$CC$95,CD168)+COUNTIF($CD$72:$CD$95,CD168)+COUNTIF($CA$100:$CA$123,CD168)+COUNTIF($CB$100:$CB$123,CD168)+COUNTIF($CC$100:$CC$123,CD168)+COUNTIF($CD$100:$CD$123,CD168)+COUNTIF($CA$128:$CA$151,CD168)+COUNTIF($CB$128:$CB$151,CD168)+COUNTIF($CC$128:$CC$151,CD168)+COUNTIF($CD$128:$CD$151,CD168)+COUNTIF($CA$156:$CA$179,CD168)+COUNTIF($CB$156:$CB$179,CD168)+COUNTIF($CC$156:$CC$179,CD168)+COUNTIF($CD$156:CD168,CD168),"000"))</f>
        <v/>
      </c>
      <c r="V168" s="9" t="str">
        <f>IF(AND($BN$28&lt;&gt;"",($BM$28+13)&lt;=$BO$28),$BN$28,"")</f>
        <v/>
      </c>
      <c r="W168" s="9" t="str">
        <f>IF(AND($BN$28&lt;&gt;"",($BM$28+13)&lt;=$BO$28),TEXT(($BM$28+13),"00"),"")</f>
        <v/>
      </c>
      <c r="X168" s="9" t="str">
        <f>IF(AND($BN$28&lt;&gt;"",($BM$28+13)&lt;=$BO$28),$BN$28&amp;"-"&amp;TEXT(($BM$28+13),"00"),"")</f>
        <v/>
      </c>
      <c r="CA168" t="str" cm="1">
        <f t="array" ref="CA168">IF(NOT(AND($BN$25&lt;&gt;"",($BM$25+13)&lt;=$BO$25)),"",IF(B168&lt;&gt;"",IF(B168="-","",B168),IF(ISNUMBER(SEARCH(":",$BP$25)),IFERROR(_xlfn.LET(_xlpm.s,_xlfn.TEXTSPLIT($BP$25,","),_xlpm.k,FIND(":",_xlpm.s),INDEX(TRIM(LEFT(_xlpm.s,_xlpm.k-1)),_xlfn.XMATCH(($BM$25+13),_xlfn.SCAN(0,--MID(_xlpm.s,_xlpm.k+1,9),_xlfn.LAMBDA(_xlpm.a,_xlpm.v,_xlpm.a+_xlpm.v)),1))),""),IF(($BM$25+13)&lt;=$BQ$25,$BP$25,""))))</f>
        <v/>
      </c>
      <c r="CB168" t="str" cm="1">
        <f t="array" ref="CB168">IF(NOT(AND($BN$26&lt;&gt;"",($BM$26+13)&lt;=$BO$26)),"",IF(H168&lt;&gt;"",IF(H168="-","",H168),IF(ISNUMBER(SEARCH(":",$BP$26)),IFERROR(_xlfn.LET(_xlpm.s,_xlfn.TEXTSPLIT($BP$26,","),_xlpm.k,FIND(":",_xlpm.s),INDEX(TRIM(LEFT(_xlpm.s,_xlpm.k-1)),_xlfn.XMATCH(($BM$26+13),_xlfn.SCAN(0,--MID(_xlpm.s,_xlpm.k+1,9),_xlfn.LAMBDA(_xlpm.a,_xlpm.v,_xlpm.a+_xlpm.v)),1))),""),IF(($BM$26+13)&lt;=$BQ$26,$BP$26,""))))</f>
        <v/>
      </c>
      <c r="CC168" t="str" cm="1">
        <f t="array" ref="CC168">IF(NOT(AND($BN$27&lt;&gt;"",($BM$27+13)&lt;=$BO$27)),"",IF(N168&lt;&gt;"",IF(N168="-","",N168),IF(ISNUMBER(SEARCH(":",$BP$27)),IFERROR(_xlfn.LET(_xlpm.s,_xlfn.TEXTSPLIT($BP$27,","),_xlpm.k,FIND(":",_xlpm.s),INDEX(TRIM(LEFT(_xlpm.s,_xlpm.k-1)),_xlfn.XMATCH(($BM$27+13),_xlfn.SCAN(0,--MID(_xlpm.s,_xlpm.k+1,9),_xlfn.LAMBDA(_xlpm.a,_xlpm.v,_xlpm.a+_xlpm.v)),1))),""),IF(($BM$27+13)&lt;=$BQ$27,$BP$27,""))))</f>
        <v/>
      </c>
      <c r="CD168" t="str" cm="1">
        <f t="array" ref="CD168">IF(NOT(AND($BN$28&lt;&gt;"",($BM$28+13)&lt;=$BO$28)),"",IF(T168&lt;&gt;"",IF(T168="-","",T168),IF(ISNUMBER(SEARCH(":",$BP$28)),IFERROR(_xlfn.LET(_xlpm.s,_xlfn.TEXTSPLIT($BP$28,","),_xlpm.k,FIND(":",_xlpm.s),INDEX(TRIM(LEFT(_xlpm.s,_xlpm.k-1)),_xlfn.XMATCH(($BM$28+13),_xlfn.SCAN(0,--MID(_xlpm.s,_xlpm.k+1,9),_xlfn.LAMBDA(_xlpm.a,_xlpm.v,_xlpm.a+_xlpm.v)),1))),""),IF(($BM$28+13)&lt;=$BQ$28,$BP$28,""))))</f>
        <v/>
      </c>
    </row>
    <row r="169" spans="2:82" hidden="1" x14ac:dyDescent="0.45">
      <c r="B169" s="6"/>
      <c r="C169" s="9" t="str">
        <f>IF(CA169="","",CA169&amp;"-"&amp;TEXT(COUNTIF($CA$72:$CA$95,CA169)+COUNTIF($CB$72:$CB$95,CA169)+COUNTIF($CC$72:$CC$95,CA169)+COUNTIF($CD$72:$CD$95,CA169)+COUNTIF($CA$100:$CA$123,CA169)+COUNTIF($CB$100:$CB$123,CA169)+COUNTIF($CC$100:$CC$123,CA169)+COUNTIF($CD$100:$CD$123,CA169)+COUNTIF($CA$128:$CA$151,CA169)+COUNTIF($CB$128:$CB$151,CA169)+COUNTIF($CC$128:$CC$151,CA169)+COUNTIF($CD$128:$CD$151,CA169)+COUNTIF($CA$156:CA169,CA169),"000"))</f>
        <v/>
      </c>
      <c r="D169" s="9" t="str">
        <f>IF(AND($BN$25&lt;&gt;"",($BM$25+14)&lt;=$BO$25),$BN$25,"")</f>
        <v/>
      </c>
      <c r="E169" s="9" t="str">
        <f>IF(AND($BN$25&lt;&gt;"",($BM$25+14)&lt;=$BO$25),TEXT(($BM$25+14),"00"),"")</f>
        <v/>
      </c>
      <c r="F169" s="9" t="str">
        <f>IF(AND($BN$25&lt;&gt;"",($BM$25+14)&lt;=$BO$25),$BN$25&amp;"-"&amp;TEXT(($BM$25+14),"00"),"")</f>
        <v/>
      </c>
      <c r="H169" s="6"/>
      <c r="I169" s="9" t="str">
        <f>IF(CB169="","",CB169&amp;"-"&amp;TEXT(COUNTIF($CA$72:$CA$95,CB169)+COUNTIF($CB$72:$CB$95,CB169)+COUNTIF($CC$72:$CC$95,CB169)+COUNTIF($CD$72:$CD$95,CB169)+COUNTIF($CA$100:$CA$123,CB169)+COUNTIF($CB$100:$CB$123,CB169)+COUNTIF($CC$100:$CC$123,CB169)+COUNTIF($CD$100:$CD$123,CB169)+COUNTIF($CA$128:$CA$151,CB169)+COUNTIF($CB$128:$CB$151,CB169)+COUNTIF($CC$128:$CC$151,CB169)+COUNTIF($CD$128:$CD$151,CB169)+COUNTIF($CA$156:$CA$179,CB169)+COUNTIF($CB$156:CB169,CB169),"000"))</f>
        <v/>
      </c>
      <c r="J169" s="9" t="str">
        <f>IF(AND($BN$26&lt;&gt;"",($BM$26+14)&lt;=$BO$26),$BN$26,"")</f>
        <v/>
      </c>
      <c r="K169" s="9" t="str">
        <f>IF(AND($BN$26&lt;&gt;"",($BM$26+14)&lt;=$BO$26),TEXT(($BM$26+14),"00"),"")</f>
        <v/>
      </c>
      <c r="L169" s="9" t="str">
        <f>IF(AND($BN$26&lt;&gt;"",($BM$26+14)&lt;=$BO$26),$BN$26&amp;"-"&amp;TEXT(($BM$26+14),"00"),"")</f>
        <v/>
      </c>
      <c r="N169" s="6"/>
      <c r="O169" s="9" t="str">
        <f>IF(CC169="","",CC169&amp;"-"&amp;TEXT(COUNTIF($CA$72:$CA$95,CC169)+COUNTIF($CB$72:$CB$95,CC169)+COUNTIF($CC$72:$CC$95,CC169)+COUNTIF($CD$72:$CD$95,CC169)+COUNTIF($CA$100:$CA$123,CC169)+COUNTIF($CB$100:$CB$123,CC169)+COUNTIF($CC$100:$CC$123,CC169)+COUNTIF($CD$100:$CD$123,CC169)+COUNTIF($CA$128:$CA$151,CC169)+COUNTIF($CB$128:$CB$151,CC169)+COUNTIF($CC$128:$CC$151,CC169)+COUNTIF($CD$128:$CD$151,CC169)+COUNTIF($CA$156:$CA$179,CC169)+COUNTIF($CB$156:$CB$179,CC169)+COUNTIF($CC$156:CC169,CC169),"000"))</f>
        <v/>
      </c>
      <c r="P169" s="9" t="str">
        <f>IF(AND($BN$27&lt;&gt;"",($BM$27+14)&lt;=$BO$27),$BN$27,"")</f>
        <v/>
      </c>
      <c r="Q169" s="9" t="str">
        <f>IF(AND($BN$27&lt;&gt;"",($BM$27+14)&lt;=$BO$27),TEXT(($BM$27+14),"00"),"")</f>
        <v/>
      </c>
      <c r="R169" s="9" t="str">
        <f>IF(AND($BN$27&lt;&gt;"",($BM$27+14)&lt;=$BO$27),$BN$27&amp;"-"&amp;TEXT(($BM$27+14),"00"),"")</f>
        <v/>
      </c>
      <c r="T169" s="6"/>
      <c r="U169" s="9" t="str">
        <f>IF(CD169="","",CD169&amp;"-"&amp;TEXT(COUNTIF($CA$72:$CA$95,CD169)+COUNTIF($CB$72:$CB$95,CD169)+COUNTIF($CC$72:$CC$95,CD169)+COUNTIF($CD$72:$CD$95,CD169)+COUNTIF($CA$100:$CA$123,CD169)+COUNTIF($CB$100:$CB$123,CD169)+COUNTIF($CC$100:$CC$123,CD169)+COUNTIF($CD$100:$CD$123,CD169)+COUNTIF($CA$128:$CA$151,CD169)+COUNTIF($CB$128:$CB$151,CD169)+COUNTIF($CC$128:$CC$151,CD169)+COUNTIF($CD$128:$CD$151,CD169)+COUNTIF($CA$156:$CA$179,CD169)+COUNTIF($CB$156:$CB$179,CD169)+COUNTIF($CC$156:$CC$179,CD169)+COUNTIF($CD$156:CD169,CD169),"000"))</f>
        <v/>
      </c>
      <c r="V169" s="9" t="str">
        <f>IF(AND($BN$28&lt;&gt;"",($BM$28+14)&lt;=$BO$28),$BN$28,"")</f>
        <v/>
      </c>
      <c r="W169" s="9" t="str">
        <f>IF(AND($BN$28&lt;&gt;"",($BM$28+14)&lt;=$BO$28),TEXT(($BM$28+14),"00"),"")</f>
        <v/>
      </c>
      <c r="X169" s="9" t="str">
        <f>IF(AND($BN$28&lt;&gt;"",($BM$28+14)&lt;=$BO$28),$BN$28&amp;"-"&amp;TEXT(($BM$28+14),"00"),"")</f>
        <v/>
      </c>
      <c r="CA169" t="str" cm="1">
        <f t="array" ref="CA169">IF(NOT(AND($BN$25&lt;&gt;"",($BM$25+14)&lt;=$BO$25)),"",IF(B169&lt;&gt;"",IF(B169="-","",B169),IF(ISNUMBER(SEARCH(":",$BP$25)),IFERROR(_xlfn.LET(_xlpm.s,_xlfn.TEXTSPLIT($BP$25,","),_xlpm.k,FIND(":",_xlpm.s),INDEX(TRIM(LEFT(_xlpm.s,_xlpm.k-1)),_xlfn.XMATCH(($BM$25+14),_xlfn.SCAN(0,--MID(_xlpm.s,_xlpm.k+1,9),_xlfn.LAMBDA(_xlpm.a,_xlpm.v,_xlpm.a+_xlpm.v)),1))),""),IF(($BM$25+14)&lt;=$BQ$25,$BP$25,""))))</f>
        <v/>
      </c>
      <c r="CB169" t="str" cm="1">
        <f t="array" ref="CB169">IF(NOT(AND($BN$26&lt;&gt;"",($BM$26+14)&lt;=$BO$26)),"",IF(H169&lt;&gt;"",IF(H169="-","",H169),IF(ISNUMBER(SEARCH(":",$BP$26)),IFERROR(_xlfn.LET(_xlpm.s,_xlfn.TEXTSPLIT($BP$26,","),_xlpm.k,FIND(":",_xlpm.s),INDEX(TRIM(LEFT(_xlpm.s,_xlpm.k-1)),_xlfn.XMATCH(($BM$26+14),_xlfn.SCAN(0,--MID(_xlpm.s,_xlpm.k+1,9),_xlfn.LAMBDA(_xlpm.a,_xlpm.v,_xlpm.a+_xlpm.v)),1))),""),IF(($BM$26+14)&lt;=$BQ$26,$BP$26,""))))</f>
        <v/>
      </c>
      <c r="CC169" t="str" cm="1">
        <f t="array" ref="CC169">IF(NOT(AND($BN$27&lt;&gt;"",($BM$27+14)&lt;=$BO$27)),"",IF(N169&lt;&gt;"",IF(N169="-","",N169),IF(ISNUMBER(SEARCH(":",$BP$27)),IFERROR(_xlfn.LET(_xlpm.s,_xlfn.TEXTSPLIT($BP$27,","),_xlpm.k,FIND(":",_xlpm.s),INDEX(TRIM(LEFT(_xlpm.s,_xlpm.k-1)),_xlfn.XMATCH(($BM$27+14),_xlfn.SCAN(0,--MID(_xlpm.s,_xlpm.k+1,9),_xlfn.LAMBDA(_xlpm.a,_xlpm.v,_xlpm.a+_xlpm.v)),1))),""),IF(($BM$27+14)&lt;=$BQ$27,$BP$27,""))))</f>
        <v/>
      </c>
      <c r="CD169" t="str" cm="1">
        <f t="array" ref="CD169">IF(NOT(AND($BN$28&lt;&gt;"",($BM$28+14)&lt;=$BO$28)),"",IF(T169&lt;&gt;"",IF(T169="-","",T169),IF(ISNUMBER(SEARCH(":",$BP$28)),IFERROR(_xlfn.LET(_xlpm.s,_xlfn.TEXTSPLIT($BP$28,","),_xlpm.k,FIND(":",_xlpm.s),INDEX(TRIM(LEFT(_xlpm.s,_xlpm.k-1)),_xlfn.XMATCH(($BM$28+14),_xlfn.SCAN(0,--MID(_xlpm.s,_xlpm.k+1,9),_xlfn.LAMBDA(_xlpm.a,_xlpm.v,_xlpm.a+_xlpm.v)),1))),""),IF(($BM$28+14)&lt;=$BQ$28,$BP$28,""))))</f>
        <v/>
      </c>
    </row>
    <row r="170" spans="2:82" hidden="1" x14ac:dyDescent="0.45">
      <c r="B170" s="6"/>
      <c r="C170" s="9" t="str">
        <f>IF(CA170="","",CA170&amp;"-"&amp;TEXT(COUNTIF($CA$72:$CA$95,CA170)+COUNTIF($CB$72:$CB$95,CA170)+COUNTIF($CC$72:$CC$95,CA170)+COUNTIF($CD$72:$CD$95,CA170)+COUNTIF($CA$100:$CA$123,CA170)+COUNTIF($CB$100:$CB$123,CA170)+COUNTIF($CC$100:$CC$123,CA170)+COUNTIF($CD$100:$CD$123,CA170)+COUNTIF($CA$128:$CA$151,CA170)+COUNTIF($CB$128:$CB$151,CA170)+COUNTIF($CC$128:$CC$151,CA170)+COUNTIF($CD$128:$CD$151,CA170)+COUNTIF($CA$156:CA170,CA170),"000"))</f>
        <v/>
      </c>
      <c r="D170" s="9" t="str">
        <f>IF(AND($BN$25&lt;&gt;"",($BM$25+15)&lt;=$BO$25),$BN$25,"")</f>
        <v/>
      </c>
      <c r="E170" s="9" t="str">
        <f>IF(AND($BN$25&lt;&gt;"",($BM$25+15)&lt;=$BO$25),TEXT(($BM$25+15),"00"),"")</f>
        <v/>
      </c>
      <c r="F170" s="9" t="str">
        <f>IF(AND($BN$25&lt;&gt;"",($BM$25+15)&lt;=$BO$25),$BN$25&amp;"-"&amp;TEXT(($BM$25+15),"00"),"")</f>
        <v/>
      </c>
      <c r="H170" s="6"/>
      <c r="I170" s="9" t="str">
        <f>IF(CB170="","",CB170&amp;"-"&amp;TEXT(COUNTIF($CA$72:$CA$95,CB170)+COUNTIF($CB$72:$CB$95,CB170)+COUNTIF($CC$72:$CC$95,CB170)+COUNTIF($CD$72:$CD$95,CB170)+COUNTIF($CA$100:$CA$123,CB170)+COUNTIF($CB$100:$CB$123,CB170)+COUNTIF($CC$100:$CC$123,CB170)+COUNTIF($CD$100:$CD$123,CB170)+COUNTIF($CA$128:$CA$151,CB170)+COUNTIF($CB$128:$CB$151,CB170)+COUNTIF($CC$128:$CC$151,CB170)+COUNTIF($CD$128:$CD$151,CB170)+COUNTIF($CA$156:$CA$179,CB170)+COUNTIF($CB$156:CB170,CB170),"000"))</f>
        <v/>
      </c>
      <c r="J170" s="9" t="str">
        <f>IF(AND($BN$26&lt;&gt;"",($BM$26+15)&lt;=$BO$26),$BN$26,"")</f>
        <v/>
      </c>
      <c r="K170" s="9" t="str">
        <f>IF(AND($BN$26&lt;&gt;"",($BM$26+15)&lt;=$BO$26),TEXT(($BM$26+15),"00"),"")</f>
        <v/>
      </c>
      <c r="L170" s="9" t="str">
        <f>IF(AND($BN$26&lt;&gt;"",($BM$26+15)&lt;=$BO$26),$BN$26&amp;"-"&amp;TEXT(($BM$26+15),"00"),"")</f>
        <v/>
      </c>
      <c r="N170" s="6"/>
      <c r="O170" s="9" t="str">
        <f>IF(CC170="","",CC170&amp;"-"&amp;TEXT(COUNTIF($CA$72:$CA$95,CC170)+COUNTIF($CB$72:$CB$95,CC170)+COUNTIF($CC$72:$CC$95,CC170)+COUNTIF($CD$72:$CD$95,CC170)+COUNTIF($CA$100:$CA$123,CC170)+COUNTIF($CB$100:$CB$123,CC170)+COUNTIF($CC$100:$CC$123,CC170)+COUNTIF($CD$100:$CD$123,CC170)+COUNTIF($CA$128:$CA$151,CC170)+COUNTIF($CB$128:$CB$151,CC170)+COUNTIF($CC$128:$CC$151,CC170)+COUNTIF($CD$128:$CD$151,CC170)+COUNTIF($CA$156:$CA$179,CC170)+COUNTIF($CB$156:$CB$179,CC170)+COUNTIF($CC$156:CC170,CC170),"000"))</f>
        <v/>
      </c>
      <c r="P170" s="9" t="str">
        <f>IF(AND($BN$27&lt;&gt;"",($BM$27+15)&lt;=$BO$27),$BN$27,"")</f>
        <v/>
      </c>
      <c r="Q170" s="9" t="str">
        <f>IF(AND($BN$27&lt;&gt;"",($BM$27+15)&lt;=$BO$27),TEXT(($BM$27+15),"00"),"")</f>
        <v/>
      </c>
      <c r="R170" s="9" t="str">
        <f>IF(AND($BN$27&lt;&gt;"",($BM$27+15)&lt;=$BO$27),$BN$27&amp;"-"&amp;TEXT(($BM$27+15),"00"),"")</f>
        <v/>
      </c>
      <c r="T170" s="6"/>
      <c r="U170" s="9" t="str">
        <f>IF(CD170="","",CD170&amp;"-"&amp;TEXT(COUNTIF($CA$72:$CA$95,CD170)+COUNTIF($CB$72:$CB$95,CD170)+COUNTIF($CC$72:$CC$95,CD170)+COUNTIF($CD$72:$CD$95,CD170)+COUNTIF($CA$100:$CA$123,CD170)+COUNTIF($CB$100:$CB$123,CD170)+COUNTIF($CC$100:$CC$123,CD170)+COUNTIF($CD$100:$CD$123,CD170)+COUNTIF($CA$128:$CA$151,CD170)+COUNTIF($CB$128:$CB$151,CD170)+COUNTIF($CC$128:$CC$151,CD170)+COUNTIF($CD$128:$CD$151,CD170)+COUNTIF($CA$156:$CA$179,CD170)+COUNTIF($CB$156:$CB$179,CD170)+COUNTIF($CC$156:$CC$179,CD170)+COUNTIF($CD$156:CD170,CD170),"000"))</f>
        <v/>
      </c>
      <c r="V170" s="9" t="str">
        <f>IF(AND($BN$28&lt;&gt;"",($BM$28+15)&lt;=$BO$28),$BN$28,"")</f>
        <v/>
      </c>
      <c r="W170" s="9" t="str">
        <f>IF(AND($BN$28&lt;&gt;"",($BM$28+15)&lt;=$BO$28),TEXT(($BM$28+15),"00"),"")</f>
        <v/>
      </c>
      <c r="X170" s="9" t="str">
        <f>IF(AND($BN$28&lt;&gt;"",($BM$28+15)&lt;=$BO$28),$BN$28&amp;"-"&amp;TEXT(($BM$28+15),"00"),"")</f>
        <v/>
      </c>
      <c r="CA170" t="str" cm="1">
        <f t="array" ref="CA170">IF(NOT(AND($BN$25&lt;&gt;"",($BM$25+15)&lt;=$BO$25)),"",IF(B170&lt;&gt;"",IF(B170="-","",B170),IF(ISNUMBER(SEARCH(":",$BP$25)),IFERROR(_xlfn.LET(_xlpm.s,_xlfn.TEXTSPLIT($BP$25,","),_xlpm.k,FIND(":",_xlpm.s),INDEX(TRIM(LEFT(_xlpm.s,_xlpm.k-1)),_xlfn.XMATCH(($BM$25+15),_xlfn.SCAN(0,--MID(_xlpm.s,_xlpm.k+1,9),_xlfn.LAMBDA(_xlpm.a,_xlpm.v,_xlpm.a+_xlpm.v)),1))),""),IF(($BM$25+15)&lt;=$BQ$25,$BP$25,""))))</f>
        <v/>
      </c>
      <c r="CB170" t="str" cm="1">
        <f t="array" ref="CB170">IF(NOT(AND($BN$26&lt;&gt;"",($BM$26+15)&lt;=$BO$26)),"",IF(H170&lt;&gt;"",IF(H170="-","",H170),IF(ISNUMBER(SEARCH(":",$BP$26)),IFERROR(_xlfn.LET(_xlpm.s,_xlfn.TEXTSPLIT($BP$26,","),_xlpm.k,FIND(":",_xlpm.s),INDEX(TRIM(LEFT(_xlpm.s,_xlpm.k-1)),_xlfn.XMATCH(($BM$26+15),_xlfn.SCAN(0,--MID(_xlpm.s,_xlpm.k+1,9),_xlfn.LAMBDA(_xlpm.a,_xlpm.v,_xlpm.a+_xlpm.v)),1))),""),IF(($BM$26+15)&lt;=$BQ$26,$BP$26,""))))</f>
        <v/>
      </c>
      <c r="CC170" t="str" cm="1">
        <f t="array" ref="CC170">IF(NOT(AND($BN$27&lt;&gt;"",($BM$27+15)&lt;=$BO$27)),"",IF(N170&lt;&gt;"",IF(N170="-","",N170),IF(ISNUMBER(SEARCH(":",$BP$27)),IFERROR(_xlfn.LET(_xlpm.s,_xlfn.TEXTSPLIT($BP$27,","),_xlpm.k,FIND(":",_xlpm.s),INDEX(TRIM(LEFT(_xlpm.s,_xlpm.k-1)),_xlfn.XMATCH(($BM$27+15),_xlfn.SCAN(0,--MID(_xlpm.s,_xlpm.k+1,9),_xlfn.LAMBDA(_xlpm.a,_xlpm.v,_xlpm.a+_xlpm.v)),1))),""),IF(($BM$27+15)&lt;=$BQ$27,$BP$27,""))))</f>
        <v/>
      </c>
      <c r="CD170" t="str" cm="1">
        <f t="array" ref="CD170">IF(NOT(AND($BN$28&lt;&gt;"",($BM$28+15)&lt;=$BO$28)),"",IF(T170&lt;&gt;"",IF(T170="-","",T170),IF(ISNUMBER(SEARCH(":",$BP$28)),IFERROR(_xlfn.LET(_xlpm.s,_xlfn.TEXTSPLIT($BP$28,","),_xlpm.k,FIND(":",_xlpm.s),INDEX(TRIM(LEFT(_xlpm.s,_xlpm.k-1)),_xlfn.XMATCH(($BM$28+15),_xlfn.SCAN(0,--MID(_xlpm.s,_xlpm.k+1,9),_xlfn.LAMBDA(_xlpm.a,_xlpm.v,_xlpm.a+_xlpm.v)),1))),""),IF(($BM$28+15)&lt;=$BQ$28,$BP$28,""))))</f>
        <v/>
      </c>
    </row>
    <row r="171" spans="2:82" hidden="1" x14ac:dyDescent="0.45">
      <c r="B171" s="6"/>
      <c r="C171" s="9" t="str">
        <f>IF(CA171="","",CA171&amp;"-"&amp;TEXT(COUNTIF($CA$72:$CA$95,CA171)+COUNTIF($CB$72:$CB$95,CA171)+COUNTIF($CC$72:$CC$95,CA171)+COUNTIF($CD$72:$CD$95,CA171)+COUNTIF($CA$100:$CA$123,CA171)+COUNTIF($CB$100:$CB$123,CA171)+COUNTIF($CC$100:$CC$123,CA171)+COUNTIF($CD$100:$CD$123,CA171)+COUNTIF($CA$128:$CA$151,CA171)+COUNTIF($CB$128:$CB$151,CA171)+COUNTIF($CC$128:$CC$151,CA171)+COUNTIF($CD$128:$CD$151,CA171)+COUNTIF($CA$156:CA171,CA171),"000"))</f>
        <v/>
      </c>
      <c r="D171" s="9" t="str">
        <f>IF(AND($BN$25&lt;&gt;"",($BM$25+16)&lt;=$BO$25),$BN$25,"")</f>
        <v/>
      </c>
      <c r="E171" s="9" t="str">
        <f>IF(AND($BN$25&lt;&gt;"",($BM$25+16)&lt;=$BO$25),TEXT(($BM$25+16),"00"),"")</f>
        <v/>
      </c>
      <c r="F171" s="9" t="str">
        <f>IF(AND($BN$25&lt;&gt;"",($BM$25+16)&lt;=$BO$25),$BN$25&amp;"-"&amp;TEXT(($BM$25+16),"00"),"")</f>
        <v/>
      </c>
      <c r="H171" s="6"/>
      <c r="I171" s="9" t="str">
        <f>IF(CB171="","",CB171&amp;"-"&amp;TEXT(COUNTIF($CA$72:$CA$95,CB171)+COUNTIF($CB$72:$CB$95,CB171)+COUNTIF($CC$72:$CC$95,CB171)+COUNTIF($CD$72:$CD$95,CB171)+COUNTIF($CA$100:$CA$123,CB171)+COUNTIF($CB$100:$CB$123,CB171)+COUNTIF($CC$100:$CC$123,CB171)+COUNTIF($CD$100:$CD$123,CB171)+COUNTIF($CA$128:$CA$151,CB171)+COUNTIF($CB$128:$CB$151,CB171)+COUNTIF($CC$128:$CC$151,CB171)+COUNTIF($CD$128:$CD$151,CB171)+COUNTIF($CA$156:$CA$179,CB171)+COUNTIF($CB$156:CB171,CB171),"000"))</f>
        <v/>
      </c>
      <c r="J171" s="9" t="str">
        <f>IF(AND($BN$26&lt;&gt;"",($BM$26+16)&lt;=$BO$26),$BN$26,"")</f>
        <v/>
      </c>
      <c r="K171" s="9" t="str">
        <f>IF(AND($BN$26&lt;&gt;"",($BM$26+16)&lt;=$BO$26),TEXT(($BM$26+16),"00"),"")</f>
        <v/>
      </c>
      <c r="L171" s="9" t="str">
        <f>IF(AND($BN$26&lt;&gt;"",($BM$26+16)&lt;=$BO$26),$BN$26&amp;"-"&amp;TEXT(($BM$26+16),"00"),"")</f>
        <v/>
      </c>
      <c r="N171" s="6"/>
      <c r="O171" s="9" t="str">
        <f>IF(CC171="","",CC171&amp;"-"&amp;TEXT(COUNTIF($CA$72:$CA$95,CC171)+COUNTIF($CB$72:$CB$95,CC171)+COUNTIF($CC$72:$CC$95,CC171)+COUNTIF($CD$72:$CD$95,CC171)+COUNTIF($CA$100:$CA$123,CC171)+COUNTIF($CB$100:$CB$123,CC171)+COUNTIF($CC$100:$CC$123,CC171)+COUNTIF($CD$100:$CD$123,CC171)+COUNTIF($CA$128:$CA$151,CC171)+COUNTIF($CB$128:$CB$151,CC171)+COUNTIF($CC$128:$CC$151,CC171)+COUNTIF($CD$128:$CD$151,CC171)+COUNTIF($CA$156:$CA$179,CC171)+COUNTIF($CB$156:$CB$179,CC171)+COUNTIF($CC$156:CC171,CC171),"000"))</f>
        <v/>
      </c>
      <c r="P171" s="9" t="str">
        <f>IF(AND($BN$27&lt;&gt;"",($BM$27+16)&lt;=$BO$27),$BN$27,"")</f>
        <v/>
      </c>
      <c r="Q171" s="9" t="str">
        <f>IF(AND($BN$27&lt;&gt;"",($BM$27+16)&lt;=$BO$27),TEXT(($BM$27+16),"00"),"")</f>
        <v/>
      </c>
      <c r="R171" s="9" t="str">
        <f>IF(AND($BN$27&lt;&gt;"",($BM$27+16)&lt;=$BO$27),$BN$27&amp;"-"&amp;TEXT(($BM$27+16),"00"),"")</f>
        <v/>
      </c>
      <c r="T171" s="6"/>
      <c r="U171" s="9" t="str">
        <f>IF(CD171="","",CD171&amp;"-"&amp;TEXT(COUNTIF($CA$72:$CA$95,CD171)+COUNTIF($CB$72:$CB$95,CD171)+COUNTIF($CC$72:$CC$95,CD171)+COUNTIF($CD$72:$CD$95,CD171)+COUNTIF($CA$100:$CA$123,CD171)+COUNTIF($CB$100:$CB$123,CD171)+COUNTIF($CC$100:$CC$123,CD171)+COUNTIF($CD$100:$CD$123,CD171)+COUNTIF($CA$128:$CA$151,CD171)+COUNTIF($CB$128:$CB$151,CD171)+COUNTIF($CC$128:$CC$151,CD171)+COUNTIF($CD$128:$CD$151,CD171)+COUNTIF($CA$156:$CA$179,CD171)+COUNTIF($CB$156:$CB$179,CD171)+COUNTIF($CC$156:$CC$179,CD171)+COUNTIF($CD$156:CD171,CD171),"000"))</f>
        <v/>
      </c>
      <c r="V171" s="9" t="str">
        <f>IF(AND($BN$28&lt;&gt;"",($BM$28+16)&lt;=$BO$28),$BN$28,"")</f>
        <v/>
      </c>
      <c r="W171" s="9" t="str">
        <f>IF(AND($BN$28&lt;&gt;"",($BM$28+16)&lt;=$BO$28),TEXT(($BM$28+16),"00"),"")</f>
        <v/>
      </c>
      <c r="X171" s="9" t="str">
        <f>IF(AND($BN$28&lt;&gt;"",($BM$28+16)&lt;=$BO$28),$BN$28&amp;"-"&amp;TEXT(($BM$28+16),"00"),"")</f>
        <v/>
      </c>
      <c r="CA171" t="str" cm="1">
        <f t="array" ref="CA171">IF(NOT(AND($BN$25&lt;&gt;"",($BM$25+16)&lt;=$BO$25)),"",IF(B171&lt;&gt;"",IF(B171="-","",B171),IF(ISNUMBER(SEARCH(":",$BP$25)),IFERROR(_xlfn.LET(_xlpm.s,_xlfn.TEXTSPLIT($BP$25,","),_xlpm.k,FIND(":",_xlpm.s),INDEX(TRIM(LEFT(_xlpm.s,_xlpm.k-1)),_xlfn.XMATCH(($BM$25+16),_xlfn.SCAN(0,--MID(_xlpm.s,_xlpm.k+1,9),_xlfn.LAMBDA(_xlpm.a,_xlpm.v,_xlpm.a+_xlpm.v)),1))),""),IF(($BM$25+16)&lt;=$BQ$25,$BP$25,""))))</f>
        <v/>
      </c>
      <c r="CB171" t="str" cm="1">
        <f t="array" ref="CB171">IF(NOT(AND($BN$26&lt;&gt;"",($BM$26+16)&lt;=$BO$26)),"",IF(H171&lt;&gt;"",IF(H171="-","",H171),IF(ISNUMBER(SEARCH(":",$BP$26)),IFERROR(_xlfn.LET(_xlpm.s,_xlfn.TEXTSPLIT($BP$26,","),_xlpm.k,FIND(":",_xlpm.s),INDEX(TRIM(LEFT(_xlpm.s,_xlpm.k-1)),_xlfn.XMATCH(($BM$26+16),_xlfn.SCAN(0,--MID(_xlpm.s,_xlpm.k+1,9),_xlfn.LAMBDA(_xlpm.a,_xlpm.v,_xlpm.a+_xlpm.v)),1))),""),IF(($BM$26+16)&lt;=$BQ$26,$BP$26,""))))</f>
        <v/>
      </c>
      <c r="CC171" t="str" cm="1">
        <f t="array" ref="CC171">IF(NOT(AND($BN$27&lt;&gt;"",($BM$27+16)&lt;=$BO$27)),"",IF(N171&lt;&gt;"",IF(N171="-","",N171),IF(ISNUMBER(SEARCH(":",$BP$27)),IFERROR(_xlfn.LET(_xlpm.s,_xlfn.TEXTSPLIT($BP$27,","),_xlpm.k,FIND(":",_xlpm.s),INDEX(TRIM(LEFT(_xlpm.s,_xlpm.k-1)),_xlfn.XMATCH(($BM$27+16),_xlfn.SCAN(0,--MID(_xlpm.s,_xlpm.k+1,9),_xlfn.LAMBDA(_xlpm.a,_xlpm.v,_xlpm.a+_xlpm.v)),1))),""),IF(($BM$27+16)&lt;=$BQ$27,$BP$27,""))))</f>
        <v/>
      </c>
      <c r="CD171" t="str" cm="1">
        <f t="array" ref="CD171">IF(NOT(AND($BN$28&lt;&gt;"",($BM$28+16)&lt;=$BO$28)),"",IF(T171&lt;&gt;"",IF(T171="-","",T171),IF(ISNUMBER(SEARCH(":",$BP$28)),IFERROR(_xlfn.LET(_xlpm.s,_xlfn.TEXTSPLIT($BP$28,","),_xlpm.k,FIND(":",_xlpm.s),INDEX(TRIM(LEFT(_xlpm.s,_xlpm.k-1)),_xlfn.XMATCH(($BM$28+16),_xlfn.SCAN(0,--MID(_xlpm.s,_xlpm.k+1,9),_xlfn.LAMBDA(_xlpm.a,_xlpm.v,_xlpm.a+_xlpm.v)),1))),""),IF(($BM$28+16)&lt;=$BQ$28,$BP$28,""))))</f>
        <v/>
      </c>
    </row>
    <row r="172" spans="2:82" hidden="1" x14ac:dyDescent="0.45">
      <c r="B172" s="6"/>
      <c r="C172" s="9" t="str">
        <f>IF(CA172="","",CA172&amp;"-"&amp;TEXT(COUNTIF($CA$72:$CA$95,CA172)+COUNTIF($CB$72:$CB$95,CA172)+COUNTIF($CC$72:$CC$95,CA172)+COUNTIF($CD$72:$CD$95,CA172)+COUNTIF($CA$100:$CA$123,CA172)+COUNTIF($CB$100:$CB$123,CA172)+COUNTIF($CC$100:$CC$123,CA172)+COUNTIF($CD$100:$CD$123,CA172)+COUNTIF($CA$128:$CA$151,CA172)+COUNTIF($CB$128:$CB$151,CA172)+COUNTIF($CC$128:$CC$151,CA172)+COUNTIF($CD$128:$CD$151,CA172)+COUNTIF($CA$156:CA172,CA172),"000"))</f>
        <v/>
      </c>
      <c r="D172" s="9" t="str">
        <f>IF(AND($BN$25&lt;&gt;"",($BM$25+17)&lt;=$BO$25),$BN$25,"")</f>
        <v/>
      </c>
      <c r="E172" s="9" t="str">
        <f>IF(AND($BN$25&lt;&gt;"",($BM$25+17)&lt;=$BO$25),TEXT(($BM$25+17),"00"),"")</f>
        <v/>
      </c>
      <c r="F172" s="9" t="str">
        <f>IF(AND($BN$25&lt;&gt;"",($BM$25+17)&lt;=$BO$25),$BN$25&amp;"-"&amp;TEXT(($BM$25+17),"00"),"")</f>
        <v/>
      </c>
      <c r="H172" s="6"/>
      <c r="I172" s="9" t="str">
        <f>IF(CB172="","",CB172&amp;"-"&amp;TEXT(COUNTIF($CA$72:$CA$95,CB172)+COUNTIF($CB$72:$CB$95,CB172)+COUNTIF($CC$72:$CC$95,CB172)+COUNTIF($CD$72:$CD$95,CB172)+COUNTIF($CA$100:$CA$123,CB172)+COUNTIF($CB$100:$CB$123,CB172)+COUNTIF($CC$100:$CC$123,CB172)+COUNTIF($CD$100:$CD$123,CB172)+COUNTIF($CA$128:$CA$151,CB172)+COUNTIF($CB$128:$CB$151,CB172)+COUNTIF($CC$128:$CC$151,CB172)+COUNTIF($CD$128:$CD$151,CB172)+COUNTIF($CA$156:$CA$179,CB172)+COUNTIF($CB$156:CB172,CB172),"000"))</f>
        <v/>
      </c>
      <c r="J172" s="9" t="str">
        <f>IF(AND($BN$26&lt;&gt;"",($BM$26+17)&lt;=$BO$26),$BN$26,"")</f>
        <v/>
      </c>
      <c r="K172" s="9" t="str">
        <f>IF(AND($BN$26&lt;&gt;"",($BM$26+17)&lt;=$BO$26),TEXT(($BM$26+17),"00"),"")</f>
        <v/>
      </c>
      <c r="L172" s="9" t="str">
        <f>IF(AND($BN$26&lt;&gt;"",($BM$26+17)&lt;=$BO$26),$BN$26&amp;"-"&amp;TEXT(($BM$26+17),"00"),"")</f>
        <v/>
      </c>
      <c r="N172" s="6"/>
      <c r="O172" s="9" t="str">
        <f>IF(CC172="","",CC172&amp;"-"&amp;TEXT(COUNTIF($CA$72:$CA$95,CC172)+COUNTIF($CB$72:$CB$95,CC172)+COUNTIF($CC$72:$CC$95,CC172)+COUNTIF($CD$72:$CD$95,CC172)+COUNTIF($CA$100:$CA$123,CC172)+COUNTIF($CB$100:$CB$123,CC172)+COUNTIF($CC$100:$CC$123,CC172)+COUNTIF($CD$100:$CD$123,CC172)+COUNTIF($CA$128:$CA$151,CC172)+COUNTIF($CB$128:$CB$151,CC172)+COUNTIF($CC$128:$CC$151,CC172)+COUNTIF($CD$128:$CD$151,CC172)+COUNTIF($CA$156:$CA$179,CC172)+COUNTIF($CB$156:$CB$179,CC172)+COUNTIF($CC$156:CC172,CC172),"000"))</f>
        <v/>
      </c>
      <c r="P172" s="9" t="str">
        <f>IF(AND($BN$27&lt;&gt;"",($BM$27+17)&lt;=$BO$27),$BN$27,"")</f>
        <v/>
      </c>
      <c r="Q172" s="9" t="str">
        <f>IF(AND($BN$27&lt;&gt;"",($BM$27+17)&lt;=$BO$27),TEXT(($BM$27+17),"00"),"")</f>
        <v/>
      </c>
      <c r="R172" s="9" t="str">
        <f>IF(AND($BN$27&lt;&gt;"",($BM$27+17)&lt;=$BO$27),$BN$27&amp;"-"&amp;TEXT(($BM$27+17),"00"),"")</f>
        <v/>
      </c>
      <c r="T172" s="6"/>
      <c r="U172" s="9" t="str">
        <f>IF(CD172="","",CD172&amp;"-"&amp;TEXT(COUNTIF($CA$72:$CA$95,CD172)+COUNTIF($CB$72:$CB$95,CD172)+COUNTIF($CC$72:$CC$95,CD172)+COUNTIF($CD$72:$CD$95,CD172)+COUNTIF($CA$100:$CA$123,CD172)+COUNTIF($CB$100:$CB$123,CD172)+COUNTIF($CC$100:$CC$123,CD172)+COUNTIF($CD$100:$CD$123,CD172)+COUNTIF($CA$128:$CA$151,CD172)+COUNTIF($CB$128:$CB$151,CD172)+COUNTIF($CC$128:$CC$151,CD172)+COUNTIF($CD$128:$CD$151,CD172)+COUNTIF($CA$156:$CA$179,CD172)+COUNTIF($CB$156:$CB$179,CD172)+COUNTIF($CC$156:$CC$179,CD172)+COUNTIF($CD$156:CD172,CD172),"000"))</f>
        <v/>
      </c>
      <c r="V172" s="9" t="str">
        <f>IF(AND($BN$28&lt;&gt;"",($BM$28+17)&lt;=$BO$28),$BN$28,"")</f>
        <v/>
      </c>
      <c r="W172" s="9" t="str">
        <f>IF(AND($BN$28&lt;&gt;"",($BM$28+17)&lt;=$BO$28),TEXT(($BM$28+17),"00"),"")</f>
        <v/>
      </c>
      <c r="X172" s="9" t="str">
        <f>IF(AND($BN$28&lt;&gt;"",($BM$28+17)&lt;=$BO$28),$BN$28&amp;"-"&amp;TEXT(($BM$28+17),"00"),"")</f>
        <v/>
      </c>
      <c r="CA172" t="str" cm="1">
        <f t="array" ref="CA172">IF(NOT(AND($BN$25&lt;&gt;"",($BM$25+17)&lt;=$BO$25)),"",IF(B172&lt;&gt;"",IF(B172="-","",B172),IF(ISNUMBER(SEARCH(":",$BP$25)),IFERROR(_xlfn.LET(_xlpm.s,_xlfn.TEXTSPLIT($BP$25,","),_xlpm.k,FIND(":",_xlpm.s),INDEX(TRIM(LEFT(_xlpm.s,_xlpm.k-1)),_xlfn.XMATCH(($BM$25+17),_xlfn.SCAN(0,--MID(_xlpm.s,_xlpm.k+1,9),_xlfn.LAMBDA(_xlpm.a,_xlpm.v,_xlpm.a+_xlpm.v)),1))),""),IF(($BM$25+17)&lt;=$BQ$25,$BP$25,""))))</f>
        <v/>
      </c>
      <c r="CB172" t="str" cm="1">
        <f t="array" ref="CB172">IF(NOT(AND($BN$26&lt;&gt;"",($BM$26+17)&lt;=$BO$26)),"",IF(H172&lt;&gt;"",IF(H172="-","",H172),IF(ISNUMBER(SEARCH(":",$BP$26)),IFERROR(_xlfn.LET(_xlpm.s,_xlfn.TEXTSPLIT($BP$26,","),_xlpm.k,FIND(":",_xlpm.s),INDEX(TRIM(LEFT(_xlpm.s,_xlpm.k-1)),_xlfn.XMATCH(($BM$26+17),_xlfn.SCAN(0,--MID(_xlpm.s,_xlpm.k+1,9),_xlfn.LAMBDA(_xlpm.a,_xlpm.v,_xlpm.a+_xlpm.v)),1))),""),IF(($BM$26+17)&lt;=$BQ$26,$BP$26,""))))</f>
        <v/>
      </c>
      <c r="CC172" t="str" cm="1">
        <f t="array" ref="CC172">IF(NOT(AND($BN$27&lt;&gt;"",($BM$27+17)&lt;=$BO$27)),"",IF(N172&lt;&gt;"",IF(N172="-","",N172),IF(ISNUMBER(SEARCH(":",$BP$27)),IFERROR(_xlfn.LET(_xlpm.s,_xlfn.TEXTSPLIT($BP$27,","),_xlpm.k,FIND(":",_xlpm.s),INDEX(TRIM(LEFT(_xlpm.s,_xlpm.k-1)),_xlfn.XMATCH(($BM$27+17),_xlfn.SCAN(0,--MID(_xlpm.s,_xlpm.k+1,9),_xlfn.LAMBDA(_xlpm.a,_xlpm.v,_xlpm.a+_xlpm.v)),1))),""),IF(($BM$27+17)&lt;=$BQ$27,$BP$27,""))))</f>
        <v/>
      </c>
      <c r="CD172" t="str" cm="1">
        <f t="array" ref="CD172">IF(NOT(AND($BN$28&lt;&gt;"",($BM$28+17)&lt;=$BO$28)),"",IF(T172&lt;&gt;"",IF(T172="-","",T172),IF(ISNUMBER(SEARCH(":",$BP$28)),IFERROR(_xlfn.LET(_xlpm.s,_xlfn.TEXTSPLIT($BP$28,","),_xlpm.k,FIND(":",_xlpm.s),INDEX(TRIM(LEFT(_xlpm.s,_xlpm.k-1)),_xlfn.XMATCH(($BM$28+17),_xlfn.SCAN(0,--MID(_xlpm.s,_xlpm.k+1,9),_xlfn.LAMBDA(_xlpm.a,_xlpm.v,_xlpm.a+_xlpm.v)),1))),""),IF(($BM$28+17)&lt;=$BQ$28,$BP$28,""))))</f>
        <v/>
      </c>
    </row>
    <row r="173" spans="2:82" hidden="1" x14ac:dyDescent="0.45">
      <c r="B173" s="6"/>
      <c r="C173" s="9" t="str">
        <f>IF(CA173="","",CA173&amp;"-"&amp;TEXT(COUNTIF($CA$72:$CA$95,CA173)+COUNTIF($CB$72:$CB$95,CA173)+COUNTIF($CC$72:$CC$95,CA173)+COUNTIF($CD$72:$CD$95,CA173)+COUNTIF($CA$100:$CA$123,CA173)+COUNTIF($CB$100:$CB$123,CA173)+COUNTIF($CC$100:$CC$123,CA173)+COUNTIF($CD$100:$CD$123,CA173)+COUNTIF($CA$128:$CA$151,CA173)+COUNTIF($CB$128:$CB$151,CA173)+COUNTIF($CC$128:$CC$151,CA173)+COUNTIF($CD$128:$CD$151,CA173)+COUNTIF($CA$156:CA173,CA173),"000"))</f>
        <v/>
      </c>
      <c r="D173" s="9" t="str">
        <f>IF(AND($BN$25&lt;&gt;"",($BM$25+18)&lt;=$BO$25),$BN$25,"")</f>
        <v/>
      </c>
      <c r="E173" s="9" t="str">
        <f>IF(AND($BN$25&lt;&gt;"",($BM$25+18)&lt;=$BO$25),TEXT(($BM$25+18),"00"),"")</f>
        <v/>
      </c>
      <c r="F173" s="9" t="str">
        <f>IF(AND($BN$25&lt;&gt;"",($BM$25+18)&lt;=$BO$25),$BN$25&amp;"-"&amp;TEXT(($BM$25+18),"00"),"")</f>
        <v/>
      </c>
      <c r="H173" s="6"/>
      <c r="I173" s="9" t="str">
        <f>IF(CB173="","",CB173&amp;"-"&amp;TEXT(COUNTIF($CA$72:$CA$95,CB173)+COUNTIF($CB$72:$CB$95,CB173)+COUNTIF($CC$72:$CC$95,CB173)+COUNTIF($CD$72:$CD$95,CB173)+COUNTIF($CA$100:$CA$123,CB173)+COUNTIF($CB$100:$CB$123,CB173)+COUNTIF($CC$100:$CC$123,CB173)+COUNTIF($CD$100:$CD$123,CB173)+COUNTIF($CA$128:$CA$151,CB173)+COUNTIF($CB$128:$CB$151,CB173)+COUNTIF($CC$128:$CC$151,CB173)+COUNTIF($CD$128:$CD$151,CB173)+COUNTIF($CA$156:$CA$179,CB173)+COUNTIF($CB$156:CB173,CB173),"000"))</f>
        <v/>
      </c>
      <c r="J173" s="9" t="str">
        <f>IF(AND($BN$26&lt;&gt;"",($BM$26+18)&lt;=$BO$26),$BN$26,"")</f>
        <v/>
      </c>
      <c r="K173" s="9" t="str">
        <f>IF(AND($BN$26&lt;&gt;"",($BM$26+18)&lt;=$BO$26),TEXT(($BM$26+18),"00"),"")</f>
        <v/>
      </c>
      <c r="L173" s="9" t="str">
        <f>IF(AND($BN$26&lt;&gt;"",($BM$26+18)&lt;=$BO$26),$BN$26&amp;"-"&amp;TEXT(($BM$26+18),"00"),"")</f>
        <v/>
      </c>
      <c r="N173" s="6"/>
      <c r="O173" s="9" t="str">
        <f>IF(CC173="","",CC173&amp;"-"&amp;TEXT(COUNTIF($CA$72:$CA$95,CC173)+COUNTIF($CB$72:$CB$95,CC173)+COUNTIF($CC$72:$CC$95,CC173)+COUNTIF($CD$72:$CD$95,CC173)+COUNTIF($CA$100:$CA$123,CC173)+COUNTIF($CB$100:$CB$123,CC173)+COUNTIF($CC$100:$CC$123,CC173)+COUNTIF($CD$100:$CD$123,CC173)+COUNTIF($CA$128:$CA$151,CC173)+COUNTIF($CB$128:$CB$151,CC173)+COUNTIF($CC$128:$CC$151,CC173)+COUNTIF($CD$128:$CD$151,CC173)+COUNTIF($CA$156:$CA$179,CC173)+COUNTIF($CB$156:$CB$179,CC173)+COUNTIF($CC$156:CC173,CC173),"000"))</f>
        <v/>
      </c>
      <c r="P173" s="9" t="str">
        <f>IF(AND($BN$27&lt;&gt;"",($BM$27+18)&lt;=$BO$27),$BN$27,"")</f>
        <v/>
      </c>
      <c r="Q173" s="9" t="str">
        <f>IF(AND($BN$27&lt;&gt;"",($BM$27+18)&lt;=$BO$27),TEXT(($BM$27+18),"00"),"")</f>
        <v/>
      </c>
      <c r="R173" s="9" t="str">
        <f>IF(AND($BN$27&lt;&gt;"",($BM$27+18)&lt;=$BO$27),$BN$27&amp;"-"&amp;TEXT(($BM$27+18),"00"),"")</f>
        <v/>
      </c>
      <c r="T173" s="6"/>
      <c r="U173" s="9" t="str">
        <f>IF(CD173="","",CD173&amp;"-"&amp;TEXT(COUNTIF($CA$72:$CA$95,CD173)+COUNTIF($CB$72:$CB$95,CD173)+COUNTIF($CC$72:$CC$95,CD173)+COUNTIF($CD$72:$CD$95,CD173)+COUNTIF($CA$100:$CA$123,CD173)+COUNTIF($CB$100:$CB$123,CD173)+COUNTIF($CC$100:$CC$123,CD173)+COUNTIF($CD$100:$CD$123,CD173)+COUNTIF($CA$128:$CA$151,CD173)+COUNTIF($CB$128:$CB$151,CD173)+COUNTIF($CC$128:$CC$151,CD173)+COUNTIF($CD$128:$CD$151,CD173)+COUNTIF($CA$156:$CA$179,CD173)+COUNTIF($CB$156:$CB$179,CD173)+COUNTIF($CC$156:$CC$179,CD173)+COUNTIF($CD$156:CD173,CD173),"000"))</f>
        <v/>
      </c>
      <c r="V173" s="9" t="str">
        <f>IF(AND($BN$28&lt;&gt;"",($BM$28+18)&lt;=$BO$28),$BN$28,"")</f>
        <v/>
      </c>
      <c r="W173" s="9" t="str">
        <f>IF(AND($BN$28&lt;&gt;"",($BM$28+18)&lt;=$BO$28),TEXT(($BM$28+18),"00"),"")</f>
        <v/>
      </c>
      <c r="X173" s="9" t="str">
        <f>IF(AND($BN$28&lt;&gt;"",($BM$28+18)&lt;=$BO$28),$BN$28&amp;"-"&amp;TEXT(($BM$28+18),"00"),"")</f>
        <v/>
      </c>
      <c r="CA173" t="str" cm="1">
        <f t="array" ref="CA173">IF(NOT(AND($BN$25&lt;&gt;"",($BM$25+18)&lt;=$BO$25)),"",IF(B173&lt;&gt;"",IF(B173="-","",B173),IF(ISNUMBER(SEARCH(":",$BP$25)),IFERROR(_xlfn.LET(_xlpm.s,_xlfn.TEXTSPLIT($BP$25,","),_xlpm.k,FIND(":",_xlpm.s),INDEX(TRIM(LEFT(_xlpm.s,_xlpm.k-1)),_xlfn.XMATCH(($BM$25+18),_xlfn.SCAN(0,--MID(_xlpm.s,_xlpm.k+1,9),_xlfn.LAMBDA(_xlpm.a,_xlpm.v,_xlpm.a+_xlpm.v)),1))),""),IF(($BM$25+18)&lt;=$BQ$25,$BP$25,""))))</f>
        <v/>
      </c>
      <c r="CB173" t="str" cm="1">
        <f t="array" ref="CB173">IF(NOT(AND($BN$26&lt;&gt;"",($BM$26+18)&lt;=$BO$26)),"",IF(H173&lt;&gt;"",IF(H173="-","",H173),IF(ISNUMBER(SEARCH(":",$BP$26)),IFERROR(_xlfn.LET(_xlpm.s,_xlfn.TEXTSPLIT($BP$26,","),_xlpm.k,FIND(":",_xlpm.s),INDEX(TRIM(LEFT(_xlpm.s,_xlpm.k-1)),_xlfn.XMATCH(($BM$26+18),_xlfn.SCAN(0,--MID(_xlpm.s,_xlpm.k+1,9),_xlfn.LAMBDA(_xlpm.a,_xlpm.v,_xlpm.a+_xlpm.v)),1))),""),IF(($BM$26+18)&lt;=$BQ$26,$BP$26,""))))</f>
        <v/>
      </c>
      <c r="CC173" t="str" cm="1">
        <f t="array" ref="CC173">IF(NOT(AND($BN$27&lt;&gt;"",($BM$27+18)&lt;=$BO$27)),"",IF(N173&lt;&gt;"",IF(N173="-","",N173),IF(ISNUMBER(SEARCH(":",$BP$27)),IFERROR(_xlfn.LET(_xlpm.s,_xlfn.TEXTSPLIT($BP$27,","),_xlpm.k,FIND(":",_xlpm.s),INDEX(TRIM(LEFT(_xlpm.s,_xlpm.k-1)),_xlfn.XMATCH(($BM$27+18),_xlfn.SCAN(0,--MID(_xlpm.s,_xlpm.k+1,9),_xlfn.LAMBDA(_xlpm.a,_xlpm.v,_xlpm.a+_xlpm.v)),1))),""),IF(($BM$27+18)&lt;=$BQ$27,$BP$27,""))))</f>
        <v/>
      </c>
      <c r="CD173" t="str" cm="1">
        <f t="array" ref="CD173">IF(NOT(AND($BN$28&lt;&gt;"",($BM$28+18)&lt;=$BO$28)),"",IF(T173&lt;&gt;"",IF(T173="-","",T173),IF(ISNUMBER(SEARCH(":",$BP$28)),IFERROR(_xlfn.LET(_xlpm.s,_xlfn.TEXTSPLIT($BP$28,","),_xlpm.k,FIND(":",_xlpm.s),INDEX(TRIM(LEFT(_xlpm.s,_xlpm.k-1)),_xlfn.XMATCH(($BM$28+18),_xlfn.SCAN(0,--MID(_xlpm.s,_xlpm.k+1,9),_xlfn.LAMBDA(_xlpm.a,_xlpm.v,_xlpm.a+_xlpm.v)),1))),""),IF(($BM$28+18)&lt;=$BQ$28,$BP$28,""))))</f>
        <v/>
      </c>
    </row>
    <row r="174" spans="2:82" hidden="1" x14ac:dyDescent="0.45">
      <c r="B174" s="6"/>
      <c r="C174" s="9" t="str">
        <f>IF(CA174="","",CA174&amp;"-"&amp;TEXT(COUNTIF($CA$72:$CA$95,CA174)+COUNTIF($CB$72:$CB$95,CA174)+COUNTIF($CC$72:$CC$95,CA174)+COUNTIF($CD$72:$CD$95,CA174)+COUNTIF($CA$100:$CA$123,CA174)+COUNTIF($CB$100:$CB$123,CA174)+COUNTIF($CC$100:$CC$123,CA174)+COUNTIF($CD$100:$CD$123,CA174)+COUNTIF($CA$128:$CA$151,CA174)+COUNTIF($CB$128:$CB$151,CA174)+COUNTIF($CC$128:$CC$151,CA174)+COUNTIF($CD$128:$CD$151,CA174)+COUNTIF($CA$156:CA174,CA174),"000"))</f>
        <v/>
      </c>
      <c r="D174" s="9" t="str">
        <f>IF(AND($BN$25&lt;&gt;"",($BM$25+19)&lt;=$BO$25),$BN$25,"")</f>
        <v/>
      </c>
      <c r="E174" s="9" t="str">
        <f>IF(AND($BN$25&lt;&gt;"",($BM$25+19)&lt;=$BO$25),TEXT(($BM$25+19),"00"),"")</f>
        <v/>
      </c>
      <c r="F174" s="9" t="str">
        <f>IF(AND($BN$25&lt;&gt;"",($BM$25+19)&lt;=$BO$25),$BN$25&amp;"-"&amp;TEXT(($BM$25+19),"00"),"")</f>
        <v/>
      </c>
      <c r="H174" s="6"/>
      <c r="I174" s="9" t="str">
        <f>IF(CB174="","",CB174&amp;"-"&amp;TEXT(COUNTIF($CA$72:$CA$95,CB174)+COUNTIF($CB$72:$CB$95,CB174)+COUNTIF($CC$72:$CC$95,CB174)+COUNTIF($CD$72:$CD$95,CB174)+COUNTIF($CA$100:$CA$123,CB174)+COUNTIF($CB$100:$CB$123,CB174)+COUNTIF($CC$100:$CC$123,CB174)+COUNTIF($CD$100:$CD$123,CB174)+COUNTIF($CA$128:$CA$151,CB174)+COUNTIF($CB$128:$CB$151,CB174)+COUNTIF($CC$128:$CC$151,CB174)+COUNTIF($CD$128:$CD$151,CB174)+COUNTIF($CA$156:$CA$179,CB174)+COUNTIF($CB$156:CB174,CB174),"000"))</f>
        <v/>
      </c>
      <c r="J174" s="9" t="str">
        <f>IF(AND($BN$26&lt;&gt;"",($BM$26+19)&lt;=$BO$26),$BN$26,"")</f>
        <v/>
      </c>
      <c r="K174" s="9" t="str">
        <f>IF(AND($BN$26&lt;&gt;"",($BM$26+19)&lt;=$BO$26),TEXT(($BM$26+19),"00"),"")</f>
        <v/>
      </c>
      <c r="L174" s="9" t="str">
        <f>IF(AND($BN$26&lt;&gt;"",($BM$26+19)&lt;=$BO$26),$BN$26&amp;"-"&amp;TEXT(($BM$26+19),"00"),"")</f>
        <v/>
      </c>
      <c r="N174" s="6"/>
      <c r="O174" s="9" t="str">
        <f>IF(CC174="","",CC174&amp;"-"&amp;TEXT(COUNTIF($CA$72:$CA$95,CC174)+COUNTIF($CB$72:$CB$95,CC174)+COUNTIF($CC$72:$CC$95,CC174)+COUNTIF($CD$72:$CD$95,CC174)+COUNTIF($CA$100:$CA$123,CC174)+COUNTIF($CB$100:$CB$123,CC174)+COUNTIF($CC$100:$CC$123,CC174)+COUNTIF($CD$100:$CD$123,CC174)+COUNTIF($CA$128:$CA$151,CC174)+COUNTIF($CB$128:$CB$151,CC174)+COUNTIF($CC$128:$CC$151,CC174)+COUNTIF($CD$128:$CD$151,CC174)+COUNTIF($CA$156:$CA$179,CC174)+COUNTIF($CB$156:$CB$179,CC174)+COUNTIF($CC$156:CC174,CC174),"000"))</f>
        <v/>
      </c>
      <c r="P174" s="9" t="str">
        <f>IF(AND($BN$27&lt;&gt;"",($BM$27+19)&lt;=$BO$27),$BN$27,"")</f>
        <v/>
      </c>
      <c r="Q174" s="9" t="str">
        <f>IF(AND($BN$27&lt;&gt;"",($BM$27+19)&lt;=$BO$27),TEXT(($BM$27+19),"00"),"")</f>
        <v/>
      </c>
      <c r="R174" s="9" t="str">
        <f>IF(AND($BN$27&lt;&gt;"",($BM$27+19)&lt;=$BO$27),$BN$27&amp;"-"&amp;TEXT(($BM$27+19),"00"),"")</f>
        <v/>
      </c>
      <c r="T174" s="6"/>
      <c r="U174" s="9" t="str">
        <f>IF(CD174="","",CD174&amp;"-"&amp;TEXT(COUNTIF($CA$72:$CA$95,CD174)+COUNTIF($CB$72:$CB$95,CD174)+COUNTIF($CC$72:$CC$95,CD174)+COUNTIF($CD$72:$CD$95,CD174)+COUNTIF($CA$100:$CA$123,CD174)+COUNTIF($CB$100:$CB$123,CD174)+COUNTIF($CC$100:$CC$123,CD174)+COUNTIF($CD$100:$CD$123,CD174)+COUNTIF($CA$128:$CA$151,CD174)+COUNTIF($CB$128:$CB$151,CD174)+COUNTIF($CC$128:$CC$151,CD174)+COUNTIF($CD$128:$CD$151,CD174)+COUNTIF($CA$156:$CA$179,CD174)+COUNTIF($CB$156:$CB$179,CD174)+COUNTIF($CC$156:$CC$179,CD174)+COUNTIF($CD$156:CD174,CD174),"000"))</f>
        <v/>
      </c>
      <c r="V174" s="9" t="str">
        <f>IF(AND($BN$28&lt;&gt;"",($BM$28+19)&lt;=$BO$28),$BN$28,"")</f>
        <v/>
      </c>
      <c r="W174" s="9" t="str">
        <f>IF(AND($BN$28&lt;&gt;"",($BM$28+19)&lt;=$BO$28),TEXT(($BM$28+19),"00"),"")</f>
        <v/>
      </c>
      <c r="X174" s="9" t="str">
        <f>IF(AND($BN$28&lt;&gt;"",($BM$28+19)&lt;=$BO$28),$BN$28&amp;"-"&amp;TEXT(($BM$28+19),"00"),"")</f>
        <v/>
      </c>
      <c r="CA174" t="str" cm="1">
        <f t="array" ref="CA174">IF(NOT(AND($BN$25&lt;&gt;"",($BM$25+19)&lt;=$BO$25)),"",IF(B174&lt;&gt;"",IF(B174="-","",B174),IF(ISNUMBER(SEARCH(":",$BP$25)),IFERROR(_xlfn.LET(_xlpm.s,_xlfn.TEXTSPLIT($BP$25,","),_xlpm.k,FIND(":",_xlpm.s),INDEX(TRIM(LEFT(_xlpm.s,_xlpm.k-1)),_xlfn.XMATCH(($BM$25+19),_xlfn.SCAN(0,--MID(_xlpm.s,_xlpm.k+1,9),_xlfn.LAMBDA(_xlpm.a,_xlpm.v,_xlpm.a+_xlpm.v)),1))),""),IF(($BM$25+19)&lt;=$BQ$25,$BP$25,""))))</f>
        <v/>
      </c>
      <c r="CB174" t="str" cm="1">
        <f t="array" ref="CB174">IF(NOT(AND($BN$26&lt;&gt;"",($BM$26+19)&lt;=$BO$26)),"",IF(H174&lt;&gt;"",IF(H174="-","",H174),IF(ISNUMBER(SEARCH(":",$BP$26)),IFERROR(_xlfn.LET(_xlpm.s,_xlfn.TEXTSPLIT($BP$26,","),_xlpm.k,FIND(":",_xlpm.s),INDEX(TRIM(LEFT(_xlpm.s,_xlpm.k-1)),_xlfn.XMATCH(($BM$26+19),_xlfn.SCAN(0,--MID(_xlpm.s,_xlpm.k+1,9),_xlfn.LAMBDA(_xlpm.a,_xlpm.v,_xlpm.a+_xlpm.v)),1))),""),IF(($BM$26+19)&lt;=$BQ$26,$BP$26,""))))</f>
        <v/>
      </c>
      <c r="CC174" t="str" cm="1">
        <f t="array" ref="CC174">IF(NOT(AND($BN$27&lt;&gt;"",($BM$27+19)&lt;=$BO$27)),"",IF(N174&lt;&gt;"",IF(N174="-","",N174),IF(ISNUMBER(SEARCH(":",$BP$27)),IFERROR(_xlfn.LET(_xlpm.s,_xlfn.TEXTSPLIT($BP$27,","),_xlpm.k,FIND(":",_xlpm.s),INDEX(TRIM(LEFT(_xlpm.s,_xlpm.k-1)),_xlfn.XMATCH(($BM$27+19),_xlfn.SCAN(0,--MID(_xlpm.s,_xlpm.k+1,9),_xlfn.LAMBDA(_xlpm.a,_xlpm.v,_xlpm.a+_xlpm.v)),1))),""),IF(($BM$27+19)&lt;=$BQ$27,$BP$27,""))))</f>
        <v/>
      </c>
      <c r="CD174" t="str" cm="1">
        <f t="array" ref="CD174">IF(NOT(AND($BN$28&lt;&gt;"",($BM$28+19)&lt;=$BO$28)),"",IF(T174&lt;&gt;"",IF(T174="-","",T174),IF(ISNUMBER(SEARCH(":",$BP$28)),IFERROR(_xlfn.LET(_xlpm.s,_xlfn.TEXTSPLIT($BP$28,","),_xlpm.k,FIND(":",_xlpm.s),INDEX(TRIM(LEFT(_xlpm.s,_xlpm.k-1)),_xlfn.XMATCH(($BM$28+19),_xlfn.SCAN(0,--MID(_xlpm.s,_xlpm.k+1,9),_xlfn.LAMBDA(_xlpm.a,_xlpm.v,_xlpm.a+_xlpm.v)),1))),""),IF(($BM$28+19)&lt;=$BQ$28,$BP$28,""))))</f>
        <v/>
      </c>
    </row>
    <row r="175" spans="2:82" hidden="1" x14ac:dyDescent="0.45">
      <c r="B175" s="6"/>
      <c r="C175" s="9" t="str">
        <f>IF(CA175="","",CA175&amp;"-"&amp;TEXT(COUNTIF($CA$72:$CA$95,CA175)+COUNTIF($CB$72:$CB$95,CA175)+COUNTIF($CC$72:$CC$95,CA175)+COUNTIF($CD$72:$CD$95,CA175)+COUNTIF($CA$100:$CA$123,CA175)+COUNTIF($CB$100:$CB$123,CA175)+COUNTIF($CC$100:$CC$123,CA175)+COUNTIF($CD$100:$CD$123,CA175)+COUNTIF($CA$128:$CA$151,CA175)+COUNTIF($CB$128:$CB$151,CA175)+COUNTIF($CC$128:$CC$151,CA175)+COUNTIF($CD$128:$CD$151,CA175)+COUNTIF($CA$156:CA175,CA175),"000"))</f>
        <v/>
      </c>
      <c r="D175" s="9" t="str">
        <f>IF(AND($BN$25&lt;&gt;"",($BM$25+20)&lt;=$BO$25),$BN$25,"")</f>
        <v/>
      </c>
      <c r="E175" s="9" t="str">
        <f>IF(AND($BN$25&lt;&gt;"",($BM$25+20)&lt;=$BO$25),TEXT(($BM$25+20),"00"),"")</f>
        <v/>
      </c>
      <c r="F175" s="9" t="str">
        <f>IF(AND($BN$25&lt;&gt;"",($BM$25+20)&lt;=$BO$25),$BN$25&amp;"-"&amp;TEXT(($BM$25+20),"00"),"")</f>
        <v/>
      </c>
      <c r="H175" s="6"/>
      <c r="I175" s="9" t="str">
        <f>IF(CB175="","",CB175&amp;"-"&amp;TEXT(COUNTIF($CA$72:$CA$95,CB175)+COUNTIF($CB$72:$CB$95,CB175)+COUNTIF($CC$72:$CC$95,CB175)+COUNTIF($CD$72:$CD$95,CB175)+COUNTIF($CA$100:$CA$123,CB175)+COUNTIF($CB$100:$CB$123,CB175)+COUNTIF($CC$100:$CC$123,CB175)+COUNTIF($CD$100:$CD$123,CB175)+COUNTIF($CA$128:$CA$151,CB175)+COUNTIF($CB$128:$CB$151,CB175)+COUNTIF($CC$128:$CC$151,CB175)+COUNTIF($CD$128:$CD$151,CB175)+COUNTIF($CA$156:$CA$179,CB175)+COUNTIF($CB$156:CB175,CB175),"000"))</f>
        <v/>
      </c>
      <c r="J175" s="9" t="str">
        <f>IF(AND($BN$26&lt;&gt;"",($BM$26+20)&lt;=$BO$26),$BN$26,"")</f>
        <v/>
      </c>
      <c r="K175" s="9" t="str">
        <f>IF(AND($BN$26&lt;&gt;"",($BM$26+20)&lt;=$BO$26),TEXT(($BM$26+20),"00"),"")</f>
        <v/>
      </c>
      <c r="L175" s="9" t="str">
        <f>IF(AND($BN$26&lt;&gt;"",($BM$26+20)&lt;=$BO$26),$BN$26&amp;"-"&amp;TEXT(($BM$26+20),"00"),"")</f>
        <v/>
      </c>
      <c r="N175" s="6"/>
      <c r="O175" s="9" t="str">
        <f>IF(CC175="","",CC175&amp;"-"&amp;TEXT(COUNTIF($CA$72:$CA$95,CC175)+COUNTIF($CB$72:$CB$95,CC175)+COUNTIF($CC$72:$CC$95,CC175)+COUNTIF($CD$72:$CD$95,CC175)+COUNTIF($CA$100:$CA$123,CC175)+COUNTIF($CB$100:$CB$123,CC175)+COUNTIF($CC$100:$CC$123,CC175)+COUNTIF($CD$100:$CD$123,CC175)+COUNTIF($CA$128:$CA$151,CC175)+COUNTIF($CB$128:$CB$151,CC175)+COUNTIF($CC$128:$CC$151,CC175)+COUNTIF($CD$128:$CD$151,CC175)+COUNTIF($CA$156:$CA$179,CC175)+COUNTIF($CB$156:$CB$179,CC175)+COUNTIF($CC$156:CC175,CC175),"000"))</f>
        <v/>
      </c>
      <c r="P175" s="9" t="str">
        <f>IF(AND($BN$27&lt;&gt;"",($BM$27+20)&lt;=$BO$27),$BN$27,"")</f>
        <v/>
      </c>
      <c r="Q175" s="9" t="str">
        <f>IF(AND($BN$27&lt;&gt;"",($BM$27+20)&lt;=$BO$27),TEXT(($BM$27+20),"00"),"")</f>
        <v/>
      </c>
      <c r="R175" s="9" t="str">
        <f>IF(AND($BN$27&lt;&gt;"",($BM$27+20)&lt;=$BO$27),$BN$27&amp;"-"&amp;TEXT(($BM$27+20),"00"),"")</f>
        <v/>
      </c>
      <c r="T175" s="6"/>
      <c r="U175" s="9" t="str">
        <f>IF(CD175="","",CD175&amp;"-"&amp;TEXT(COUNTIF($CA$72:$CA$95,CD175)+COUNTIF($CB$72:$CB$95,CD175)+COUNTIF($CC$72:$CC$95,CD175)+COUNTIF($CD$72:$CD$95,CD175)+COUNTIF($CA$100:$CA$123,CD175)+COUNTIF($CB$100:$CB$123,CD175)+COUNTIF($CC$100:$CC$123,CD175)+COUNTIF($CD$100:$CD$123,CD175)+COUNTIF($CA$128:$CA$151,CD175)+COUNTIF($CB$128:$CB$151,CD175)+COUNTIF($CC$128:$CC$151,CD175)+COUNTIF($CD$128:$CD$151,CD175)+COUNTIF($CA$156:$CA$179,CD175)+COUNTIF($CB$156:$CB$179,CD175)+COUNTIF($CC$156:$CC$179,CD175)+COUNTIF($CD$156:CD175,CD175),"000"))</f>
        <v/>
      </c>
      <c r="V175" s="9" t="str">
        <f>IF(AND($BN$28&lt;&gt;"",($BM$28+20)&lt;=$BO$28),$BN$28,"")</f>
        <v/>
      </c>
      <c r="W175" s="9" t="str">
        <f>IF(AND($BN$28&lt;&gt;"",($BM$28+20)&lt;=$BO$28),TEXT(($BM$28+20),"00"),"")</f>
        <v/>
      </c>
      <c r="X175" s="9" t="str">
        <f>IF(AND($BN$28&lt;&gt;"",($BM$28+20)&lt;=$BO$28),$BN$28&amp;"-"&amp;TEXT(($BM$28+20),"00"),"")</f>
        <v/>
      </c>
      <c r="CA175" t="str" cm="1">
        <f t="array" ref="CA175">IF(NOT(AND($BN$25&lt;&gt;"",($BM$25+20)&lt;=$BO$25)),"",IF(B175&lt;&gt;"",IF(B175="-","",B175),IF(ISNUMBER(SEARCH(":",$BP$25)),IFERROR(_xlfn.LET(_xlpm.s,_xlfn.TEXTSPLIT($BP$25,","),_xlpm.k,FIND(":",_xlpm.s),INDEX(TRIM(LEFT(_xlpm.s,_xlpm.k-1)),_xlfn.XMATCH(($BM$25+20),_xlfn.SCAN(0,--MID(_xlpm.s,_xlpm.k+1,9),_xlfn.LAMBDA(_xlpm.a,_xlpm.v,_xlpm.a+_xlpm.v)),1))),""),IF(($BM$25+20)&lt;=$BQ$25,$BP$25,""))))</f>
        <v/>
      </c>
      <c r="CB175" t="str" cm="1">
        <f t="array" ref="CB175">IF(NOT(AND($BN$26&lt;&gt;"",($BM$26+20)&lt;=$BO$26)),"",IF(H175&lt;&gt;"",IF(H175="-","",H175),IF(ISNUMBER(SEARCH(":",$BP$26)),IFERROR(_xlfn.LET(_xlpm.s,_xlfn.TEXTSPLIT($BP$26,","),_xlpm.k,FIND(":",_xlpm.s),INDEX(TRIM(LEFT(_xlpm.s,_xlpm.k-1)),_xlfn.XMATCH(($BM$26+20),_xlfn.SCAN(0,--MID(_xlpm.s,_xlpm.k+1,9),_xlfn.LAMBDA(_xlpm.a,_xlpm.v,_xlpm.a+_xlpm.v)),1))),""),IF(($BM$26+20)&lt;=$BQ$26,$BP$26,""))))</f>
        <v/>
      </c>
      <c r="CC175" t="str" cm="1">
        <f t="array" ref="CC175">IF(NOT(AND($BN$27&lt;&gt;"",($BM$27+20)&lt;=$BO$27)),"",IF(N175&lt;&gt;"",IF(N175="-","",N175),IF(ISNUMBER(SEARCH(":",$BP$27)),IFERROR(_xlfn.LET(_xlpm.s,_xlfn.TEXTSPLIT($BP$27,","),_xlpm.k,FIND(":",_xlpm.s),INDEX(TRIM(LEFT(_xlpm.s,_xlpm.k-1)),_xlfn.XMATCH(($BM$27+20),_xlfn.SCAN(0,--MID(_xlpm.s,_xlpm.k+1,9),_xlfn.LAMBDA(_xlpm.a,_xlpm.v,_xlpm.a+_xlpm.v)),1))),""),IF(($BM$27+20)&lt;=$BQ$27,$BP$27,""))))</f>
        <v/>
      </c>
      <c r="CD175" t="str" cm="1">
        <f t="array" ref="CD175">IF(NOT(AND($BN$28&lt;&gt;"",($BM$28+20)&lt;=$BO$28)),"",IF(T175&lt;&gt;"",IF(T175="-","",T175),IF(ISNUMBER(SEARCH(":",$BP$28)),IFERROR(_xlfn.LET(_xlpm.s,_xlfn.TEXTSPLIT($BP$28,","),_xlpm.k,FIND(":",_xlpm.s),INDEX(TRIM(LEFT(_xlpm.s,_xlpm.k-1)),_xlfn.XMATCH(($BM$28+20),_xlfn.SCAN(0,--MID(_xlpm.s,_xlpm.k+1,9),_xlfn.LAMBDA(_xlpm.a,_xlpm.v,_xlpm.a+_xlpm.v)),1))),""),IF(($BM$28+20)&lt;=$BQ$28,$BP$28,""))))</f>
        <v/>
      </c>
    </row>
    <row r="176" spans="2:82" hidden="1" x14ac:dyDescent="0.45">
      <c r="B176" s="6"/>
      <c r="C176" s="9" t="str">
        <f>IF(CA176="","",CA176&amp;"-"&amp;TEXT(COUNTIF($CA$72:$CA$95,CA176)+COUNTIF($CB$72:$CB$95,CA176)+COUNTIF($CC$72:$CC$95,CA176)+COUNTIF($CD$72:$CD$95,CA176)+COUNTIF($CA$100:$CA$123,CA176)+COUNTIF($CB$100:$CB$123,CA176)+COUNTIF($CC$100:$CC$123,CA176)+COUNTIF($CD$100:$CD$123,CA176)+COUNTIF($CA$128:$CA$151,CA176)+COUNTIF($CB$128:$CB$151,CA176)+COUNTIF($CC$128:$CC$151,CA176)+COUNTIF($CD$128:$CD$151,CA176)+COUNTIF($CA$156:CA176,CA176),"000"))</f>
        <v/>
      </c>
      <c r="D176" s="9" t="str">
        <f>IF(AND($BN$25&lt;&gt;"",($BM$25+21)&lt;=$BO$25),$BN$25,"")</f>
        <v/>
      </c>
      <c r="E176" s="9" t="str">
        <f>IF(AND($BN$25&lt;&gt;"",($BM$25+21)&lt;=$BO$25),TEXT(($BM$25+21),"00"),"")</f>
        <v/>
      </c>
      <c r="F176" s="9" t="str">
        <f>IF(AND($BN$25&lt;&gt;"",($BM$25+21)&lt;=$BO$25),$BN$25&amp;"-"&amp;TEXT(($BM$25+21),"00"),"")</f>
        <v/>
      </c>
      <c r="H176" s="6"/>
      <c r="I176" s="9" t="str">
        <f>IF(CB176="","",CB176&amp;"-"&amp;TEXT(COUNTIF($CA$72:$CA$95,CB176)+COUNTIF($CB$72:$CB$95,CB176)+COUNTIF($CC$72:$CC$95,CB176)+COUNTIF($CD$72:$CD$95,CB176)+COUNTIF($CA$100:$CA$123,CB176)+COUNTIF($CB$100:$CB$123,CB176)+COUNTIF($CC$100:$CC$123,CB176)+COUNTIF($CD$100:$CD$123,CB176)+COUNTIF($CA$128:$CA$151,CB176)+COUNTIF($CB$128:$CB$151,CB176)+COUNTIF($CC$128:$CC$151,CB176)+COUNTIF($CD$128:$CD$151,CB176)+COUNTIF($CA$156:$CA$179,CB176)+COUNTIF($CB$156:CB176,CB176),"000"))</f>
        <v/>
      </c>
      <c r="J176" s="9" t="str">
        <f>IF(AND($BN$26&lt;&gt;"",($BM$26+21)&lt;=$BO$26),$BN$26,"")</f>
        <v/>
      </c>
      <c r="K176" s="9" t="str">
        <f>IF(AND($BN$26&lt;&gt;"",($BM$26+21)&lt;=$BO$26),TEXT(($BM$26+21),"00"),"")</f>
        <v/>
      </c>
      <c r="L176" s="9" t="str">
        <f>IF(AND($BN$26&lt;&gt;"",($BM$26+21)&lt;=$BO$26),$BN$26&amp;"-"&amp;TEXT(($BM$26+21),"00"),"")</f>
        <v/>
      </c>
      <c r="N176" s="6"/>
      <c r="O176" s="9" t="str">
        <f>IF(CC176="","",CC176&amp;"-"&amp;TEXT(COUNTIF($CA$72:$CA$95,CC176)+COUNTIF($CB$72:$CB$95,CC176)+COUNTIF($CC$72:$CC$95,CC176)+COUNTIF($CD$72:$CD$95,CC176)+COUNTIF($CA$100:$CA$123,CC176)+COUNTIF($CB$100:$CB$123,CC176)+COUNTIF($CC$100:$CC$123,CC176)+COUNTIF($CD$100:$CD$123,CC176)+COUNTIF($CA$128:$CA$151,CC176)+COUNTIF($CB$128:$CB$151,CC176)+COUNTIF($CC$128:$CC$151,CC176)+COUNTIF($CD$128:$CD$151,CC176)+COUNTIF($CA$156:$CA$179,CC176)+COUNTIF($CB$156:$CB$179,CC176)+COUNTIF($CC$156:CC176,CC176),"000"))</f>
        <v/>
      </c>
      <c r="P176" s="9" t="str">
        <f>IF(AND($BN$27&lt;&gt;"",($BM$27+21)&lt;=$BO$27),$BN$27,"")</f>
        <v/>
      </c>
      <c r="Q176" s="9" t="str">
        <f>IF(AND($BN$27&lt;&gt;"",($BM$27+21)&lt;=$BO$27),TEXT(($BM$27+21),"00"),"")</f>
        <v/>
      </c>
      <c r="R176" s="9" t="str">
        <f>IF(AND($BN$27&lt;&gt;"",($BM$27+21)&lt;=$BO$27),$BN$27&amp;"-"&amp;TEXT(($BM$27+21),"00"),"")</f>
        <v/>
      </c>
      <c r="T176" s="6"/>
      <c r="U176" s="9" t="str">
        <f>IF(CD176="","",CD176&amp;"-"&amp;TEXT(COUNTIF($CA$72:$CA$95,CD176)+COUNTIF($CB$72:$CB$95,CD176)+COUNTIF($CC$72:$CC$95,CD176)+COUNTIF($CD$72:$CD$95,CD176)+COUNTIF($CA$100:$CA$123,CD176)+COUNTIF($CB$100:$CB$123,CD176)+COUNTIF($CC$100:$CC$123,CD176)+COUNTIF($CD$100:$CD$123,CD176)+COUNTIF($CA$128:$CA$151,CD176)+COUNTIF($CB$128:$CB$151,CD176)+COUNTIF($CC$128:$CC$151,CD176)+COUNTIF($CD$128:$CD$151,CD176)+COUNTIF($CA$156:$CA$179,CD176)+COUNTIF($CB$156:$CB$179,CD176)+COUNTIF($CC$156:$CC$179,CD176)+COUNTIF($CD$156:CD176,CD176),"000"))</f>
        <v/>
      </c>
      <c r="V176" s="9" t="str">
        <f>IF(AND($BN$28&lt;&gt;"",($BM$28+21)&lt;=$BO$28),$BN$28,"")</f>
        <v/>
      </c>
      <c r="W176" s="9" t="str">
        <f>IF(AND($BN$28&lt;&gt;"",($BM$28+21)&lt;=$BO$28),TEXT(($BM$28+21),"00"),"")</f>
        <v/>
      </c>
      <c r="X176" s="9" t="str">
        <f>IF(AND($BN$28&lt;&gt;"",($BM$28+21)&lt;=$BO$28),$BN$28&amp;"-"&amp;TEXT(($BM$28+21),"00"),"")</f>
        <v/>
      </c>
      <c r="CA176" t="str" cm="1">
        <f t="array" ref="CA176">IF(NOT(AND($BN$25&lt;&gt;"",($BM$25+21)&lt;=$BO$25)),"",IF(B176&lt;&gt;"",IF(B176="-","",B176),IF(ISNUMBER(SEARCH(":",$BP$25)),IFERROR(_xlfn.LET(_xlpm.s,_xlfn.TEXTSPLIT($BP$25,","),_xlpm.k,FIND(":",_xlpm.s),INDEX(TRIM(LEFT(_xlpm.s,_xlpm.k-1)),_xlfn.XMATCH(($BM$25+21),_xlfn.SCAN(0,--MID(_xlpm.s,_xlpm.k+1,9),_xlfn.LAMBDA(_xlpm.a,_xlpm.v,_xlpm.a+_xlpm.v)),1))),""),IF(($BM$25+21)&lt;=$BQ$25,$BP$25,""))))</f>
        <v/>
      </c>
      <c r="CB176" t="str" cm="1">
        <f t="array" ref="CB176">IF(NOT(AND($BN$26&lt;&gt;"",($BM$26+21)&lt;=$BO$26)),"",IF(H176&lt;&gt;"",IF(H176="-","",H176),IF(ISNUMBER(SEARCH(":",$BP$26)),IFERROR(_xlfn.LET(_xlpm.s,_xlfn.TEXTSPLIT($BP$26,","),_xlpm.k,FIND(":",_xlpm.s),INDEX(TRIM(LEFT(_xlpm.s,_xlpm.k-1)),_xlfn.XMATCH(($BM$26+21),_xlfn.SCAN(0,--MID(_xlpm.s,_xlpm.k+1,9),_xlfn.LAMBDA(_xlpm.a,_xlpm.v,_xlpm.a+_xlpm.v)),1))),""),IF(($BM$26+21)&lt;=$BQ$26,$BP$26,""))))</f>
        <v/>
      </c>
      <c r="CC176" t="str" cm="1">
        <f t="array" ref="CC176">IF(NOT(AND($BN$27&lt;&gt;"",($BM$27+21)&lt;=$BO$27)),"",IF(N176&lt;&gt;"",IF(N176="-","",N176),IF(ISNUMBER(SEARCH(":",$BP$27)),IFERROR(_xlfn.LET(_xlpm.s,_xlfn.TEXTSPLIT($BP$27,","),_xlpm.k,FIND(":",_xlpm.s),INDEX(TRIM(LEFT(_xlpm.s,_xlpm.k-1)),_xlfn.XMATCH(($BM$27+21),_xlfn.SCAN(0,--MID(_xlpm.s,_xlpm.k+1,9),_xlfn.LAMBDA(_xlpm.a,_xlpm.v,_xlpm.a+_xlpm.v)),1))),""),IF(($BM$27+21)&lt;=$BQ$27,$BP$27,""))))</f>
        <v/>
      </c>
      <c r="CD176" t="str" cm="1">
        <f t="array" ref="CD176">IF(NOT(AND($BN$28&lt;&gt;"",($BM$28+21)&lt;=$BO$28)),"",IF(T176&lt;&gt;"",IF(T176="-","",T176),IF(ISNUMBER(SEARCH(":",$BP$28)),IFERROR(_xlfn.LET(_xlpm.s,_xlfn.TEXTSPLIT($BP$28,","),_xlpm.k,FIND(":",_xlpm.s),INDEX(TRIM(LEFT(_xlpm.s,_xlpm.k-1)),_xlfn.XMATCH(($BM$28+21),_xlfn.SCAN(0,--MID(_xlpm.s,_xlpm.k+1,9),_xlfn.LAMBDA(_xlpm.a,_xlpm.v,_xlpm.a+_xlpm.v)),1))),""),IF(($BM$28+21)&lt;=$BQ$28,$BP$28,""))))</f>
        <v/>
      </c>
    </row>
    <row r="177" spans="2:82" hidden="1" x14ac:dyDescent="0.45">
      <c r="B177" s="6"/>
      <c r="C177" s="9" t="str">
        <f>IF(CA177="","",CA177&amp;"-"&amp;TEXT(COUNTIF($CA$72:$CA$95,CA177)+COUNTIF($CB$72:$CB$95,CA177)+COUNTIF($CC$72:$CC$95,CA177)+COUNTIF($CD$72:$CD$95,CA177)+COUNTIF($CA$100:$CA$123,CA177)+COUNTIF($CB$100:$CB$123,CA177)+COUNTIF($CC$100:$CC$123,CA177)+COUNTIF($CD$100:$CD$123,CA177)+COUNTIF($CA$128:$CA$151,CA177)+COUNTIF($CB$128:$CB$151,CA177)+COUNTIF($CC$128:$CC$151,CA177)+COUNTIF($CD$128:$CD$151,CA177)+COUNTIF($CA$156:CA177,CA177),"000"))</f>
        <v/>
      </c>
      <c r="D177" s="9" t="str">
        <f>IF(AND($BN$25&lt;&gt;"",($BM$25+22)&lt;=$BO$25),$BN$25,"")</f>
        <v/>
      </c>
      <c r="E177" s="9" t="str">
        <f>IF(AND($BN$25&lt;&gt;"",($BM$25+22)&lt;=$BO$25),TEXT(($BM$25+22),"00"),"")</f>
        <v/>
      </c>
      <c r="F177" s="9" t="str">
        <f>IF(AND($BN$25&lt;&gt;"",($BM$25+22)&lt;=$BO$25),$BN$25&amp;"-"&amp;TEXT(($BM$25+22),"00"),"")</f>
        <v/>
      </c>
      <c r="H177" s="6"/>
      <c r="I177" s="9" t="str">
        <f>IF(CB177="","",CB177&amp;"-"&amp;TEXT(COUNTIF($CA$72:$CA$95,CB177)+COUNTIF($CB$72:$CB$95,CB177)+COUNTIF($CC$72:$CC$95,CB177)+COUNTIF($CD$72:$CD$95,CB177)+COUNTIF($CA$100:$CA$123,CB177)+COUNTIF($CB$100:$CB$123,CB177)+COUNTIF($CC$100:$CC$123,CB177)+COUNTIF($CD$100:$CD$123,CB177)+COUNTIF($CA$128:$CA$151,CB177)+COUNTIF($CB$128:$CB$151,CB177)+COUNTIF($CC$128:$CC$151,CB177)+COUNTIF($CD$128:$CD$151,CB177)+COUNTIF($CA$156:$CA$179,CB177)+COUNTIF($CB$156:CB177,CB177),"000"))</f>
        <v/>
      </c>
      <c r="J177" s="9" t="str">
        <f>IF(AND($BN$26&lt;&gt;"",($BM$26+22)&lt;=$BO$26),$BN$26,"")</f>
        <v/>
      </c>
      <c r="K177" s="9" t="str">
        <f>IF(AND($BN$26&lt;&gt;"",($BM$26+22)&lt;=$BO$26),TEXT(($BM$26+22),"00"),"")</f>
        <v/>
      </c>
      <c r="L177" s="9" t="str">
        <f>IF(AND($BN$26&lt;&gt;"",($BM$26+22)&lt;=$BO$26),$BN$26&amp;"-"&amp;TEXT(($BM$26+22),"00"),"")</f>
        <v/>
      </c>
      <c r="N177" s="6"/>
      <c r="O177" s="9" t="str">
        <f>IF(CC177="","",CC177&amp;"-"&amp;TEXT(COUNTIF($CA$72:$CA$95,CC177)+COUNTIF($CB$72:$CB$95,CC177)+COUNTIF($CC$72:$CC$95,CC177)+COUNTIF($CD$72:$CD$95,CC177)+COUNTIF($CA$100:$CA$123,CC177)+COUNTIF($CB$100:$CB$123,CC177)+COUNTIF($CC$100:$CC$123,CC177)+COUNTIF($CD$100:$CD$123,CC177)+COUNTIF($CA$128:$CA$151,CC177)+COUNTIF($CB$128:$CB$151,CC177)+COUNTIF($CC$128:$CC$151,CC177)+COUNTIF($CD$128:$CD$151,CC177)+COUNTIF($CA$156:$CA$179,CC177)+COUNTIF($CB$156:$CB$179,CC177)+COUNTIF($CC$156:CC177,CC177),"000"))</f>
        <v/>
      </c>
      <c r="P177" s="9" t="str">
        <f>IF(AND($BN$27&lt;&gt;"",($BM$27+22)&lt;=$BO$27),$BN$27,"")</f>
        <v/>
      </c>
      <c r="Q177" s="9" t="str">
        <f>IF(AND($BN$27&lt;&gt;"",($BM$27+22)&lt;=$BO$27),TEXT(($BM$27+22),"00"),"")</f>
        <v/>
      </c>
      <c r="R177" s="9" t="str">
        <f>IF(AND($BN$27&lt;&gt;"",($BM$27+22)&lt;=$BO$27),$BN$27&amp;"-"&amp;TEXT(($BM$27+22),"00"),"")</f>
        <v/>
      </c>
      <c r="T177" s="6"/>
      <c r="U177" s="9" t="str">
        <f>IF(CD177="","",CD177&amp;"-"&amp;TEXT(COUNTIF($CA$72:$CA$95,CD177)+COUNTIF($CB$72:$CB$95,CD177)+COUNTIF($CC$72:$CC$95,CD177)+COUNTIF($CD$72:$CD$95,CD177)+COUNTIF($CA$100:$CA$123,CD177)+COUNTIF($CB$100:$CB$123,CD177)+COUNTIF($CC$100:$CC$123,CD177)+COUNTIF($CD$100:$CD$123,CD177)+COUNTIF($CA$128:$CA$151,CD177)+COUNTIF($CB$128:$CB$151,CD177)+COUNTIF($CC$128:$CC$151,CD177)+COUNTIF($CD$128:$CD$151,CD177)+COUNTIF($CA$156:$CA$179,CD177)+COUNTIF($CB$156:$CB$179,CD177)+COUNTIF($CC$156:$CC$179,CD177)+COUNTIF($CD$156:CD177,CD177),"000"))</f>
        <v/>
      </c>
      <c r="V177" s="9" t="str">
        <f>IF(AND($BN$28&lt;&gt;"",($BM$28+22)&lt;=$BO$28),$BN$28,"")</f>
        <v/>
      </c>
      <c r="W177" s="9" t="str">
        <f>IF(AND($BN$28&lt;&gt;"",($BM$28+22)&lt;=$BO$28),TEXT(($BM$28+22),"00"),"")</f>
        <v/>
      </c>
      <c r="X177" s="9" t="str">
        <f>IF(AND($BN$28&lt;&gt;"",($BM$28+22)&lt;=$BO$28),$BN$28&amp;"-"&amp;TEXT(($BM$28+22),"00"),"")</f>
        <v/>
      </c>
      <c r="CA177" t="str" cm="1">
        <f t="array" ref="CA177">IF(NOT(AND($BN$25&lt;&gt;"",($BM$25+22)&lt;=$BO$25)),"",IF(B177&lt;&gt;"",IF(B177="-","",B177),IF(ISNUMBER(SEARCH(":",$BP$25)),IFERROR(_xlfn.LET(_xlpm.s,_xlfn.TEXTSPLIT($BP$25,","),_xlpm.k,FIND(":",_xlpm.s),INDEX(TRIM(LEFT(_xlpm.s,_xlpm.k-1)),_xlfn.XMATCH(($BM$25+22),_xlfn.SCAN(0,--MID(_xlpm.s,_xlpm.k+1,9),_xlfn.LAMBDA(_xlpm.a,_xlpm.v,_xlpm.a+_xlpm.v)),1))),""),IF(($BM$25+22)&lt;=$BQ$25,$BP$25,""))))</f>
        <v/>
      </c>
      <c r="CB177" t="str" cm="1">
        <f t="array" ref="CB177">IF(NOT(AND($BN$26&lt;&gt;"",($BM$26+22)&lt;=$BO$26)),"",IF(H177&lt;&gt;"",IF(H177="-","",H177),IF(ISNUMBER(SEARCH(":",$BP$26)),IFERROR(_xlfn.LET(_xlpm.s,_xlfn.TEXTSPLIT($BP$26,","),_xlpm.k,FIND(":",_xlpm.s),INDEX(TRIM(LEFT(_xlpm.s,_xlpm.k-1)),_xlfn.XMATCH(($BM$26+22),_xlfn.SCAN(0,--MID(_xlpm.s,_xlpm.k+1,9),_xlfn.LAMBDA(_xlpm.a,_xlpm.v,_xlpm.a+_xlpm.v)),1))),""),IF(($BM$26+22)&lt;=$BQ$26,$BP$26,""))))</f>
        <v/>
      </c>
      <c r="CC177" t="str" cm="1">
        <f t="array" ref="CC177">IF(NOT(AND($BN$27&lt;&gt;"",($BM$27+22)&lt;=$BO$27)),"",IF(N177&lt;&gt;"",IF(N177="-","",N177),IF(ISNUMBER(SEARCH(":",$BP$27)),IFERROR(_xlfn.LET(_xlpm.s,_xlfn.TEXTSPLIT($BP$27,","),_xlpm.k,FIND(":",_xlpm.s),INDEX(TRIM(LEFT(_xlpm.s,_xlpm.k-1)),_xlfn.XMATCH(($BM$27+22),_xlfn.SCAN(0,--MID(_xlpm.s,_xlpm.k+1,9),_xlfn.LAMBDA(_xlpm.a,_xlpm.v,_xlpm.a+_xlpm.v)),1))),""),IF(($BM$27+22)&lt;=$BQ$27,$BP$27,""))))</f>
        <v/>
      </c>
      <c r="CD177" t="str" cm="1">
        <f t="array" ref="CD177">IF(NOT(AND($BN$28&lt;&gt;"",($BM$28+22)&lt;=$BO$28)),"",IF(T177&lt;&gt;"",IF(T177="-","",T177),IF(ISNUMBER(SEARCH(":",$BP$28)),IFERROR(_xlfn.LET(_xlpm.s,_xlfn.TEXTSPLIT($BP$28,","),_xlpm.k,FIND(":",_xlpm.s),INDEX(TRIM(LEFT(_xlpm.s,_xlpm.k-1)),_xlfn.XMATCH(($BM$28+22),_xlfn.SCAN(0,--MID(_xlpm.s,_xlpm.k+1,9),_xlfn.LAMBDA(_xlpm.a,_xlpm.v,_xlpm.a+_xlpm.v)),1))),""),IF(($BM$28+22)&lt;=$BQ$28,$BP$28,""))))</f>
        <v/>
      </c>
    </row>
    <row r="178" spans="2:82" hidden="1" x14ac:dyDescent="0.45">
      <c r="B178" s="6"/>
      <c r="C178" s="9" t="str">
        <f>IF(CA178="","",CA178&amp;"-"&amp;TEXT(COUNTIF($CA$72:$CA$95,CA178)+COUNTIF($CB$72:$CB$95,CA178)+COUNTIF($CC$72:$CC$95,CA178)+COUNTIF($CD$72:$CD$95,CA178)+COUNTIF($CA$100:$CA$123,CA178)+COUNTIF($CB$100:$CB$123,CA178)+COUNTIF($CC$100:$CC$123,CA178)+COUNTIF($CD$100:$CD$123,CA178)+COUNTIF($CA$128:$CA$151,CA178)+COUNTIF($CB$128:$CB$151,CA178)+COUNTIF($CC$128:$CC$151,CA178)+COUNTIF($CD$128:$CD$151,CA178)+COUNTIF($CA$156:CA178,CA178),"000"))</f>
        <v/>
      </c>
      <c r="D178" s="9" t="str">
        <f>IF(AND($BN$25&lt;&gt;"",($BM$25+23)&lt;=$BO$25),$BN$25,"")</f>
        <v/>
      </c>
      <c r="E178" s="9" t="str">
        <f>IF(AND($BN$25&lt;&gt;"",($BM$25+23)&lt;=$BO$25),TEXT(($BM$25+23),"00"),"")</f>
        <v/>
      </c>
      <c r="F178" s="9" t="str">
        <f>IF(AND($BN$25&lt;&gt;"",($BM$25+23)&lt;=$BO$25),$BN$25&amp;"-"&amp;TEXT(($BM$25+23),"00"),"")</f>
        <v/>
      </c>
      <c r="H178" s="6"/>
      <c r="I178" s="9" t="str">
        <f>IF(CB178="","",CB178&amp;"-"&amp;TEXT(COUNTIF($CA$72:$CA$95,CB178)+COUNTIF($CB$72:$CB$95,CB178)+COUNTIF($CC$72:$CC$95,CB178)+COUNTIF($CD$72:$CD$95,CB178)+COUNTIF($CA$100:$CA$123,CB178)+COUNTIF($CB$100:$CB$123,CB178)+COUNTIF($CC$100:$CC$123,CB178)+COUNTIF($CD$100:$CD$123,CB178)+COUNTIF($CA$128:$CA$151,CB178)+COUNTIF($CB$128:$CB$151,CB178)+COUNTIF($CC$128:$CC$151,CB178)+COUNTIF($CD$128:$CD$151,CB178)+COUNTIF($CA$156:$CA$179,CB178)+COUNTIF($CB$156:CB178,CB178),"000"))</f>
        <v/>
      </c>
      <c r="J178" s="9" t="str">
        <f>IF(AND($BN$26&lt;&gt;"",($BM$26+23)&lt;=$BO$26),$BN$26,"")</f>
        <v/>
      </c>
      <c r="K178" s="9" t="str">
        <f>IF(AND($BN$26&lt;&gt;"",($BM$26+23)&lt;=$BO$26),TEXT(($BM$26+23),"00"),"")</f>
        <v/>
      </c>
      <c r="L178" s="9" t="str">
        <f>IF(AND($BN$26&lt;&gt;"",($BM$26+23)&lt;=$BO$26),$BN$26&amp;"-"&amp;TEXT(($BM$26+23),"00"),"")</f>
        <v/>
      </c>
      <c r="N178" s="6"/>
      <c r="O178" s="9" t="str">
        <f>IF(CC178="","",CC178&amp;"-"&amp;TEXT(COUNTIF($CA$72:$CA$95,CC178)+COUNTIF($CB$72:$CB$95,CC178)+COUNTIF($CC$72:$CC$95,CC178)+COUNTIF($CD$72:$CD$95,CC178)+COUNTIF($CA$100:$CA$123,CC178)+COUNTIF($CB$100:$CB$123,CC178)+COUNTIF($CC$100:$CC$123,CC178)+COUNTIF($CD$100:$CD$123,CC178)+COUNTIF($CA$128:$CA$151,CC178)+COUNTIF($CB$128:$CB$151,CC178)+COUNTIF($CC$128:$CC$151,CC178)+COUNTIF($CD$128:$CD$151,CC178)+COUNTIF($CA$156:$CA$179,CC178)+COUNTIF($CB$156:$CB$179,CC178)+COUNTIF($CC$156:CC178,CC178),"000"))</f>
        <v/>
      </c>
      <c r="P178" s="9" t="str">
        <f>IF(AND($BN$27&lt;&gt;"",($BM$27+23)&lt;=$BO$27),$BN$27,"")</f>
        <v/>
      </c>
      <c r="Q178" s="9" t="str">
        <f>IF(AND($BN$27&lt;&gt;"",($BM$27+23)&lt;=$BO$27),TEXT(($BM$27+23),"00"),"")</f>
        <v/>
      </c>
      <c r="R178" s="9" t="str">
        <f>IF(AND($BN$27&lt;&gt;"",($BM$27+23)&lt;=$BO$27),$BN$27&amp;"-"&amp;TEXT(($BM$27+23),"00"),"")</f>
        <v/>
      </c>
      <c r="T178" s="6"/>
      <c r="U178" s="9" t="str">
        <f>IF(CD178="","",CD178&amp;"-"&amp;TEXT(COUNTIF($CA$72:$CA$95,CD178)+COUNTIF($CB$72:$CB$95,CD178)+COUNTIF($CC$72:$CC$95,CD178)+COUNTIF($CD$72:$CD$95,CD178)+COUNTIF($CA$100:$CA$123,CD178)+COUNTIF($CB$100:$CB$123,CD178)+COUNTIF($CC$100:$CC$123,CD178)+COUNTIF($CD$100:$CD$123,CD178)+COUNTIF($CA$128:$CA$151,CD178)+COUNTIF($CB$128:$CB$151,CD178)+COUNTIF($CC$128:$CC$151,CD178)+COUNTIF($CD$128:$CD$151,CD178)+COUNTIF($CA$156:$CA$179,CD178)+COUNTIF($CB$156:$CB$179,CD178)+COUNTIF($CC$156:$CC$179,CD178)+COUNTIF($CD$156:CD178,CD178),"000"))</f>
        <v/>
      </c>
      <c r="V178" s="9" t="str">
        <f>IF(AND($BN$28&lt;&gt;"",($BM$28+23)&lt;=$BO$28),$BN$28,"")</f>
        <v/>
      </c>
      <c r="W178" s="9" t="str">
        <f>IF(AND($BN$28&lt;&gt;"",($BM$28+23)&lt;=$BO$28),TEXT(($BM$28+23),"00"),"")</f>
        <v/>
      </c>
      <c r="X178" s="9" t="str">
        <f>IF(AND($BN$28&lt;&gt;"",($BM$28+23)&lt;=$BO$28),$BN$28&amp;"-"&amp;TEXT(($BM$28+23),"00"),"")</f>
        <v/>
      </c>
      <c r="CA178" t="str" cm="1">
        <f t="array" ref="CA178">IF(NOT(AND($BN$25&lt;&gt;"",($BM$25+23)&lt;=$BO$25)),"",IF(B178&lt;&gt;"",IF(B178="-","",B178),IF(ISNUMBER(SEARCH(":",$BP$25)),IFERROR(_xlfn.LET(_xlpm.s,_xlfn.TEXTSPLIT($BP$25,","),_xlpm.k,FIND(":",_xlpm.s),INDEX(TRIM(LEFT(_xlpm.s,_xlpm.k-1)),_xlfn.XMATCH(($BM$25+23),_xlfn.SCAN(0,--MID(_xlpm.s,_xlpm.k+1,9),_xlfn.LAMBDA(_xlpm.a,_xlpm.v,_xlpm.a+_xlpm.v)),1))),""),IF(($BM$25+23)&lt;=$BQ$25,$BP$25,""))))</f>
        <v/>
      </c>
      <c r="CB178" t="str" cm="1">
        <f t="array" ref="CB178">IF(NOT(AND($BN$26&lt;&gt;"",($BM$26+23)&lt;=$BO$26)),"",IF(H178&lt;&gt;"",IF(H178="-","",H178),IF(ISNUMBER(SEARCH(":",$BP$26)),IFERROR(_xlfn.LET(_xlpm.s,_xlfn.TEXTSPLIT($BP$26,","),_xlpm.k,FIND(":",_xlpm.s),INDEX(TRIM(LEFT(_xlpm.s,_xlpm.k-1)),_xlfn.XMATCH(($BM$26+23),_xlfn.SCAN(0,--MID(_xlpm.s,_xlpm.k+1,9),_xlfn.LAMBDA(_xlpm.a,_xlpm.v,_xlpm.a+_xlpm.v)),1))),""),IF(($BM$26+23)&lt;=$BQ$26,$BP$26,""))))</f>
        <v/>
      </c>
      <c r="CC178" t="str" cm="1">
        <f t="array" ref="CC178">IF(NOT(AND($BN$27&lt;&gt;"",($BM$27+23)&lt;=$BO$27)),"",IF(N178&lt;&gt;"",IF(N178="-","",N178),IF(ISNUMBER(SEARCH(":",$BP$27)),IFERROR(_xlfn.LET(_xlpm.s,_xlfn.TEXTSPLIT($BP$27,","),_xlpm.k,FIND(":",_xlpm.s),INDEX(TRIM(LEFT(_xlpm.s,_xlpm.k-1)),_xlfn.XMATCH(($BM$27+23),_xlfn.SCAN(0,--MID(_xlpm.s,_xlpm.k+1,9),_xlfn.LAMBDA(_xlpm.a,_xlpm.v,_xlpm.a+_xlpm.v)),1))),""),IF(($BM$27+23)&lt;=$BQ$27,$BP$27,""))))</f>
        <v/>
      </c>
      <c r="CD178" t="str" cm="1">
        <f t="array" ref="CD178">IF(NOT(AND($BN$28&lt;&gt;"",($BM$28+23)&lt;=$BO$28)),"",IF(T178&lt;&gt;"",IF(T178="-","",T178),IF(ISNUMBER(SEARCH(":",$BP$28)),IFERROR(_xlfn.LET(_xlpm.s,_xlfn.TEXTSPLIT($BP$28,","),_xlpm.k,FIND(":",_xlpm.s),INDEX(TRIM(LEFT(_xlpm.s,_xlpm.k-1)),_xlfn.XMATCH(($BM$28+23),_xlfn.SCAN(0,--MID(_xlpm.s,_xlpm.k+1,9),_xlfn.LAMBDA(_xlpm.a,_xlpm.v,_xlpm.a+_xlpm.v)),1))),""),IF(($BM$28+23)&lt;=$BQ$28,$BP$28,""))))</f>
        <v/>
      </c>
    </row>
    <row r="179" spans="2:82" hidden="1" x14ac:dyDescent="0.45">
      <c r="B179" s="6"/>
      <c r="C179" s="9" t="str">
        <f>IF(CA179="","",CA179&amp;"-"&amp;TEXT(COUNTIF($CA$72:$CA$95,CA179)+COUNTIF($CB$72:$CB$95,CA179)+COUNTIF($CC$72:$CC$95,CA179)+COUNTIF($CD$72:$CD$95,CA179)+COUNTIF($CA$100:$CA$123,CA179)+COUNTIF($CB$100:$CB$123,CA179)+COUNTIF($CC$100:$CC$123,CA179)+COUNTIF($CD$100:$CD$123,CA179)+COUNTIF($CA$128:$CA$151,CA179)+COUNTIF($CB$128:$CB$151,CA179)+COUNTIF($CC$128:$CC$151,CA179)+COUNTIF($CD$128:$CD$151,CA179)+COUNTIF($CA$156:CA179,CA179),"000"))</f>
        <v/>
      </c>
      <c r="D179" s="9" t="str">
        <f>IF(AND($BN$25&lt;&gt;"",($BM$25+24)&lt;=$BO$25),$BN$25,"")</f>
        <v/>
      </c>
      <c r="E179" s="9" t="str">
        <f>IF(AND($BN$25&lt;&gt;"",($BM$25+24)&lt;=$BO$25),TEXT(($BM$25+24),"00"),"")</f>
        <v/>
      </c>
      <c r="F179" s="9" t="str">
        <f>IF(AND($BN$25&lt;&gt;"",($BM$25+24)&lt;=$BO$25),$BN$25&amp;"-"&amp;TEXT(($BM$25+24),"00"),"")</f>
        <v/>
      </c>
      <c r="H179" s="6"/>
      <c r="I179" s="9" t="str">
        <f>IF(CB179="","",CB179&amp;"-"&amp;TEXT(COUNTIF($CA$72:$CA$95,CB179)+COUNTIF($CB$72:$CB$95,CB179)+COUNTIF($CC$72:$CC$95,CB179)+COUNTIF($CD$72:$CD$95,CB179)+COUNTIF($CA$100:$CA$123,CB179)+COUNTIF($CB$100:$CB$123,CB179)+COUNTIF($CC$100:$CC$123,CB179)+COUNTIF($CD$100:$CD$123,CB179)+COUNTIF($CA$128:$CA$151,CB179)+COUNTIF($CB$128:$CB$151,CB179)+COUNTIF($CC$128:$CC$151,CB179)+COUNTIF($CD$128:$CD$151,CB179)+COUNTIF($CA$156:$CA$179,CB179)+COUNTIF($CB$156:CB179,CB179),"000"))</f>
        <v/>
      </c>
      <c r="J179" s="9" t="str">
        <f>IF(AND($BN$26&lt;&gt;"",($BM$26+24)&lt;=$BO$26),$BN$26,"")</f>
        <v/>
      </c>
      <c r="K179" s="9" t="str">
        <f>IF(AND($BN$26&lt;&gt;"",($BM$26+24)&lt;=$BO$26),TEXT(($BM$26+24),"00"),"")</f>
        <v/>
      </c>
      <c r="L179" s="9" t="str">
        <f>IF(AND($BN$26&lt;&gt;"",($BM$26+24)&lt;=$BO$26),$BN$26&amp;"-"&amp;TEXT(($BM$26+24),"00"),"")</f>
        <v/>
      </c>
      <c r="N179" s="6"/>
      <c r="O179" s="9" t="str">
        <f>IF(CC179="","",CC179&amp;"-"&amp;TEXT(COUNTIF($CA$72:$CA$95,CC179)+COUNTIF($CB$72:$CB$95,CC179)+COUNTIF($CC$72:$CC$95,CC179)+COUNTIF($CD$72:$CD$95,CC179)+COUNTIF($CA$100:$CA$123,CC179)+COUNTIF($CB$100:$CB$123,CC179)+COUNTIF($CC$100:$CC$123,CC179)+COUNTIF($CD$100:$CD$123,CC179)+COUNTIF($CA$128:$CA$151,CC179)+COUNTIF($CB$128:$CB$151,CC179)+COUNTIF($CC$128:$CC$151,CC179)+COUNTIF($CD$128:$CD$151,CC179)+COUNTIF($CA$156:$CA$179,CC179)+COUNTIF($CB$156:$CB$179,CC179)+COUNTIF($CC$156:CC179,CC179),"000"))</f>
        <v/>
      </c>
      <c r="P179" s="9" t="str">
        <f>IF(AND($BN$27&lt;&gt;"",($BM$27+24)&lt;=$BO$27),$BN$27,"")</f>
        <v/>
      </c>
      <c r="Q179" s="9" t="str">
        <f>IF(AND($BN$27&lt;&gt;"",($BM$27+24)&lt;=$BO$27),TEXT(($BM$27+24),"00"),"")</f>
        <v/>
      </c>
      <c r="R179" s="9" t="str">
        <f>IF(AND($BN$27&lt;&gt;"",($BM$27+24)&lt;=$BO$27),$BN$27&amp;"-"&amp;TEXT(($BM$27+24),"00"),"")</f>
        <v/>
      </c>
      <c r="T179" s="6"/>
      <c r="U179" s="9" t="str">
        <f>IF(CD179="","",CD179&amp;"-"&amp;TEXT(COUNTIF($CA$72:$CA$95,CD179)+COUNTIF($CB$72:$CB$95,CD179)+COUNTIF($CC$72:$CC$95,CD179)+COUNTIF($CD$72:$CD$95,CD179)+COUNTIF($CA$100:$CA$123,CD179)+COUNTIF($CB$100:$CB$123,CD179)+COUNTIF($CC$100:$CC$123,CD179)+COUNTIF($CD$100:$CD$123,CD179)+COUNTIF($CA$128:$CA$151,CD179)+COUNTIF($CB$128:$CB$151,CD179)+COUNTIF($CC$128:$CC$151,CD179)+COUNTIF($CD$128:$CD$151,CD179)+COUNTIF($CA$156:$CA$179,CD179)+COUNTIF($CB$156:$CB$179,CD179)+COUNTIF($CC$156:$CC$179,CD179)+COUNTIF($CD$156:CD179,CD179),"000"))</f>
        <v/>
      </c>
      <c r="V179" s="9" t="str">
        <f>IF(AND($BN$28&lt;&gt;"",($BM$28+24)&lt;=$BO$28),$BN$28,"")</f>
        <v/>
      </c>
      <c r="W179" s="9" t="str">
        <f>IF(AND($BN$28&lt;&gt;"",($BM$28+24)&lt;=$BO$28),TEXT(($BM$28+24),"00"),"")</f>
        <v/>
      </c>
      <c r="X179" s="9" t="str">
        <f>IF(AND($BN$28&lt;&gt;"",($BM$28+24)&lt;=$BO$28),$BN$28&amp;"-"&amp;TEXT(($BM$28+24),"00"),"")</f>
        <v/>
      </c>
      <c r="CA179" t="str" cm="1">
        <f t="array" ref="CA179">IF(NOT(AND($BN$25&lt;&gt;"",($BM$25+24)&lt;=$BO$25)),"",IF(B179&lt;&gt;"",IF(B179="-","",B179),IF(ISNUMBER(SEARCH(":",$BP$25)),IFERROR(_xlfn.LET(_xlpm.s,_xlfn.TEXTSPLIT($BP$25,","),_xlpm.k,FIND(":",_xlpm.s),INDEX(TRIM(LEFT(_xlpm.s,_xlpm.k-1)),_xlfn.XMATCH(($BM$25+24),_xlfn.SCAN(0,--MID(_xlpm.s,_xlpm.k+1,9),_xlfn.LAMBDA(_xlpm.a,_xlpm.v,_xlpm.a+_xlpm.v)),1))),""),IF(($BM$25+24)&lt;=$BQ$25,$BP$25,""))))</f>
        <v/>
      </c>
      <c r="CB179" t="str" cm="1">
        <f t="array" ref="CB179">IF(NOT(AND($BN$26&lt;&gt;"",($BM$26+24)&lt;=$BO$26)),"",IF(H179&lt;&gt;"",IF(H179="-","",H179),IF(ISNUMBER(SEARCH(":",$BP$26)),IFERROR(_xlfn.LET(_xlpm.s,_xlfn.TEXTSPLIT($BP$26,","),_xlpm.k,FIND(":",_xlpm.s),INDEX(TRIM(LEFT(_xlpm.s,_xlpm.k-1)),_xlfn.XMATCH(($BM$26+24),_xlfn.SCAN(0,--MID(_xlpm.s,_xlpm.k+1,9),_xlfn.LAMBDA(_xlpm.a,_xlpm.v,_xlpm.a+_xlpm.v)),1))),""),IF(($BM$26+24)&lt;=$BQ$26,$BP$26,""))))</f>
        <v/>
      </c>
      <c r="CC179" t="str" cm="1">
        <f t="array" ref="CC179">IF(NOT(AND($BN$27&lt;&gt;"",($BM$27+24)&lt;=$BO$27)),"",IF(N179&lt;&gt;"",IF(N179="-","",N179),IF(ISNUMBER(SEARCH(":",$BP$27)),IFERROR(_xlfn.LET(_xlpm.s,_xlfn.TEXTSPLIT($BP$27,","),_xlpm.k,FIND(":",_xlpm.s),INDEX(TRIM(LEFT(_xlpm.s,_xlpm.k-1)),_xlfn.XMATCH(($BM$27+24),_xlfn.SCAN(0,--MID(_xlpm.s,_xlpm.k+1,9),_xlfn.LAMBDA(_xlpm.a,_xlpm.v,_xlpm.a+_xlpm.v)),1))),""),IF(($BM$27+24)&lt;=$BQ$27,$BP$27,""))))</f>
        <v/>
      </c>
      <c r="CD179" t="str" cm="1">
        <f t="array" ref="CD179">IF(NOT(AND($BN$28&lt;&gt;"",($BM$28+24)&lt;=$BO$28)),"",IF(T179&lt;&gt;"",IF(T179="-","",T179),IF(ISNUMBER(SEARCH(":",$BP$28)),IFERROR(_xlfn.LET(_xlpm.s,_xlfn.TEXTSPLIT($BP$28,","),_xlpm.k,FIND(":",_xlpm.s),INDEX(TRIM(LEFT(_xlpm.s,_xlpm.k-1)),_xlfn.XMATCH(($BM$28+24),_xlfn.SCAN(0,--MID(_xlpm.s,_xlpm.k+1,9),_xlfn.LAMBDA(_xlpm.a,_xlpm.v,_xlpm.a+_xlpm.v)),1))),""),IF(($BM$28+24)&lt;=$BQ$28,$BP$28,""))))</f>
        <v/>
      </c>
    </row>
    <row r="180" spans="2:82" hidden="1" x14ac:dyDescent="0.45"/>
    <row r="181" spans="2:82" hidden="1" x14ac:dyDescent="0.45"/>
  </sheetData>
  <mergeCells count="224">
    <mergeCell ref="B65:G65"/>
    <mergeCell ref="J65:Q65"/>
    <mergeCell ref="B66:G66"/>
    <mergeCell ref="J66:Q66"/>
    <mergeCell ref="B67:G67"/>
    <mergeCell ref="J67:Q67"/>
    <mergeCell ref="B60:G60"/>
    <mergeCell ref="J60:Q60"/>
    <mergeCell ref="B61:G61"/>
    <mergeCell ref="J61:Q61"/>
    <mergeCell ref="B62:G62"/>
    <mergeCell ref="J62:Q62"/>
    <mergeCell ref="B63:G63"/>
    <mergeCell ref="J63:Q63"/>
    <mergeCell ref="B64:G64"/>
    <mergeCell ref="J64:Q64"/>
    <mergeCell ref="B7:D7"/>
    <mergeCell ref="F27:G27"/>
    <mergeCell ref="I48:J48"/>
    <mergeCell ref="P18:Q18"/>
    <mergeCell ref="F37:G37"/>
    <mergeCell ref="P42:Q42"/>
    <mergeCell ref="C29:E29"/>
    <mergeCell ref="N7:Q7"/>
    <mergeCell ref="E9:I9"/>
    <mergeCell ref="P27:Q27"/>
    <mergeCell ref="P12:Q12"/>
    <mergeCell ref="B8:D8"/>
    <mergeCell ref="P25:Q25"/>
    <mergeCell ref="E8:I8"/>
    <mergeCell ref="C12:E12"/>
    <mergeCell ref="P34:Q34"/>
    <mergeCell ref="B154:F154"/>
    <mergeCell ref="T25:V25"/>
    <mergeCell ref="N154:R154"/>
    <mergeCell ref="C41:E41"/>
    <mergeCell ref="P29:Q29"/>
    <mergeCell ref="P38:Q38"/>
    <mergeCell ref="I49:J49"/>
    <mergeCell ref="F40:G40"/>
    <mergeCell ref="P31:Q31"/>
    <mergeCell ref="L58:Q58"/>
    <mergeCell ref="P40:Q40"/>
    <mergeCell ref="C51:H51"/>
    <mergeCell ref="T70:X70"/>
    <mergeCell ref="T38:V38"/>
    <mergeCell ref="T53:V53"/>
    <mergeCell ref="H154:L154"/>
    <mergeCell ref="T98:X98"/>
    <mergeCell ref="T154:X154"/>
    <mergeCell ref="P41:Q41"/>
    <mergeCell ref="C56:H56"/>
    <mergeCell ref="T56:V56"/>
    <mergeCell ref="T54:V54"/>
    <mergeCell ref="N126:R126"/>
    <mergeCell ref="P26:Q26"/>
    <mergeCell ref="H70:L70"/>
    <mergeCell ref="T52:V52"/>
    <mergeCell ref="P17:Q17"/>
    <mergeCell ref="E6:F6"/>
    <mergeCell ref="C28:E28"/>
    <mergeCell ref="C57:H57"/>
    <mergeCell ref="C37:E37"/>
    <mergeCell ref="K8:L8"/>
    <mergeCell ref="T27:V27"/>
    <mergeCell ref="C53:H53"/>
    <mergeCell ref="T36:V36"/>
    <mergeCell ref="T18:V18"/>
    <mergeCell ref="F22:G22"/>
    <mergeCell ref="L48:Q48"/>
    <mergeCell ref="P19:Q19"/>
    <mergeCell ref="C30:E30"/>
    <mergeCell ref="T33:V33"/>
    <mergeCell ref="C14:E14"/>
    <mergeCell ref="I51:J51"/>
    <mergeCell ref="C58:H58"/>
    <mergeCell ref="T12:V12"/>
    <mergeCell ref="H6:I6"/>
    <mergeCell ref="T13:V13"/>
    <mergeCell ref="F41:G41"/>
    <mergeCell ref="P15:Q15"/>
    <mergeCell ref="P24:Q24"/>
    <mergeCell ref="P33:Q33"/>
    <mergeCell ref="C20:E20"/>
    <mergeCell ref="C25:E25"/>
    <mergeCell ref="T16:V16"/>
    <mergeCell ref="C27:E27"/>
    <mergeCell ref="P21:Q21"/>
    <mergeCell ref="R13:R57"/>
    <mergeCell ref="C17:E17"/>
    <mergeCell ref="F32:G32"/>
    <mergeCell ref="I53:J53"/>
    <mergeCell ref="F26:G26"/>
    <mergeCell ref="F19:G19"/>
    <mergeCell ref="C22:E22"/>
    <mergeCell ref="F34:G34"/>
    <mergeCell ref="T43:V43"/>
    <mergeCell ref="P23:Q23"/>
    <mergeCell ref="F35:G35"/>
    <mergeCell ref="C19:E19"/>
    <mergeCell ref="F38:G38"/>
    <mergeCell ref="I55:J55"/>
    <mergeCell ref="P16:Q16"/>
    <mergeCell ref="C49:H49"/>
    <mergeCell ref="B2:X2"/>
    <mergeCell ref="N98:R98"/>
    <mergeCell ref="F17:G17"/>
    <mergeCell ref="I56:J56"/>
    <mergeCell ref="C32:E32"/>
    <mergeCell ref="C38:E38"/>
    <mergeCell ref="C13:E13"/>
    <mergeCell ref="T19:V19"/>
    <mergeCell ref="F31:G31"/>
    <mergeCell ref="F28:G28"/>
    <mergeCell ref="P28:Q28"/>
    <mergeCell ref="P37:Q37"/>
    <mergeCell ref="T39:V39"/>
    <mergeCell ref="C15:E15"/>
    <mergeCell ref="C24:E24"/>
    <mergeCell ref="T49:V49"/>
    <mergeCell ref="F39:G39"/>
    <mergeCell ref="C33:E33"/>
    <mergeCell ref="P30:Q30"/>
    <mergeCell ref="T32:V32"/>
    <mergeCell ref="L57:Q57"/>
    <mergeCell ref="T45:V45"/>
    <mergeCell ref="K43:N43"/>
    <mergeCell ref="T42:V42"/>
    <mergeCell ref="T40:V40"/>
    <mergeCell ref="F30:G30"/>
    <mergeCell ref="F20:G20"/>
    <mergeCell ref="F18:G18"/>
    <mergeCell ref="F33:G33"/>
    <mergeCell ref="B9:D9"/>
    <mergeCell ref="C39:E39"/>
    <mergeCell ref="P36:Q36"/>
    <mergeCell ref="T17:V17"/>
    <mergeCell ref="C26:E26"/>
    <mergeCell ref="P14:Q14"/>
    <mergeCell ref="C35:E35"/>
    <mergeCell ref="T21:V21"/>
    <mergeCell ref="F21:G21"/>
    <mergeCell ref="C36:E36"/>
    <mergeCell ref="F29:G29"/>
    <mergeCell ref="F16:G16"/>
    <mergeCell ref="P20:Q20"/>
    <mergeCell ref="C31:E31"/>
    <mergeCell ref="T35:V35"/>
    <mergeCell ref="F14:G14"/>
    <mergeCell ref="F12:G12"/>
    <mergeCell ref="T15:V15"/>
    <mergeCell ref="T24:V24"/>
    <mergeCell ref="B6:D6"/>
    <mergeCell ref="I58:J58"/>
    <mergeCell ref="P39:Q39"/>
    <mergeCell ref="T34:V34"/>
    <mergeCell ref="L52:Q52"/>
    <mergeCell ref="T46:V46"/>
    <mergeCell ref="T28:V28"/>
    <mergeCell ref="L49:Q49"/>
    <mergeCell ref="T37:V37"/>
    <mergeCell ref="F23:G23"/>
    <mergeCell ref="P32:Q32"/>
    <mergeCell ref="C18:E18"/>
    <mergeCell ref="T48:V48"/>
    <mergeCell ref="F13:G13"/>
    <mergeCell ref="P13:Q13"/>
    <mergeCell ref="I52:J52"/>
    <mergeCell ref="L55:Q55"/>
    <mergeCell ref="I57:J57"/>
    <mergeCell ref="I54:J54"/>
    <mergeCell ref="L53:Q53"/>
    <mergeCell ref="T47:V47"/>
    <mergeCell ref="L7:M7"/>
    <mergeCell ref="P35:Q35"/>
    <mergeCell ref="C50:H50"/>
    <mergeCell ref="T55:V55"/>
    <mergeCell ref="F25:G25"/>
    <mergeCell ref="C40:E40"/>
    <mergeCell ref="C16:E16"/>
    <mergeCell ref="B126:F126"/>
    <mergeCell ref="T50:V50"/>
    <mergeCell ref="T126:X126"/>
    <mergeCell ref="C54:H54"/>
    <mergeCell ref="T44:V44"/>
    <mergeCell ref="H98:L98"/>
    <mergeCell ref="L56:Q56"/>
    <mergeCell ref="N70:R70"/>
    <mergeCell ref="B70:F70"/>
    <mergeCell ref="B98:F98"/>
    <mergeCell ref="H126:L126"/>
    <mergeCell ref="F42:G42"/>
    <mergeCell ref="T51:V51"/>
    <mergeCell ref="T41:V41"/>
    <mergeCell ref="T23:V23"/>
    <mergeCell ref="F36:G36"/>
    <mergeCell ref="T26:V26"/>
    <mergeCell ref="B43:G43"/>
    <mergeCell ref="I50:J50"/>
    <mergeCell ref="F24:G24"/>
    <mergeCell ref="B3:X3"/>
    <mergeCell ref="C21:E21"/>
    <mergeCell ref="L51:Q51"/>
    <mergeCell ref="P22:Q22"/>
    <mergeCell ref="L54:Q54"/>
    <mergeCell ref="F15:G15"/>
    <mergeCell ref="J6:Q6"/>
    <mergeCell ref="C23:E23"/>
    <mergeCell ref="C52:H52"/>
    <mergeCell ref="L50:Q50"/>
    <mergeCell ref="T22:V22"/>
    <mergeCell ref="C48:H48"/>
    <mergeCell ref="T31:V31"/>
    <mergeCell ref="X13:X57"/>
    <mergeCell ref="E7:I7"/>
    <mergeCell ref="P43:Q43"/>
    <mergeCell ref="C34:E34"/>
    <mergeCell ref="T30:V30"/>
    <mergeCell ref="T57:V57"/>
    <mergeCell ref="C42:E42"/>
    <mergeCell ref="T20:V20"/>
    <mergeCell ref="T14:V14"/>
    <mergeCell ref="T29:V29"/>
    <mergeCell ref="C55:H55"/>
  </mergeCells>
  <conditionalFormatting sqref="B72:F95">
    <cfRule type="expression" dxfId="85" priority="26">
      <formula>NOT(AND($BN$13&lt;&gt;"",$BM$13+ROW()-71&lt;=$BO$13))</formula>
    </cfRule>
  </conditionalFormatting>
  <conditionalFormatting sqref="B100:F123">
    <cfRule type="expression" dxfId="84" priority="30">
      <formula>NOT(AND($BN$17&lt;&gt;"",$BM$17+ROW()-99&lt;=$BO$17))</formula>
    </cfRule>
  </conditionalFormatting>
  <conditionalFormatting sqref="B128:F151">
    <cfRule type="expression" dxfId="83" priority="34">
      <formula>NOT(AND($BN$21&lt;&gt;"",$BM$21+ROW()-127&lt;=$BO$21))</formula>
    </cfRule>
  </conditionalFormatting>
  <conditionalFormatting sqref="B156:F179">
    <cfRule type="expression" dxfId="82" priority="38">
      <formula>NOT(AND($BN$25&lt;&gt;"",$BM$25+ROW()-155&lt;=$BO$25))</formula>
    </cfRule>
  </conditionalFormatting>
  <conditionalFormatting sqref="B13:L42">
    <cfRule type="expression" dxfId="81" priority="4">
      <formula>AND(ISNUMBER($K13),$K13&lt;1)</formula>
    </cfRule>
  </conditionalFormatting>
  <conditionalFormatting sqref="H72:L95">
    <cfRule type="expression" dxfId="80" priority="27">
      <formula>NOT(AND($BN$14&lt;&gt;"",$BM$14+ROW()-71&lt;=$BO$14))</formula>
    </cfRule>
  </conditionalFormatting>
  <conditionalFormatting sqref="H100:L123">
    <cfRule type="expression" dxfId="79" priority="31">
      <formula>NOT(AND($BN$18&lt;&gt;"",$BM$18+ROW()-99&lt;=$BO$18))</formula>
    </cfRule>
  </conditionalFormatting>
  <conditionalFormatting sqref="H128:L151">
    <cfRule type="expression" dxfId="78" priority="35">
      <formula>NOT(AND($BN$22&lt;&gt;"",$BM$22+ROW()-127&lt;=$BO$22))</formula>
    </cfRule>
  </conditionalFormatting>
  <conditionalFormatting sqref="H156:L179">
    <cfRule type="expression" dxfId="77" priority="39">
      <formula>NOT(AND($BN$26&lt;&gt;"",$BM$26+ROW()-155&lt;=$BO$26))</formula>
    </cfRule>
  </conditionalFormatting>
  <conditionalFormatting sqref="I43">
    <cfRule type="expression" dxfId="76" priority="3">
      <formula>$I$43&lt;0</formula>
    </cfRule>
  </conditionalFormatting>
  <conditionalFormatting sqref="J60:Q67">
    <cfRule type="expression" dxfId="75" priority="43">
      <formula>LEFT($J60,1)="✓"</formula>
    </cfRule>
    <cfRule type="expression" dxfId="74" priority="42">
      <formula>LEFT($J60,1)="⚠"</formula>
    </cfRule>
  </conditionalFormatting>
  <conditionalFormatting sqref="K43:N43">
    <cfRule type="expression" dxfId="73" priority="1" stopIfTrue="1">
      <formula>LEFT($K$43,1)="❌"</formula>
    </cfRule>
    <cfRule type="expression" dxfId="72" priority="2">
      <formula>LEFT($K$43,1)="✓"</formula>
    </cfRule>
  </conditionalFormatting>
  <conditionalFormatting sqref="N72:R95">
    <cfRule type="expression" dxfId="71" priority="28">
      <formula>NOT(AND($BN$15&lt;&gt;"",$BM$15+ROW()-71&lt;=$BO$15))</formula>
    </cfRule>
  </conditionalFormatting>
  <conditionalFormatting sqref="N100:R123">
    <cfRule type="expression" dxfId="70" priority="32">
      <formula>NOT(AND($BN$19&lt;&gt;"",$BM$19+ROW()-99&lt;=$BO$19))</formula>
    </cfRule>
  </conditionalFormatting>
  <conditionalFormatting sqref="N128:R151">
    <cfRule type="expression" dxfId="69" priority="36">
      <formula>NOT(AND($BN$23&lt;&gt;"",$BM$23+ROW()-127&lt;=$BO$23))</formula>
    </cfRule>
  </conditionalFormatting>
  <conditionalFormatting sqref="N156:R179">
    <cfRule type="expression" dxfId="68" priority="40">
      <formula>NOT(AND($BN$27&lt;&gt;"",$BM$27+ROW()-155&lt;=$BO$27))</formula>
    </cfRule>
  </conditionalFormatting>
  <conditionalFormatting sqref="R13:R57">
    <cfRule type="expression" dxfId="67" priority="24">
      <formula>AND(OR($K$8="Ambos lados",$K$8="Lado izquierdo"),$E$8&lt;&gt;"")</formula>
    </cfRule>
  </conditionalFormatting>
  <conditionalFormatting sqref="T13:V57">
    <cfRule type="expression" dxfId="66" priority="20">
      <formula>$AN13="Fuente de poder"</formula>
    </cfRule>
    <cfRule type="expression" dxfId="65" priority="21">
      <formula>$AN13="Tapa ciega"</formula>
    </cfRule>
    <cfRule type="expression" dxfId="64" priority="6">
      <formula>$AN13="Patch panel cobre"</formula>
    </cfRule>
    <cfRule type="expression" dxfId="63" priority="23">
      <formula>$AN13="Otro"</formula>
    </cfRule>
    <cfRule type="expression" dxfId="62" priority="5">
      <formula>$AN13="Fuera"</formula>
    </cfRule>
    <cfRule type="expression" dxfId="61" priority="7">
      <formula>$AN13="CCTV"</formula>
    </cfRule>
    <cfRule type="expression" dxfId="60" priority="22">
      <formula>$AN13="Bandeja"</formula>
    </cfRule>
    <cfRule type="expression" dxfId="59" priority="8">
      <formula>$AN13="Control de acceso"</formula>
    </cfRule>
    <cfRule type="expression" dxfId="58" priority="9">
      <formula>$AN13="Organizador horizontal"</formula>
    </cfRule>
    <cfRule type="expression" dxfId="57" priority="10">
      <formula>$AN13="Switch"</formula>
    </cfRule>
    <cfRule type="expression" dxfId="56" priority="11">
      <formula>$AN13="Fibra"</formula>
    </cfRule>
    <cfRule type="expression" dxfId="55" priority="12">
      <formula>$AN13="Espacio reservado"</formula>
    </cfRule>
    <cfRule type="expression" dxfId="54" priority="13">
      <formula>$AN13="Espacio libre"</formula>
    </cfRule>
    <cfRule type="expression" dxfId="53" priority="14">
      <formula>$AN13="Equipo activo"</formula>
    </cfRule>
    <cfRule type="expression" dxfId="52" priority="15">
      <formula>$AN13="Servidor"</formula>
    </cfRule>
    <cfRule type="expression" dxfId="51" priority="17">
      <formula>$AN13="PDU"</formula>
    </cfRule>
    <cfRule type="expression" dxfId="50" priority="16">
      <formula>$AN13="UPS"</formula>
    </cfRule>
    <cfRule type="expression" dxfId="49" priority="18">
      <formula>$AN13="Puesta a tierra"</formula>
    </cfRule>
    <cfRule type="expression" dxfId="48" priority="19">
      <formula>$AN13="Audio"</formula>
    </cfRule>
  </conditionalFormatting>
  <conditionalFormatting sqref="T72:X95">
    <cfRule type="expression" dxfId="47" priority="29">
      <formula>NOT(AND($BN$16&lt;&gt;"",$BM$16+ROW()-71&lt;=$BO$16))</formula>
    </cfRule>
  </conditionalFormatting>
  <conditionalFormatting sqref="T100:X123">
    <cfRule type="expression" dxfId="46" priority="33">
      <formula>NOT(AND($BN$20&lt;&gt;"",$BM$20+ROW()-99&lt;=$BO$20))</formula>
    </cfRule>
  </conditionalFormatting>
  <conditionalFormatting sqref="T128:X151">
    <cfRule type="expression" dxfId="45" priority="37">
      <formula>NOT(AND($BN$24&lt;&gt;"",$BM$24+ROW()-127&lt;=$BO$24))</formula>
    </cfRule>
  </conditionalFormatting>
  <conditionalFormatting sqref="T156:X179">
    <cfRule type="expression" dxfId="44" priority="41">
      <formula>NOT(AND($BN$28&lt;&gt;"",$BM$28+ROW()-155&lt;=$BO$28))</formula>
    </cfRule>
  </conditionalFormatting>
  <conditionalFormatting sqref="X13:X57">
    <cfRule type="expression" dxfId="43" priority="25">
      <formula>AND(OR($K$8="Ambos lados",$K$8="Lado derecho"),$E$8&lt;&gt;"")</formula>
    </cfRule>
  </conditionalFormatting>
  <dataValidations disablePrompts="1" count="1">
    <dataValidation type="whole" allowBlank="1" sqref="N13:N42" xr:uid="{00000000-0002-0000-0500-000005000000}">
      <formula1>0</formula1>
      <formula2>384</formula2>
    </dataValidation>
  </dataValidations>
  <pageMargins left="0.75" right="0.75" top="1" bottom="1" header="0.5" footer="0.5"/>
  <pageSetup fitToHeight="0" orientation="portrait"/>
  <extLst>
    <ext xmlns:x14="http://schemas.microsoft.com/office/spreadsheetml/2009/9/main" uri="{CCE6A557-97BC-4b89-ADB6-D9C93CAAB3DF}">
      <x14:dataValidations xmlns:xm="http://schemas.microsoft.com/office/excel/2006/main" disablePrompts="1" count="6">
        <x14:dataValidation type="list" allowBlank="1" xr:uid="{00000000-0002-0000-0500-000000000000}">
          <x14:formula1>
            <xm:f>listas!$C$2:$C$41</xm:f>
          </x14:formula1>
          <xm:sqref>E7</xm:sqref>
        </x14:dataValidation>
        <x14:dataValidation type="list" allowBlank="1" xr:uid="{00000000-0002-0000-0500-000001000000}">
          <x14:formula1>
            <xm:f>listas!$D$2:$D$41</xm:f>
          </x14:formula1>
          <xm:sqref>E8</xm:sqref>
        </x14:dataValidation>
        <x14:dataValidation type="list" allowBlank="1" xr:uid="{00000000-0002-0000-0500-000002000000}">
          <x14:formula1>
            <xm:f>listas!$H$2:$H$5</xm:f>
          </x14:formula1>
          <xm:sqref>K8</xm:sqref>
        </x14:dataValidation>
        <x14:dataValidation type="list" allowBlank="1" xr:uid="{00000000-0002-0000-0500-000003000000}">
          <x14:formula1>
            <xm:f>listas!$B$2:$B$121</xm:f>
          </x14:formula1>
          <xm:sqref>C13:C42</xm:sqref>
        </x14:dataValidation>
        <x14:dataValidation type="list" allowBlank="1" xr:uid="{00000000-0002-0000-0500-000006000000}">
          <x14:formula1>
            <xm:f>listas!$F$2:$F$41</xm:f>
          </x14:formula1>
          <xm:sqref>C49:C58</xm:sqref>
        </x14:dataValidation>
        <x14:dataValidation type="list" allowBlank="1" showErrorMessage="1" errorTitle="Tipo de salida" error="Use un código de la nomenclatura en la pestaña Proyecto (o &quot;-&quot;)" xr:uid="{00000000-0002-0000-0500-000007000000}">
          <x14:formula1>
            <xm:f>Proyecto!$C$16:$C$27</xm:f>
          </x14:formula1>
          <xm:sqref>B72:B95 B100:B123 B128:B151 B156:B179 H72:H95 H100:H123 H128:H151 H156:H179 N72:N95 N100:N123 N128:N151 N156:N179 T72:T95 T100:T123 T128:T151 T156:T179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F7F7F"/>
  </sheetPr>
  <dimension ref="B2:B6"/>
  <sheetViews>
    <sheetView showGridLines="0" workbookViewId="0"/>
  </sheetViews>
  <sheetFormatPr defaultRowHeight="14.25" x14ac:dyDescent="0.45"/>
  <cols>
    <col min="2" max="2" width="110" customWidth="1"/>
  </cols>
  <sheetData>
    <row r="2" spans="2:2" ht="17.649999999999999" x14ac:dyDescent="0.5">
      <c r="B2" s="33" t="s">
        <v>425</v>
      </c>
    </row>
    <row r="4" spans="2:2" x14ac:dyDescent="0.45">
      <c r="B4" s="1" t="s">
        <v>426</v>
      </c>
    </row>
    <row r="5" spans="2:2" x14ac:dyDescent="0.45">
      <c r="B5" s="1" t="s">
        <v>427</v>
      </c>
    </row>
    <row r="6" spans="2:2" x14ac:dyDescent="0.45">
      <c r="B6" s="1" t="s">
        <v>428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4472C4"/>
    <pageSetUpPr fitToPage="1"/>
  </sheetPr>
  <dimension ref="B2:CO179"/>
  <sheetViews>
    <sheetView showGridLines="0" topLeftCell="A59" zoomScaleNormal="100" workbookViewId="0">
      <selection activeCell="H72" sqref="H72"/>
    </sheetView>
  </sheetViews>
  <sheetFormatPr defaultRowHeight="14.25" x14ac:dyDescent="0.45"/>
  <cols>
    <col min="1" max="1" width="2" customWidth="1"/>
    <col min="2" max="26" width="10" customWidth="1"/>
    <col min="27" max="93" width="13" hidden="1" customWidth="1"/>
  </cols>
  <sheetData>
    <row r="2" spans="2:93" ht="22.05" customHeight="1" x14ac:dyDescent="0.45">
      <c r="B2" s="41" t="s">
        <v>369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</row>
    <row r="3" spans="2:93" x14ac:dyDescent="0.45">
      <c r="B3" s="46" t="str">
        <f>Proyecto!D6&amp;""&amp;IF(Proyecto!D7&lt;&gt;"","  ·  Proyecto N.º "&amp;Proyecto!D7,"")&amp;IF(Proyecto!D8&lt;&gt;"","  ·  "&amp;Proyecto!D8,"")&amp;IF(Proyecto!D11&lt;&gt;"","  ·  Rev. "&amp;Proyecto!D11,"")&amp;IF(Proyecto!D9&lt;&gt;"","  ·  Fecha: "&amp;IF(ISNUMBER(Proyecto!D9),TEXT(Proyecto!D9,"dd/mm/yyyy"),Proyecto!D9),"")&amp;IF(Proyecto!D10&lt;&gt;"","  ·  Elaboró: "&amp;Proyecto!D10,"")</f>
        <v/>
      </c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AS3" t="str">
        <f>$E$6&amp;""</f>
        <v/>
      </c>
      <c r="AT3" t="str">
        <f>$J$6&amp;""</f>
        <v/>
      </c>
      <c r="AU3">
        <f>H43</f>
        <v>2</v>
      </c>
      <c r="AV3">
        <f>I43</f>
        <v>43</v>
      </c>
      <c r="AW3" t="str">
        <f>TEXT(J43,"0%")</f>
        <v>4%</v>
      </c>
      <c r="AX3">
        <f>COUNT($AE$13:$AE$42)</f>
        <v>1</v>
      </c>
      <c r="AY3">
        <f>SUM($BF$13:$BF$28)</f>
        <v>48</v>
      </c>
      <c r="AZ3">
        <f>$AQ$4</f>
        <v>2</v>
      </c>
      <c r="BA3" t="str">
        <f>IFERROR(TEXT($AZ$3/$AY$3,"0%"),"-")</f>
        <v>4%</v>
      </c>
    </row>
    <row r="4" spans="2:93" x14ac:dyDescent="0.45">
      <c r="AQ4">
        <f>COUNTIF($CA$72:$CA$95,"?*")+COUNTIF($CB$72:$CB$95,"?*")+COUNTIF($CC$72:$CC$95,"?*")+COUNTIF($CD$72:$CD$95,"?*")+COUNTIF($CA$100:$CA$123,"?*")+COUNTIF($CB$100:$CB$123,"?*")+COUNTIF($CC$100:$CC$123,"?*")+COUNTIF($CD$100:$CD$123,"?*")+COUNTIF($CA$128:$CA$151,"?*")+COUNTIF($CB$128:$CB$151,"?*")+COUNTIF($CC$128:$CC$151,"?*")+COUNTIF($CD$128:$CD$151,"?*")+COUNTIF($CA$156:$CA$179,"?*")+COUNTIF($CB$156:$CB$179,"?*")+COUNTIF($CC$156:$CC$179,"?*")+COUNTIF($CD$156:$CD$179,"?*")</f>
        <v>2</v>
      </c>
    </row>
    <row r="5" spans="2:93" ht="18" customHeight="1" x14ac:dyDescent="0.45">
      <c r="B5" s="2" t="s">
        <v>371</v>
      </c>
      <c r="C5" s="2"/>
      <c r="D5" s="2"/>
      <c r="E5" s="2" t="s">
        <v>372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AR5">
        <f>IFERROR(IF(N(INDEX(Catalogo!$F$6:$F$125,MATCH($E$7,Catalogo!$C$6:$C$125,0)))=0,45,N(INDEX(Catalogo!$F$6:$F$125,MATCH($E$7,Catalogo!$C$6:$C$125,0)))),45)</f>
        <v>45</v>
      </c>
    </row>
    <row r="6" spans="2:93" x14ac:dyDescent="0.45">
      <c r="B6" s="42" t="s">
        <v>373</v>
      </c>
      <c r="C6" s="43"/>
      <c r="D6" s="44"/>
      <c r="E6" s="53"/>
      <c r="F6" s="39"/>
      <c r="H6" s="42" t="s">
        <v>60</v>
      </c>
      <c r="I6" s="44"/>
      <c r="J6" s="37"/>
      <c r="K6" s="38"/>
      <c r="L6" s="38"/>
      <c r="M6" s="38"/>
      <c r="N6" s="38"/>
      <c r="O6" s="38"/>
      <c r="P6" s="38"/>
      <c r="Q6" s="39"/>
      <c r="AR6">
        <f>SUM(H13:H42)</f>
        <v>2</v>
      </c>
      <c r="BA6">
        <f>IF(OR(Catalogo!$C6="",Catalogo!$B6="Espacio libre",Catalogo!$B6="Espacio reservado"),0,COUNTIF($C$13:$C$42,Catalogo!$C6)+IF($E$7=Catalogo!$C6,N($K$7),0)+IF($E$8=Catalogo!$C6,N($N$8),0)+IF(Proyecto!$D$12=Catalogo!$C6,$AQ$4,0)+SUMIF($C$49:$C$58,Catalogo!$C6,$K$49:$K$58))</f>
        <v>1</v>
      </c>
    </row>
    <row r="7" spans="2:93" x14ac:dyDescent="0.45">
      <c r="B7" s="42" t="s">
        <v>376</v>
      </c>
      <c r="C7" s="43"/>
      <c r="D7" s="44"/>
      <c r="E7" s="37" t="s">
        <v>66</v>
      </c>
      <c r="F7" s="38"/>
      <c r="G7" s="38"/>
      <c r="H7" s="38"/>
      <c r="I7" s="39"/>
      <c r="J7" s="5" t="s">
        <v>377</v>
      </c>
      <c r="K7" s="6">
        <v>1</v>
      </c>
      <c r="L7" s="42" t="s">
        <v>378</v>
      </c>
      <c r="M7" s="44"/>
      <c r="N7" s="52" t="str">
        <f>IFERROR(INDEX(Catalogo!$B$6:$B$125,MATCH($E$7,Catalogo!$C$6:$C$125,0))&amp;" "&amp;$AR$5&amp;"RU","")</f>
        <v>Rack 45RU</v>
      </c>
      <c r="O7" s="38"/>
      <c r="P7" s="38"/>
      <c r="Q7" s="39"/>
      <c r="BA7">
        <f>IF(OR(Catalogo!$C7="",Catalogo!$B7="Espacio libre",Catalogo!$B7="Espacio reservado"),0,COUNTIF($C$13:$C$42,Catalogo!$C7)+IF($E$7=Catalogo!$C7,N($K$7),0)+IF($E$8=Catalogo!$C7,N($N$8),0)+IF(Proyecto!$D$12=Catalogo!$C7,$AQ$4,0)+SUMIF($C$49:$C$58,Catalogo!$C7,$K$49:$K$58))</f>
        <v>0</v>
      </c>
    </row>
    <row r="8" spans="2:93" x14ac:dyDescent="0.45">
      <c r="B8" s="42" t="s">
        <v>79</v>
      </c>
      <c r="C8" s="43"/>
      <c r="D8" s="44"/>
      <c r="E8" s="37" t="s">
        <v>89</v>
      </c>
      <c r="F8" s="38"/>
      <c r="G8" s="38"/>
      <c r="H8" s="38"/>
      <c r="I8" s="39"/>
      <c r="J8" s="5" t="s">
        <v>5</v>
      </c>
      <c r="K8" s="53" t="s">
        <v>379</v>
      </c>
      <c r="L8" s="39"/>
      <c r="M8" s="5" t="s">
        <v>377</v>
      </c>
      <c r="N8" s="9">
        <f>IF($K$8="Ambos lados",2,IF(OR($K$8="Lado izquierdo",$K$8="Lado derecho"),1,0))*N($K$7)</f>
        <v>2</v>
      </c>
      <c r="BA8">
        <f>IF(OR(Catalogo!$C8="",Catalogo!$B8="Espacio libre",Catalogo!$B8="Espacio reservado"),0,COUNTIF($C$13:$C$42,Catalogo!$C8)+IF($E$7=Catalogo!$C8,N($K$7),0)+IF($E$8=Catalogo!$C8,N($N$8),0)+IF(Proyecto!$D$12=Catalogo!$C8,$AQ$4,0)+SUMIF($C$49:$C$58,Catalogo!$C8,$K$49:$K$58))</f>
        <v>0</v>
      </c>
    </row>
    <row r="9" spans="2:93" x14ac:dyDescent="0.45">
      <c r="B9" s="42" t="s">
        <v>380</v>
      </c>
      <c r="C9" s="43"/>
      <c r="D9" s="44"/>
      <c r="E9" s="45" t="str">
        <f>Proyecto!D12&amp;""</f>
        <v>Jack Cat 6A UTP azul (Mini-Com TX6A)</v>
      </c>
      <c r="F9" s="38"/>
      <c r="G9" s="38"/>
      <c r="H9" s="38"/>
      <c r="I9" s="39"/>
      <c r="K9" s="10" t="s">
        <v>381</v>
      </c>
      <c r="BA9">
        <f>IF(OR(Catalogo!$C9="",Catalogo!$B9="Espacio libre",Catalogo!$B9="Espacio reservado"),0,COUNTIF($C$13:$C$42,Catalogo!$C9)+IF($E$7=Catalogo!$C9,N($K$7),0)+IF($E$8=Catalogo!$C9,N($N$8),0)+IF(Proyecto!$D$12=Catalogo!$C9,$AQ$4,0)+SUMIF($C$49:$C$58,Catalogo!$C9,$K$49:$K$58))</f>
        <v>0</v>
      </c>
    </row>
    <row r="10" spans="2:93" x14ac:dyDescent="0.45">
      <c r="BA10">
        <f>IF(OR(Catalogo!$C10="",Catalogo!$B10="Espacio libre",Catalogo!$B10="Espacio reservado"),0,COUNTIF($C$13:$C$42,Catalogo!$C10)+IF($E$7=Catalogo!$C10,N($K$7),0)+IF($E$8=Catalogo!$C10,N($N$8),0)+IF(Proyecto!$D$12=Catalogo!$C10,$AQ$4,0)+SUMIF($C$49:$C$58,Catalogo!$C10,$K$49:$K$58))</f>
        <v>0</v>
      </c>
    </row>
    <row r="11" spans="2:93" ht="18" customHeight="1" x14ac:dyDescent="0.45">
      <c r="B11" s="2" t="s">
        <v>382</v>
      </c>
      <c r="C11" s="2"/>
      <c r="D11" s="2"/>
      <c r="E11" s="2" t="s">
        <v>383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 t="s">
        <v>384</v>
      </c>
      <c r="S11" s="2"/>
      <c r="T11" s="2"/>
      <c r="U11" s="2"/>
      <c r="V11" s="2"/>
      <c r="W11" s="2"/>
      <c r="X11" s="2"/>
      <c r="BA11">
        <f>IF(OR(Catalogo!$C11="",Catalogo!$B11="Espacio libre",Catalogo!$B11="Espacio reservado"),0,COUNTIF($C$13:$C$42,Catalogo!$C11)+IF($E$7=Catalogo!$C11,N($K$7),0)+IF($E$8=Catalogo!$C11,N($N$8),0)+IF(Proyecto!$D$12=Catalogo!$C11,$AQ$4,0)+SUMIF($C$49:$C$58,Catalogo!$C11,$K$49:$K$58))</f>
        <v>0</v>
      </c>
    </row>
    <row r="12" spans="2:93" ht="26.25" x14ac:dyDescent="0.45">
      <c r="B12" s="5" t="s">
        <v>385</v>
      </c>
      <c r="C12" s="42" t="s">
        <v>386</v>
      </c>
      <c r="D12" s="43"/>
      <c r="E12" s="44"/>
      <c r="F12" s="42" t="s">
        <v>61</v>
      </c>
      <c r="G12" s="44"/>
      <c r="H12" s="5" t="s">
        <v>62</v>
      </c>
      <c r="I12" s="5" t="s">
        <v>63</v>
      </c>
      <c r="J12" s="5" t="s">
        <v>387</v>
      </c>
      <c r="K12" s="5" t="s">
        <v>388</v>
      </c>
      <c r="L12" s="5" t="s">
        <v>389</v>
      </c>
      <c r="M12" s="5" t="s">
        <v>390</v>
      </c>
      <c r="N12" s="5" t="s">
        <v>391</v>
      </c>
      <c r="O12" s="5" t="s">
        <v>392</v>
      </c>
      <c r="P12" s="42" t="s">
        <v>393</v>
      </c>
      <c r="Q12" s="44"/>
      <c r="R12" s="5" t="s">
        <v>394</v>
      </c>
      <c r="S12" s="5" t="s">
        <v>62</v>
      </c>
      <c r="T12" s="42" t="s">
        <v>386</v>
      </c>
      <c r="U12" s="43"/>
      <c r="V12" s="44"/>
      <c r="W12" s="5" t="s">
        <v>62</v>
      </c>
      <c r="X12" s="5" t="s">
        <v>394</v>
      </c>
      <c r="BA12">
        <f>IF(OR(Catalogo!$C12="",Catalogo!$B12="Espacio libre",Catalogo!$B12="Espacio reservado"),0,COUNTIF($C$13:$C$42,Catalogo!$C12)+IF($E$7=Catalogo!$C12,N($K$7),0)+IF($E$8=Catalogo!$C12,N($N$8),0)+IF(Proyecto!$D$12=Catalogo!$C12,$AQ$4,0)+SUMIF($C$49:$C$58,Catalogo!$C12,$K$49:$K$58))</f>
        <v>0</v>
      </c>
      <c r="BK12">
        <f>SUM($BG$13:$BG$28)</f>
        <v>2</v>
      </c>
    </row>
    <row r="13" spans="2:93" ht="14" customHeight="1" x14ac:dyDescent="0.45">
      <c r="B13" s="9">
        <v>1</v>
      </c>
      <c r="C13" s="47" t="s">
        <v>107</v>
      </c>
      <c r="D13" s="38"/>
      <c r="E13" s="39"/>
      <c r="F13" s="48" t="str">
        <f>IF($C13="","",IFERROR(INDEX(Catalogo!$E$6:$E$125,MATCH($C13,Catalogo!$C$6:$C$125,0)),""))</f>
        <v>CPP48FMWBLY</v>
      </c>
      <c r="G13" s="39"/>
      <c r="H13" s="9">
        <f>IF($C13="","",N(IFERROR(INDEX(Catalogo!$F$6:$F$125,MATCH($C13,Catalogo!$C$6:$C$125,0)),"")))</f>
        <v>2</v>
      </c>
      <c r="I13" s="9">
        <f>IF($AD13&lt;&gt;"Patch panel cobre","",IFERROR(INDEX(Catalogo!$G$6:$G$125,MATCH($C13,Catalogo!$C$6:$C$125,0)),""))</f>
        <v>48</v>
      </c>
      <c r="J13" s="9">
        <f>IF(OR($C13="",$H13=0),"",$AR$5-0)</f>
        <v>45</v>
      </c>
      <c r="K13" s="9">
        <f t="shared" ref="K13:K42" si="0">IF($J13="","",$J13-$H13+1)</f>
        <v>44</v>
      </c>
      <c r="L13" s="9" t="str">
        <f t="shared" ref="L13:L42" si="1">IF($AE13="","",$E$6&amp;"-"&amp;CHAR(65+INT(($AE13-1)/26))&amp;CHAR(65+MOD($AE13-1,26)))</f>
        <v>-AA</v>
      </c>
      <c r="M13" s="6"/>
      <c r="N13" s="6"/>
      <c r="O13" s="12">
        <f t="shared" ref="O13:O42" si="2">IF($AE13="","",IFERROR(INDEX($BS$13:$BS$28,$AE13)/INDEX($BF$13:$BF$28,$AE13),0))</f>
        <v>4.1666666666666664E-2</v>
      </c>
      <c r="P13" s="37"/>
      <c r="Q13" s="39"/>
      <c r="R13" s="50" t="str">
        <f>IF(AND(OR($K$8="Ambos lados",$K$8="Lado izquierdo"),$E$8&lt;&gt;""),"ORGANIZADOR VERTICAL  "&amp;IFERROR(INDEX(Catalogo!$E$6:$E$125,MATCH($E$8,Catalogo!$C$6:$C$125,0)),""),"")</f>
        <v>ORGANIZADOR VERTICAL  PR2VD06</v>
      </c>
      <c r="S13" s="13">
        <v>45</v>
      </c>
      <c r="T13" s="49" t="str">
        <f>IF($AM13=0,"",IF(INDEX($J$13:$J$42,$AM13)=45,INDEX($AH$13:$AH$42,$AM13),""))</f>
        <v>Patch panel -AA · 48 p</v>
      </c>
      <c r="U13" s="38"/>
      <c r="V13" s="39"/>
      <c r="W13" s="13">
        <v>45</v>
      </c>
      <c r="X13" s="50" t="str">
        <f>IF(AND(OR($K$8="Ambos lados",$K$8="Lado derecho"),$E$8&lt;&gt;""),"ORGANIZADOR VERTICAL  "&amp;IFERROR(INDEX(Catalogo!$E$6:$E$125,MATCH($E$8,Catalogo!$C$6:$C$125,0)),""),"")</f>
        <v>ORGANIZADOR VERTICAL  PR2VD06</v>
      </c>
      <c r="AD13" t="str">
        <f>IF($C13="","",IFERROR(INDEX(Catalogo!$B$6:$B$125,MATCH($C13,Catalogo!$C$6:$C$125,0)),""))</f>
        <v>Patch panel cobre</v>
      </c>
      <c r="AE13">
        <f>IF($AD13="Patch panel cobre",COUNTIF($AD$13:$AD13,"Patch panel cobre"),"")</f>
        <v>1</v>
      </c>
      <c r="AH13" t="str">
        <f t="shared" ref="AH13:AH42" si="3">IF($C13="","",IF($L13&lt;&gt;"","Patch panel "&amp;$L13&amp;" · "&amp;$I13&amp;" p"&amp;IF($M13&lt;&gt;""," · "&amp;$M13,""),$C13))</f>
        <v>Patch panel -AA · 48 p</v>
      </c>
      <c r="AM13">
        <f>IFERROR(MATCH(1,INDEX(($K$13:$K$42&lt;=45)*($J$13:$J$42&gt;=45),0),0),0)</f>
        <v>1</v>
      </c>
      <c r="AN13" t="str">
        <f>IF(45&gt;$AR$5,"Fuera",IF($AM13=0,"",INDEX($AD$13:$AD$42,$AM13)))</f>
        <v>Patch panel cobre</v>
      </c>
      <c r="BA13">
        <f>IF(OR(Catalogo!$C13="",Catalogo!$B13="Espacio libre",Catalogo!$B13="Espacio reservado"),0,COUNTIF($C$13:$C$42,Catalogo!$C13)+IF($E$7=Catalogo!$C13,N($K$7),0)+IF($E$8=Catalogo!$C13,N($N$8),0)+IF(Proyecto!$D$12=Catalogo!$C13,$AQ$4,0)+SUMIF($C$49:$C$58,Catalogo!$C13,$K$49:$K$58))</f>
        <v>0</v>
      </c>
      <c r="BD13">
        <f>IFERROR(MATCH(1,$AE$13:$AE$42,0),"")</f>
        <v>1</v>
      </c>
      <c r="BE13" t="str">
        <f t="shared" ref="BE13:BE28" si="4">IF($BD13="","",INDEX($L$13:$L$42,$BD13))</f>
        <v>-AA</v>
      </c>
      <c r="BF13">
        <f t="shared" ref="BF13:BF28" si="5">IF($BD13="",0,N(INDEX($I$13:$I$42,$BD13)))</f>
        <v>48</v>
      </c>
      <c r="BG13">
        <f t="shared" ref="BG13:BG28" si="6">IF($BF13=0,0,ROUNDUP($BF13/24,0))</f>
        <v>2</v>
      </c>
      <c r="BH13">
        <f>0</f>
        <v>0</v>
      </c>
      <c r="BI13" t="str">
        <f t="shared" ref="BI13:BI28" si="7">IF($BD13="","",INDEX($M$13:$M$42,$BD13)&amp;"")</f>
        <v/>
      </c>
      <c r="BJ13" cm="1">
        <f t="array" ref="BJ13">IF($BD13="",0,IF(ISNUMBER(SEARCH(":",$BI13)),MIN($BF13,SUM(--MID(_xlfn.TEXTSPLIT($BI13,","),FIND(":",_xlfn.TEXTSPLIT($BI13,","))+1,9))),IF(INDEX($N$13:$N$42,$BD13)="",$BF13,MIN($BF13,N(INDEX($N$13:$N$42,$BD13))))))</f>
        <v>48</v>
      </c>
      <c r="BL13">
        <f>IF(1&gt;$BK$12,"",MATCH(0,$BH$13:$BH$28,1))</f>
        <v>1</v>
      </c>
      <c r="BM13">
        <f>IF($BL13="",0,(0-INDEX($BH$13:$BH$28,$BL13))*24)</f>
        <v>0</v>
      </c>
      <c r="BN13" t="str">
        <f t="shared" ref="BN13:BN28" si="8">IF($BL13="","",INDEX($BE$13:$BE$28,$BL13))</f>
        <v>-AA</v>
      </c>
      <c r="BO13">
        <f t="shared" ref="BO13:BO28" si="9">IF($BL13="",0,INDEX($BF$13:$BF$28,$BL13))</f>
        <v>48</v>
      </c>
      <c r="BP13" t="str">
        <f t="shared" ref="BP13:BP28" si="10">IF($BL13="","",INDEX($BI$13:$BI$28,$BL13))</f>
        <v/>
      </c>
      <c r="BQ13">
        <f t="shared" ref="BQ13:BQ28" si="11">IF($BL13="",0,INDEX($BJ$13:$BJ$28,$BL13))</f>
        <v>48</v>
      </c>
      <c r="BR13">
        <f>COUNTIF($CA$72:$CA$95,"?*")</f>
        <v>1</v>
      </c>
      <c r="BS13">
        <f>SUMIF($BL$13:$BL$28,1,$BR$13:$BR$28)</f>
        <v>2</v>
      </c>
      <c r="CL13">
        <f>IF($C13="",0,N(IFERROR(INDEX(Catalogo!$N$6:$N$125,MATCH($C13,Catalogo!$C$6:$C$125,0)),0)))</f>
        <v>0</v>
      </c>
      <c r="CM13">
        <f>IF($C13="",0,N(IFERROR(INDEX(Catalogo!$P$6:$P$125,MATCH($C13,Catalogo!$C$6:$C$125,0)),0)))</f>
        <v>2</v>
      </c>
      <c r="CN13">
        <f>IF($C13="",0,N(IFERROR(INDEX(Catalogo!$Q$6:$Q$125,MATCH($C13,Catalogo!$C$6:$C$125,0)),0)))</f>
        <v>0</v>
      </c>
      <c r="CO13">
        <f>IF($C13="",0,IF(OR($AD13="Espacio libre",$AD13="Espacio reservado"),0,IF(IFERROR(INDEX(Catalogo!$N$6:$N$125,MATCH($C13,Catalogo!$C$6:$C$125,0))="",TRUE),1,0)))</f>
        <v>0</v>
      </c>
    </row>
    <row r="14" spans="2:93" ht="14" customHeight="1" x14ac:dyDescent="0.45">
      <c r="B14" s="9">
        <v>2</v>
      </c>
      <c r="C14" s="47"/>
      <c r="D14" s="38"/>
      <c r="E14" s="39"/>
      <c r="F14" s="48" t="str">
        <f>IF($C14="","",IFERROR(INDEX(Catalogo!$E$6:$E$125,MATCH($C14,Catalogo!$C$6:$C$125,0)),""))</f>
        <v/>
      </c>
      <c r="G14" s="39"/>
      <c r="H14" s="9" t="str">
        <f>IF($C14="","",N(IFERROR(INDEX(Catalogo!$F$6:$F$125,MATCH($C14,Catalogo!$C$6:$C$125,0)),"")))</f>
        <v/>
      </c>
      <c r="I14" s="9" t="str">
        <f>IF($AD14&lt;&gt;"Patch panel cobre","",IFERROR(INDEX(Catalogo!$G$6:$G$125,MATCH($C14,Catalogo!$C$6:$C$125,0)),""))</f>
        <v/>
      </c>
      <c r="J14" s="9" t="str">
        <f>IF(OR($C14="",$H14=0),"",$AR$5-SUM($H$13:H13))</f>
        <v/>
      </c>
      <c r="K14" s="9" t="str">
        <f t="shared" si="0"/>
        <v/>
      </c>
      <c r="L14" s="9" t="str">
        <f t="shared" si="1"/>
        <v/>
      </c>
      <c r="M14" s="6"/>
      <c r="N14" s="6"/>
      <c r="O14" s="12" t="str">
        <f t="shared" si="2"/>
        <v/>
      </c>
      <c r="P14" s="37"/>
      <c r="Q14" s="39"/>
      <c r="R14" s="40"/>
      <c r="S14" s="13">
        <v>44</v>
      </c>
      <c r="T14" s="49" t="str">
        <f>IF($AM14=0,"",IF(INDEX($J$13:$J$42,$AM14)=44,INDEX($AH$13:$AH$42,$AM14),""))</f>
        <v/>
      </c>
      <c r="U14" s="38"/>
      <c r="V14" s="39"/>
      <c r="W14" s="13">
        <v>44</v>
      </c>
      <c r="X14" s="40"/>
      <c r="AD14" t="str">
        <f>IF($C14="","",IFERROR(INDEX(Catalogo!$B$6:$B$125,MATCH($C14,Catalogo!$C$6:$C$125,0)),""))</f>
        <v/>
      </c>
      <c r="AE14" t="str">
        <f>IF($AD14="Patch panel cobre",COUNTIF($AD$13:$AD14,"Patch panel cobre"),"")</f>
        <v/>
      </c>
      <c r="AH14" t="str">
        <f t="shared" si="3"/>
        <v/>
      </c>
      <c r="AM14">
        <f>IFERROR(MATCH(1,INDEX(($K$13:$K$42&lt;=44)*($J$13:$J$42&gt;=44),0),0),0)</f>
        <v>1</v>
      </c>
      <c r="AN14" t="str">
        <f>IF(44&gt;$AR$5,"Fuera",IF($AM14=0,"",INDEX($AD$13:$AD$42,$AM14)))</f>
        <v>Patch panel cobre</v>
      </c>
      <c r="BA14">
        <f>IF(OR(Catalogo!$C14="",Catalogo!$B14="Espacio libre",Catalogo!$B14="Espacio reservado"),0,COUNTIF($C$13:$C$42,Catalogo!$C14)+IF($E$7=Catalogo!$C14,N($K$7),0)+IF($E$8=Catalogo!$C14,N($N$8),0)+IF(Proyecto!$D$12=Catalogo!$C14,$AQ$4,0)+SUMIF($C$49:$C$58,Catalogo!$C14,$K$49:$K$58))</f>
        <v>2</v>
      </c>
      <c r="BD14" t="str">
        <f>IFERROR(MATCH(2,$AE$13:$AE$42,0),"")</f>
        <v/>
      </c>
      <c r="BE14" t="str">
        <f t="shared" si="4"/>
        <v/>
      </c>
      <c r="BF14">
        <f t="shared" si="5"/>
        <v>0</v>
      </c>
      <c r="BG14">
        <f t="shared" si="6"/>
        <v>0</v>
      </c>
      <c r="BH14">
        <f>SUM($BG$13:$BG13)</f>
        <v>2</v>
      </c>
      <c r="BI14" t="str">
        <f t="shared" si="7"/>
        <v/>
      </c>
      <c r="BJ14" cm="1">
        <f t="array" ref="BJ14">IF($BD14="",0,IF(ISNUMBER(SEARCH(":",$BI14)),MIN($BF14,SUM(--MID(_xlfn.TEXTSPLIT($BI14,","),FIND(":",_xlfn.TEXTSPLIT($BI14,","))+1,9))),IF(INDEX($N$13:$N$42,$BD14)="",$BF14,MIN($BF14,N(INDEX($N$13:$N$42,$BD14))))))</f>
        <v>0</v>
      </c>
      <c r="BL14">
        <f>IF(2&gt;$BK$12,"",MATCH(1,$BH$13:$BH$28,1))</f>
        <v>1</v>
      </c>
      <c r="BM14">
        <f>IF($BL14="",0,(1-INDEX($BH$13:$BH$28,$BL14))*24)</f>
        <v>24</v>
      </c>
      <c r="BN14" t="str">
        <f t="shared" si="8"/>
        <v>-AA</v>
      </c>
      <c r="BO14">
        <f t="shared" si="9"/>
        <v>48</v>
      </c>
      <c r="BP14" t="str">
        <f t="shared" si="10"/>
        <v/>
      </c>
      <c r="BQ14">
        <f t="shared" si="11"/>
        <v>48</v>
      </c>
      <c r="BR14">
        <f>COUNTIF($CB$72:$CB$95,"?*")</f>
        <v>1</v>
      </c>
      <c r="BS14">
        <f>SUMIF($BL$13:$BL$28,2,$BR$13:$BR$28)</f>
        <v>0</v>
      </c>
      <c r="CL14">
        <f>IF($C14="",0,N(IFERROR(INDEX(Catalogo!$N$6:$N$125,MATCH($C14,Catalogo!$C$6:$C$125,0)),0)))</f>
        <v>0</v>
      </c>
      <c r="CM14">
        <f>IF($C14="",0,N(IFERROR(INDEX(Catalogo!$P$6:$P$125,MATCH($C14,Catalogo!$C$6:$C$125,0)),0)))</f>
        <v>0</v>
      </c>
      <c r="CN14">
        <f>IF($C14="",0,N(IFERROR(INDEX(Catalogo!$Q$6:$Q$125,MATCH($C14,Catalogo!$C$6:$C$125,0)),0)))</f>
        <v>0</v>
      </c>
      <c r="CO14">
        <f>IF($C14="",0,IF(OR($AD14="Espacio libre",$AD14="Espacio reservado"),0,IF(IFERROR(INDEX(Catalogo!$N$6:$N$125,MATCH($C14,Catalogo!$C$6:$C$125,0))="",TRUE),1,0)))</f>
        <v>0</v>
      </c>
    </row>
    <row r="15" spans="2:93" ht="14" customHeight="1" x14ac:dyDescent="0.45">
      <c r="B15" s="9">
        <v>3</v>
      </c>
      <c r="C15" s="47"/>
      <c r="D15" s="38"/>
      <c r="E15" s="39"/>
      <c r="F15" s="48" t="str">
        <f>IF($C15="","",IFERROR(INDEX(Catalogo!$E$6:$E$125,MATCH($C15,Catalogo!$C$6:$C$125,0)),""))</f>
        <v/>
      </c>
      <c r="G15" s="39"/>
      <c r="H15" s="9" t="str">
        <f>IF($C15="","",N(IFERROR(INDEX(Catalogo!$F$6:$F$125,MATCH($C15,Catalogo!$C$6:$C$125,0)),"")))</f>
        <v/>
      </c>
      <c r="I15" s="9" t="str">
        <f>IF($AD15&lt;&gt;"Patch panel cobre","",IFERROR(INDEX(Catalogo!$G$6:$G$125,MATCH($C15,Catalogo!$C$6:$C$125,0)),""))</f>
        <v/>
      </c>
      <c r="J15" s="9" t="str">
        <f>IF(OR($C15="",$H15=0),"",$AR$5-SUM($H$13:H14))</f>
        <v/>
      </c>
      <c r="K15" s="9" t="str">
        <f t="shared" si="0"/>
        <v/>
      </c>
      <c r="L15" s="9" t="str">
        <f t="shared" si="1"/>
        <v/>
      </c>
      <c r="M15" s="6"/>
      <c r="N15" s="6"/>
      <c r="O15" s="12" t="str">
        <f t="shared" si="2"/>
        <v/>
      </c>
      <c r="P15" s="37"/>
      <c r="Q15" s="39"/>
      <c r="R15" s="40"/>
      <c r="S15" s="13">
        <v>43</v>
      </c>
      <c r="T15" s="49" t="str">
        <f>IF($AM15=0,"",IF(INDEX($J$13:$J$42,$AM15)=43,INDEX($AH$13:$AH$42,$AM15),""))</f>
        <v/>
      </c>
      <c r="U15" s="38"/>
      <c r="V15" s="39"/>
      <c r="W15" s="13">
        <v>43</v>
      </c>
      <c r="X15" s="40"/>
      <c r="AD15" t="str">
        <f>IF($C15="","",IFERROR(INDEX(Catalogo!$B$6:$B$125,MATCH($C15,Catalogo!$C$6:$C$125,0)),""))</f>
        <v/>
      </c>
      <c r="AE15" t="str">
        <f>IF($AD15="Patch panel cobre",COUNTIF($AD$13:$AD15,"Patch panel cobre"),"")</f>
        <v/>
      </c>
      <c r="AH15" t="str">
        <f t="shared" si="3"/>
        <v/>
      </c>
      <c r="AM15">
        <f>IFERROR(MATCH(1,INDEX(($K$13:$K$42&lt;=43)*($J$13:$J$42&gt;=43),0),0),0)</f>
        <v>0</v>
      </c>
      <c r="AN15" t="str">
        <f>IF(43&gt;$AR$5,"Fuera",IF($AM15=0,"",INDEX($AD$13:$AD$42,$AM15)))</f>
        <v/>
      </c>
      <c r="BA15">
        <f>IF(OR(Catalogo!$C15="",Catalogo!$B15="Espacio libre",Catalogo!$B15="Espacio reservado"),0,COUNTIF($C$13:$C$42,Catalogo!$C15)+IF($E$7=Catalogo!$C15,N($K$7),0)+IF($E$8=Catalogo!$C15,N($N$8),0)+IF(Proyecto!$D$12=Catalogo!$C15,$AQ$4,0)+SUMIF($C$49:$C$58,Catalogo!$C15,$K$49:$K$58))</f>
        <v>0</v>
      </c>
      <c r="BD15" t="str">
        <f>IFERROR(MATCH(3,$AE$13:$AE$42,0),"")</f>
        <v/>
      </c>
      <c r="BE15" t="str">
        <f t="shared" si="4"/>
        <v/>
      </c>
      <c r="BF15">
        <f t="shared" si="5"/>
        <v>0</v>
      </c>
      <c r="BG15">
        <f t="shared" si="6"/>
        <v>0</v>
      </c>
      <c r="BH15">
        <f>SUM($BG$13:$BG14)</f>
        <v>2</v>
      </c>
      <c r="BI15" t="str">
        <f t="shared" si="7"/>
        <v/>
      </c>
      <c r="BJ15" cm="1">
        <f t="array" ref="BJ15">IF($BD15="",0,IF(ISNUMBER(SEARCH(":",$BI15)),MIN($BF15,SUM(--MID(_xlfn.TEXTSPLIT($BI15,","),FIND(":",_xlfn.TEXTSPLIT($BI15,","))+1,9))),IF(INDEX($N$13:$N$42,$BD15)="",$BF15,MIN($BF15,N(INDEX($N$13:$N$42,$BD15))))))</f>
        <v>0</v>
      </c>
      <c r="BL15" t="str">
        <f>IF(3&gt;$BK$12,"",MATCH(2,$BH$13:$BH$28,1))</f>
        <v/>
      </c>
      <c r="BM15">
        <f>IF($BL15="",0,(2-INDEX($BH$13:$BH$28,$BL15))*24)</f>
        <v>0</v>
      </c>
      <c r="BN15" t="str">
        <f t="shared" si="8"/>
        <v/>
      </c>
      <c r="BO15">
        <f t="shared" si="9"/>
        <v>0</v>
      </c>
      <c r="BP15" t="str">
        <f t="shared" si="10"/>
        <v/>
      </c>
      <c r="BQ15">
        <f t="shared" si="11"/>
        <v>0</v>
      </c>
      <c r="BR15">
        <f>COUNTIF($CC$72:$CC$95,"?*")</f>
        <v>0</v>
      </c>
      <c r="BS15">
        <f>SUMIF($BL$13:$BL$28,3,$BR$13:$BR$28)</f>
        <v>0</v>
      </c>
      <c r="CL15">
        <f>IF($C15="",0,N(IFERROR(INDEX(Catalogo!$N$6:$N$125,MATCH($C15,Catalogo!$C$6:$C$125,0)),0)))</f>
        <v>0</v>
      </c>
      <c r="CM15">
        <f>IF($C15="",0,N(IFERROR(INDEX(Catalogo!$P$6:$P$125,MATCH($C15,Catalogo!$C$6:$C$125,0)),0)))</f>
        <v>0</v>
      </c>
      <c r="CN15">
        <f>IF($C15="",0,N(IFERROR(INDEX(Catalogo!$Q$6:$Q$125,MATCH($C15,Catalogo!$C$6:$C$125,0)),0)))</f>
        <v>0</v>
      </c>
      <c r="CO15">
        <f>IF($C15="",0,IF(OR($AD15="Espacio libre",$AD15="Espacio reservado"),0,IF(IFERROR(INDEX(Catalogo!$N$6:$N$125,MATCH($C15,Catalogo!$C$6:$C$125,0))="",TRUE),1,0)))</f>
        <v>0</v>
      </c>
    </row>
    <row r="16" spans="2:93" ht="14" customHeight="1" x14ac:dyDescent="0.45">
      <c r="B16" s="9">
        <v>4</v>
      </c>
      <c r="C16" s="47"/>
      <c r="D16" s="38"/>
      <c r="E16" s="39"/>
      <c r="F16" s="48" t="str">
        <f>IF($C16="","",IFERROR(INDEX(Catalogo!$E$6:$E$125,MATCH($C16,Catalogo!$C$6:$C$125,0)),""))</f>
        <v/>
      </c>
      <c r="G16" s="39"/>
      <c r="H16" s="9" t="str">
        <f>IF($C16="","",N(IFERROR(INDEX(Catalogo!$F$6:$F$125,MATCH($C16,Catalogo!$C$6:$C$125,0)),"")))</f>
        <v/>
      </c>
      <c r="I16" s="9" t="str">
        <f>IF($AD16&lt;&gt;"Patch panel cobre","",IFERROR(INDEX(Catalogo!$G$6:$G$125,MATCH($C16,Catalogo!$C$6:$C$125,0)),""))</f>
        <v/>
      </c>
      <c r="J16" s="9" t="str">
        <f>IF(OR($C16="",$H16=0),"",$AR$5-SUM($H$13:H15))</f>
        <v/>
      </c>
      <c r="K16" s="9" t="str">
        <f t="shared" si="0"/>
        <v/>
      </c>
      <c r="L16" s="9" t="str">
        <f t="shared" si="1"/>
        <v/>
      </c>
      <c r="M16" s="6"/>
      <c r="N16" s="6"/>
      <c r="O16" s="12" t="str">
        <f t="shared" si="2"/>
        <v/>
      </c>
      <c r="P16" s="37"/>
      <c r="Q16" s="39"/>
      <c r="R16" s="40"/>
      <c r="S16" s="13">
        <v>42</v>
      </c>
      <c r="T16" s="49" t="str">
        <f>IF($AM16=0,"",IF(INDEX($J$13:$J$42,$AM16)=42,INDEX($AH$13:$AH$42,$AM16),""))</f>
        <v/>
      </c>
      <c r="U16" s="38"/>
      <c r="V16" s="39"/>
      <c r="W16" s="13">
        <v>42</v>
      </c>
      <c r="X16" s="40"/>
      <c r="AD16" t="str">
        <f>IF($C16="","",IFERROR(INDEX(Catalogo!$B$6:$B$125,MATCH($C16,Catalogo!$C$6:$C$125,0)),""))</f>
        <v/>
      </c>
      <c r="AE16" t="str">
        <f>IF($AD16="Patch panel cobre",COUNTIF($AD$13:$AD16,"Patch panel cobre"),"")</f>
        <v/>
      </c>
      <c r="AH16" t="str">
        <f t="shared" si="3"/>
        <v/>
      </c>
      <c r="AM16">
        <f>IFERROR(MATCH(1,INDEX(($K$13:$K$42&lt;=42)*($J$13:$J$42&gt;=42),0),0),0)</f>
        <v>0</v>
      </c>
      <c r="AN16" t="str">
        <f>IF(42&gt;$AR$5,"Fuera",IF($AM16=0,"",INDEX($AD$13:$AD$42,$AM16)))</f>
        <v/>
      </c>
      <c r="AQ16">
        <f>IF(OR(Proyecto!$C16="",Proyecto!$C16="-"),0,COUNTIF($CA$72:$CA$95,Proyecto!$C16)+COUNTIF($CB$72:$CB$95,Proyecto!$C16)+COUNTIF($CC$72:$CC$95,Proyecto!$C16)+COUNTIF($CD$72:$CD$95,Proyecto!$C16)+COUNTIF($CA$100:$CA$123,Proyecto!$C16)+COUNTIF($CB$100:$CB$123,Proyecto!$C16)+COUNTIF($CC$100:$CC$123,Proyecto!$C16)+COUNTIF($CD$100:$CD$123,Proyecto!$C16)+COUNTIF($CA$128:$CA$151,Proyecto!$C16)+COUNTIF($CB$128:$CB$151,Proyecto!$C16)+COUNTIF($CC$128:$CC$151,Proyecto!$C16)+COUNTIF($CD$128:$CD$151,Proyecto!$C16)+COUNTIF($CA$156:$CA$179,Proyecto!$C16)+COUNTIF($CB$156:$CB$179,Proyecto!$C16)+COUNTIF($CC$156:$CC$179,Proyecto!$C16)+COUNTIF($CD$156:$CD$179,Proyecto!$C16))</f>
        <v>0</v>
      </c>
      <c r="BA16">
        <f>IF(OR(Catalogo!$C16="",Catalogo!$B16="Espacio libre",Catalogo!$B16="Espacio reservado"),0,COUNTIF($C$13:$C$42,Catalogo!$C16)+IF($E$7=Catalogo!$C16,N($K$7),0)+IF($E$8=Catalogo!$C16,N($N$8),0)+IF(Proyecto!$D$12=Catalogo!$C16,$AQ$4,0)+SUMIF($C$49:$C$58,Catalogo!$C16,$K$49:$K$58))</f>
        <v>0</v>
      </c>
      <c r="BD16" t="str">
        <f>IFERROR(MATCH(4,$AE$13:$AE$42,0),"")</f>
        <v/>
      </c>
      <c r="BE16" t="str">
        <f t="shared" si="4"/>
        <v/>
      </c>
      <c r="BF16">
        <f t="shared" si="5"/>
        <v>0</v>
      </c>
      <c r="BG16">
        <f t="shared" si="6"/>
        <v>0</v>
      </c>
      <c r="BH16">
        <f>SUM($BG$13:$BG15)</f>
        <v>2</v>
      </c>
      <c r="BI16" t="str">
        <f t="shared" si="7"/>
        <v/>
      </c>
      <c r="BJ16" cm="1">
        <f t="array" ref="BJ16">IF($BD16="",0,IF(ISNUMBER(SEARCH(":",$BI16)),MIN($BF16,SUM(--MID(_xlfn.TEXTSPLIT($BI16,","),FIND(":",_xlfn.TEXTSPLIT($BI16,","))+1,9))),IF(INDEX($N$13:$N$42,$BD16)="",$BF16,MIN($BF16,N(INDEX($N$13:$N$42,$BD16))))))</f>
        <v>0</v>
      </c>
      <c r="BL16" t="str">
        <f>IF(4&gt;$BK$12,"",MATCH(3,$BH$13:$BH$28,1))</f>
        <v/>
      </c>
      <c r="BM16">
        <f>IF($BL16="",0,(3-INDEX($BH$13:$BH$28,$BL16))*24)</f>
        <v>0</v>
      </c>
      <c r="BN16" t="str">
        <f t="shared" si="8"/>
        <v/>
      </c>
      <c r="BO16">
        <f t="shared" si="9"/>
        <v>0</v>
      </c>
      <c r="BP16" t="str">
        <f t="shared" si="10"/>
        <v/>
      </c>
      <c r="BQ16">
        <f t="shared" si="11"/>
        <v>0</v>
      </c>
      <c r="BR16">
        <f>COUNTIF($CD$72:$CD$95,"?*")</f>
        <v>0</v>
      </c>
      <c r="BS16">
        <f>SUMIF($BL$13:$BL$28,4,$BR$13:$BR$28)</f>
        <v>0</v>
      </c>
      <c r="CL16">
        <f>IF($C16="",0,N(IFERROR(INDEX(Catalogo!$N$6:$N$125,MATCH($C16,Catalogo!$C$6:$C$125,0)),0)))</f>
        <v>0</v>
      </c>
      <c r="CM16">
        <f>IF($C16="",0,N(IFERROR(INDEX(Catalogo!$P$6:$P$125,MATCH($C16,Catalogo!$C$6:$C$125,0)),0)))</f>
        <v>0</v>
      </c>
      <c r="CN16">
        <f>IF($C16="",0,N(IFERROR(INDEX(Catalogo!$Q$6:$Q$125,MATCH($C16,Catalogo!$C$6:$C$125,0)),0)))</f>
        <v>0</v>
      </c>
      <c r="CO16">
        <f>IF($C16="",0,IF(OR($AD16="Espacio libre",$AD16="Espacio reservado"),0,IF(IFERROR(INDEX(Catalogo!$N$6:$N$125,MATCH($C16,Catalogo!$C$6:$C$125,0))="",TRUE),1,0)))</f>
        <v>0</v>
      </c>
    </row>
    <row r="17" spans="2:93" ht="14" customHeight="1" x14ac:dyDescent="0.45">
      <c r="B17" s="9">
        <v>5</v>
      </c>
      <c r="C17" s="47"/>
      <c r="D17" s="38"/>
      <c r="E17" s="39"/>
      <c r="F17" s="48" t="str">
        <f>IF($C17="","",IFERROR(INDEX(Catalogo!$E$6:$E$125,MATCH($C17,Catalogo!$C$6:$C$125,0)),""))</f>
        <v/>
      </c>
      <c r="G17" s="39"/>
      <c r="H17" s="9" t="str">
        <f>IF($C17="","",N(IFERROR(INDEX(Catalogo!$F$6:$F$125,MATCH($C17,Catalogo!$C$6:$C$125,0)),"")))</f>
        <v/>
      </c>
      <c r="I17" s="9" t="str">
        <f>IF($AD17&lt;&gt;"Patch panel cobre","",IFERROR(INDEX(Catalogo!$G$6:$G$125,MATCH($C17,Catalogo!$C$6:$C$125,0)),""))</f>
        <v/>
      </c>
      <c r="J17" s="9" t="str">
        <f>IF(OR($C17="",$H17=0),"",$AR$5-SUM($H$13:H16))</f>
        <v/>
      </c>
      <c r="K17" s="9" t="str">
        <f t="shared" si="0"/>
        <v/>
      </c>
      <c r="L17" s="9" t="str">
        <f t="shared" si="1"/>
        <v/>
      </c>
      <c r="M17" s="6"/>
      <c r="N17" s="6"/>
      <c r="O17" s="12" t="str">
        <f t="shared" si="2"/>
        <v/>
      </c>
      <c r="P17" s="37"/>
      <c r="Q17" s="39"/>
      <c r="R17" s="40"/>
      <c r="S17" s="13">
        <v>41</v>
      </c>
      <c r="T17" s="49" t="str">
        <f>IF($AM17=0,"",IF(INDEX($J$13:$J$42,$AM17)=41,INDEX($AH$13:$AH$42,$AM17),""))</f>
        <v/>
      </c>
      <c r="U17" s="38"/>
      <c r="V17" s="39"/>
      <c r="W17" s="13">
        <v>41</v>
      </c>
      <c r="X17" s="40"/>
      <c r="AD17" t="str">
        <f>IF($C17="","",IFERROR(INDEX(Catalogo!$B$6:$B$125,MATCH($C17,Catalogo!$C$6:$C$125,0)),""))</f>
        <v/>
      </c>
      <c r="AE17" t="str">
        <f>IF($AD17="Patch panel cobre",COUNTIF($AD$13:$AD17,"Patch panel cobre"),"")</f>
        <v/>
      </c>
      <c r="AH17" t="str">
        <f t="shared" si="3"/>
        <v/>
      </c>
      <c r="AM17">
        <f>IFERROR(MATCH(1,INDEX(($K$13:$K$42&lt;=41)*($J$13:$J$42&gt;=41),0),0),0)</f>
        <v>0</v>
      </c>
      <c r="AN17" t="str">
        <f>IF(41&gt;$AR$5,"Fuera",IF($AM17=0,"",INDEX($AD$13:$AD$42,$AM17)))</f>
        <v/>
      </c>
      <c r="AQ17">
        <f>IF(OR(Proyecto!$C17="",Proyecto!$C17="-"),0,COUNTIF($CA$72:$CA$95,Proyecto!$C17)+COUNTIF($CB$72:$CB$95,Proyecto!$C17)+COUNTIF($CC$72:$CC$95,Proyecto!$C17)+COUNTIF($CD$72:$CD$95,Proyecto!$C17)+COUNTIF($CA$100:$CA$123,Proyecto!$C17)+COUNTIF($CB$100:$CB$123,Proyecto!$C17)+COUNTIF($CC$100:$CC$123,Proyecto!$C17)+COUNTIF($CD$100:$CD$123,Proyecto!$C17)+COUNTIF($CA$128:$CA$151,Proyecto!$C17)+COUNTIF($CB$128:$CB$151,Proyecto!$C17)+COUNTIF($CC$128:$CC$151,Proyecto!$C17)+COUNTIF($CD$128:$CD$151,Proyecto!$C17)+COUNTIF($CA$156:$CA$179,Proyecto!$C17)+COUNTIF($CB$156:$CB$179,Proyecto!$C17)+COUNTIF($CC$156:$CC$179,Proyecto!$C17)+COUNTIF($CD$156:$CD$179,Proyecto!$C17))</f>
        <v>0</v>
      </c>
      <c r="BA17">
        <f>IF(OR(Catalogo!$C17="",Catalogo!$B17="Espacio libre",Catalogo!$B17="Espacio reservado"),0,COUNTIF($C$13:$C$42,Catalogo!$C17)+IF($E$7=Catalogo!$C17,N($K$7),0)+IF($E$8=Catalogo!$C17,N($N$8),0)+IF(Proyecto!$D$12=Catalogo!$C17,$AQ$4,0)+SUMIF($C$49:$C$58,Catalogo!$C17,$K$49:$K$58))</f>
        <v>0</v>
      </c>
      <c r="BD17" t="str">
        <f>IFERROR(MATCH(5,$AE$13:$AE$42,0),"")</f>
        <v/>
      </c>
      <c r="BE17" t="str">
        <f t="shared" si="4"/>
        <v/>
      </c>
      <c r="BF17">
        <f t="shared" si="5"/>
        <v>0</v>
      </c>
      <c r="BG17">
        <f t="shared" si="6"/>
        <v>0</v>
      </c>
      <c r="BH17">
        <f>SUM($BG$13:$BG16)</f>
        <v>2</v>
      </c>
      <c r="BI17" t="str">
        <f t="shared" si="7"/>
        <v/>
      </c>
      <c r="BJ17" cm="1">
        <f t="array" ref="BJ17">IF($BD17="",0,IF(ISNUMBER(SEARCH(":",$BI17)),MIN($BF17,SUM(--MID(_xlfn.TEXTSPLIT($BI17,","),FIND(":",_xlfn.TEXTSPLIT($BI17,","))+1,9))),IF(INDEX($N$13:$N$42,$BD17)="",$BF17,MIN($BF17,N(INDEX($N$13:$N$42,$BD17))))))</f>
        <v>0</v>
      </c>
      <c r="BL17" t="str">
        <f>IF(5&gt;$BK$12,"",MATCH(4,$BH$13:$BH$28,1))</f>
        <v/>
      </c>
      <c r="BM17">
        <f>IF($BL17="",0,(4-INDEX($BH$13:$BH$28,$BL17))*24)</f>
        <v>0</v>
      </c>
      <c r="BN17" t="str">
        <f t="shared" si="8"/>
        <v/>
      </c>
      <c r="BO17">
        <f t="shared" si="9"/>
        <v>0</v>
      </c>
      <c r="BP17" t="str">
        <f t="shared" si="10"/>
        <v/>
      </c>
      <c r="BQ17">
        <f t="shared" si="11"/>
        <v>0</v>
      </c>
      <c r="BR17">
        <f>COUNTIF($CA$100:$CA$123,"?*")</f>
        <v>0</v>
      </c>
      <c r="BS17">
        <f>SUMIF($BL$13:$BL$28,5,$BR$13:$BR$28)</f>
        <v>0</v>
      </c>
      <c r="CL17">
        <f>IF($C17="",0,N(IFERROR(INDEX(Catalogo!$N$6:$N$125,MATCH($C17,Catalogo!$C$6:$C$125,0)),0)))</f>
        <v>0</v>
      </c>
      <c r="CM17">
        <f>IF($C17="",0,N(IFERROR(INDEX(Catalogo!$P$6:$P$125,MATCH($C17,Catalogo!$C$6:$C$125,0)),0)))</f>
        <v>0</v>
      </c>
      <c r="CN17">
        <f>IF($C17="",0,N(IFERROR(INDEX(Catalogo!$Q$6:$Q$125,MATCH($C17,Catalogo!$C$6:$C$125,0)),0)))</f>
        <v>0</v>
      </c>
      <c r="CO17">
        <f>IF($C17="",0,IF(OR($AD17="Espacio libre",$AD17="Espacio reservado"),0,IF(IFERROR(INDEX(Catalogo!$N$6:$N$125,MATCH($C17,Catalogo!$C$6:$C$125,0))="",TRUE),1,0)))</f>
        <v>0</v>
      </c>
    </row>
    <row r="18" spans="2:93" ht="14" customHeight="1" x14ac:dyDescent="0.45">
      <c r="B18" s="9">
        <v>6</v>
      </c>
      <c r="C18" s="47"/>
      <c r="D18" s="38"/>
      <c r="E18" s="39"/>
      <c r="F18" s="48" t="str">
        <f>IF($C18="","",IFERROR(INDEX(Catalogo!$E$6:$E$125,MATCH($C18,Catalogo!$C$6:$C$125,0)),""))</f>
        <v/>
      </c>
      <c r="G18" s="39"/>
      <c r="H18" s="9" t="str">
        <f>IF($C18="","",N(IFERROR(INDEX(Catalogo!$F$6:$F$125,MATCH($C18,Catalogo!$C$6:$C$125,0)),"")))</f>
        <v/>
      </c>
      <c r="I18" s="9" t="str">
        <f>IF($AD18&lt;&gt;"Patch panel cobre","",IFERROR(INDEX(Catalogo!$G$6:$G$125,MATCH($C18,Catalogo!$C$6:$C$125,0)),""))</f>
        <v/>
      </c>
      <c r="J18" s="9" t="str">
        <f>IF(OR($C18="",$H18=0),"",$AR$5-SUM($H$13:H17))</f>
        <v/>
      </c>
      <c r="K18" s="9" t="str">
        <f t="shared" si="0"/>
        <v/>
      </c>
      <c r="L18" s="9" t="str">
        <f t="shared" si="1"/>
        <v/>
      </c>
      <c r="M18" s="6"/>
      <c r="N18" s="6"/>
      <c r="O18" s="12" t="str">
        <f t="shared" si="2"/>
        <v/>
      </c>
      <c r="P18" s="37"/>
      <c r="Q18" s="39"/>
      <c r="R18" s="40"/>
      <c r="S18" s="13">
        <v>40</v>
      </c>
      <c r="T18" s="49" t="str">
        <f>IF($AM18=0,"",IF(INDEX($J$13:$J$42,$AM18)=40,INDEX($AH$13:$AH$42,$AM18),""))</f>
        <v/>
      </c>
      <c r="U18" s="38"/>
      <c r="V18" s="39"/>
      <c r="W18" s="13">
        <v>40</v>
      </c>
      <c r="X18" s="40"/>
      <c r="AD18" t="str">
        <f>IF($C18="","",IFERROR(INDEX(Catalogo!$B$6:$B$125,MATCH($C18,Catalogo!$C$6:$C$125,0)),""))</f>
        <v/>
      </c>
      <c r="AE18" t="str">
        <f>IF($AD18="Patch panel cobre",COUNTIF($AD$13:$AD18,"Patch panel cobre"),"")</f>
        <v/>
      </c>
      <c r="AH18" t="str">
        <f t="shared" si="3"/>
        <v/>
      </c>
      <c r="AM18">
        <f>IFERROR(MATCH(1,INDEX(($K$13:$K$42&lt;=40)*($J$13:$J$42&gt;=40),0),0),0)</f>
        <v>0</v>
      </c>
      <c r="AN18" t="str">
        <f>IF(40&gt;$AR$5,"Fuera",IF($AM18=0,"",INDEX($AD$13:$AD$42,$AM18)))</f>
        <v/>
      </c>
      <c r="AQ18">
        <f>IF(OR(Proyecto!$C18="",Proyecto!$C18="-"),0,COUNTIF($CA$72:$CA$95,Proyecto!$C18)+COUNTIF($CB$72:$CB$95,Proyecto!$C18)+COUNTIF($CC$72:$CC$95,Proyecto!$C18)+COUNTIF($CD$72:$CD$95,Proyecto!$C18)+COUNTIF($CA$100:$CA$123,Proyecto!$C18)+COUNTIF($CB$100:$CB$123,Proyecto!$C18)+COUNTIF($CC$100:$CC$123,Proyecto!$C18)+COUNTIF($CD$100:$CD$123,Proyecto!$C18)+COUNTIF($CA$128:$CA$151,Proyecto!$C18)+COUNTIF($CB$128:$CB$151,Proyecto!$C18)+COUNTIF($CC$128:$CC$151,Proyecto!$C18)+COUNTIF($CD$128:$CD$151,Proyecto!$C18)+COUNTIF($CA$156:$CA$179,Proyecto!$C18)+COUNTIF($CB$156:$CB$179,Proyecto!$C18)+COUNTIF($CC$156:$CC$179,Proyecto!$C18)+COUNTIF($CD$156:$CD$179,Proyecto!$C18))</f>
        <v>1</v>
      </c>
      <c r="BA18">
        <f>IF(OR(Catalogo!$C18="",Catalogo!$B18="Espacio libre",Catalogo!$B18="Espacio reservado"),0,COUNTIF($C$13:$C$42,Catalogo!$C18)+IF($E$7=Catalogo!$C18,N($K$7),0)+IF($E$8=Catalogo!$C18,N($N$8),0)+IF(Proyecto!$D$12=Catalogo!$C18,$AQ$4,0)+SUMIF($C$49:$C$58,Catalogo!$C18,$K$49:$K$58))</f>
        <v>0</v>
      </c>
      <c r="BD18" t="str">
        <f>IFERROR(MATCH(6,$AE$13:$AE$42,0),"")</f>
        <v/>
      </c>
      <c r="BE18" t="str">
        <f t="shared" si="4"/>
        <v/>
      </c>
      <c r="BF18">
        <f t="shared" si="5"/>
        <v>0</v>
      </c>
      <c r="BG18">
        <f t="shared" si="6"/>
        <v>0</v>
      </c>
      <c r="BH18">
        <f>SUM($BG$13:$BG17)</f>
        <v>2</v>
      </c>
      <c r="BI18" t="str">
        <f t="shared" si="7"/>
        <v/>
      </c>
      <c r="BJ18" cm="1">
        <f t="array" ref="BJ18">IF($BD18="",0,IF(ISNUMBER(SEARCH(":",$BI18)),MIN($BF18,SUM(--MID(_xlfn.TEXTSPLIT($BI18,","),FIND(":",_xlfn.TEXTSPLIT($BI18,","))+1,9))),IF(INDEX($N$13:$N$42,$BD18)="",$BF18,MIN($BF18,N(INDEX($N$13:$N$42,$BD18))))))</f>
        <v>0</v>
      </c>
      <c r="BL18" t="str">
        <f>IF(6&gt;$BK$12,"",MATCH(5,$BH$13:$BH$28,1))</f>
        <v/>
      </c>
      <c r="BM18">
        <f>IF($BL18="",0,(5-INDEX($BH$13:$BH$28,$BL18))*24)</f>
        <v>0</v>
      </c>
      <c r="BN18" t="str">
        <f t="shared" si="8"/>
        <v/>
      </c>
      <c r="BO18">
        <f t="shared" si="9"/>
        <v>0</v>
      </c>
      <c r="BP18" t="str">
        <f t="shared" si="10"/>
        <v/>
      </c>
      <c r="BQ18">
        <f t="shared" si="11"/>
        <v>0</v>
      </c>
      <c r="BR18">
        <f>COUNTIF($CB$100:$CB$123,"?*")</f>
        <v>0</v>
      </c>
      <c r="BS18">
        <f>SUMIF($BL$13:$BL$28,6,$BR$13:$BR$28)</f>
        <v>0</v>
      </c>
      <c r="CL18">
        <f>IF($C18="",0,N(IFERROR(INDEX(Catalogo!$N$6:$N$125,MATCH($C18,Catalogo!$C$6:$C$125,0)),0)))</f>
        <v>0</v>
      </c>
      <c r="CM18">
        <f>IF($C18="",0,N(IFERROR(INDEX(Catalogo!$P$6:$P$125,MATCH($C18,Catalogo!$C$6:$C$125,0)),0)))</f>
        <v>0</v>
      </c>
      <c r="CN18">
        <f>IF($C18="",0,N(IFERROR(INDEX(Catalogo!$Q$6:$Q$125,MATCH($C18,Catalogo!$C$6:$C$125,0)),0)))</f>
        <v>0</v>
      </c>
      <c r="CO18">
        <f>IF($C18="",0,IF(OR($AD18="Espacio libre",$AD18="Espacio reservado"),0,IF(IFERROR(INDEX(Catalogo!$N$6:$N$125,MATCH($C18,Catalogo!$C$6:$C$125,0))="",TRUE),1,0)))</f>
        <v>0</v>
      </c>
    </row>
    <row r="19" spans="2:93" ht="14" customHeight="1" x14ac:dyDescent="0.45">
      <c r="B19" s="9">
        <v>7</v>
      </c>
      <c r="C19" s="47"/>
      <c r="D19" s="38"/>
      <c r="E19" s="39"/>
      <c r="F19" s="48" t="str">
        <f>IF($C19="","",IFERROR(INDEX(Catalogo!$E$6:$E$125,MATCH($C19,Catalogo!$C$6:$C$125,0)),""))</f>
        <v/>
      </c>
      <c r="G19" s="39"/>
      <c r="H19" s="9" t="str">
        <f>IF($C19="","",N(IFERROR(INDEX(Catalogo!$F$6:$F$125,MATCH($C19,Catalogo!$C$6:$C$125,0)),"")))</f>
        <v/>
      </c>
      <c r="I19" s="9" t="str">
        <f>IF($AD19&lt;&gt;"Patch panel cobre","",IFERROR(INDEX(Catalogo!$G$6:$G$125,MATCH($C19,Catalogo!$C$6:$C$125,0)),""))</f>
        <v/>
      </c>
      <c r="J19" s="9" t="str">
        <f>IF(OR($C19="",$H19=0),"",$AR$5-SUM($H$13:H18))</f>
        <v/>
      </c>
      <c r="K19" s="9" t="str">
        <f t="shared" si="0"/>
        <v/>
      </c>
      <c r="L19" s="9" t="str">
        <f t="shared" si="1"/>
        <v/>
      </c>
      <c r="M19" s="6"/>
      <c r="N19" s="6"/>
      <c r="O19" s="12" t="str">
        <f t="shared" si="2"/>
        <v/>
      </c>
      <c r="P19" s="37"/>
      <c r="Q19" s="39"/>
      <c r="R19" s="40"/>
      <c r="S19" s="13">
        <v>39</v>
      </c>
      <c r="T19" s="49" t="str">
        <f>IF($AM19=0,"",IF(INDEX($J$13:$J$42,$AM19)=39,INDEX($AH$13:$AH$42,$AM19),""))</f>
        <v/>
      </c>
      <c r="U19" s="38"/>
      <c r="V19" s="39"/>
      <c r="W19" s="13">
        <v>39</v>
      </c>
      <c r="X19" s="40"/>
      <c r="AD19" t="str">
        <f>IF($C19="","",IFERROR(INDEX(Catalogo!$B$6:$B$125,MATCH($C19,Catalogo!$C$6:$C$125,0)),""))</f>
        <v/>
      </c>
      <c r="AE19" t="str">
        <f>IF($AD19="Patch panel cobre",COUNTIF($AD$13:$AD19,"Patch panel cobre"),"")</f>
        <v/>
      </c>
      <c r="AH19" t="str">
        <f t="shared" si="3"/>
        <v/>
      </c>
      <c r="AM19">
        <f>IFERROR(MATCH(1,INDEX(($K$13:$K$42&lt;=39)*($J$13:$J$42&gt;=39),0),0),0)</f>
        <v>0</v>
      </c>
      <c r="AN19" t="str">
        <f>IF(39&gt;$AR$5,"Fuera",IF($AM19=0,"",INDEX($AD$13:$AD$42,$AM19)))</f>
        <v/>
      </c>
      <c r="AQ19">
        <f>IF(OR(Proyecto!$C19="",Proyecto!$C19="-"),0,COUNTIF($CA$72:$CA$95,Proyecto!$C19)+COUNTIF($CB$72:$CB$95,Proyecto!$C19)+COUNTIF($CC$72:$CC$95,Proyecto!$C19)+COUNTIF($CD$72:$CD$95,Proyecto!$C19)+COUNTIF($CA$100:$CA$123,Proyecto!$C19)+COUNTIF($CB$100:$CB$123,Proyecto!$C19)+COUNTIF($CC$100:$CC$123,Proyecto!$C19)+COUNTIF($CD$100:$CD$123,Proyecto!$C19)+COUNTIF($CA$128:$CA$151,Proyecto!$C19)+COUNTIF($CB$128:$CB$151,Proyecto!$C19)+COUNTIF($CC$128:$CC$151,Proyecto!$C19)+COUNTIF($CD$128:$CD$151,Proyecto!$C19)+COUNTIF($CA$156:$CA$179,Proyecto!$C19)+COUNTIF($CB$156:$CB$179,Proyecto!$C19)+COUNTIF($CC$156:$CC$179,Proyecto!$C19)+COUNTIF($CD$156:$CD$179,Proyecto!$C19))</f>
        <v>0</v>
      </c>
      <c r="BA19">
        <f>IF(OR(Catalogo!$C19="",Catalogo!$B19="Espacio libre",Catalogo!$B19="Espacio reservado"),0,COUNTIF($C$13:$C$42,Catalogo!$C19)+IF($E$7=Catalogo!$C19,N($K$7),0)+IF($E$8=Catalogo!$C19,N($N$8),0)+IF(Proyecto!$D$12=Catalogo!$C19,$AQ$4,0)+SUMIF($C$49:$C$58,Catalogo!$C19,$K$49:$K$58))</f>
        <v>0</v>
      </c>
      <c r="BD19" t="str">
        <f>IFERROR(MATCH(7,$AE$13:$AE$42,0),"")</f>
        <v/>
      </c>
      <c r="BE19" t="str">
        <f t="shared" si="4"/>
        <v/>
      </c>
      <c r="BF19">
        <f t="shared" si="5"/>
        <v>0</v>
      </c>
      <c r="BG19">
        <f t="shared" si="6"/>
        <v>0</v>
      </c>
      <c r="BH19">
        <f>SUM($BG$13:$BG18)</f>
        <v>2</v>
      </c>
      <c r="BI19" t="str">
        <f t="shared" si="7"/>
        <v/>
      </c>
      <c r="BJ19" cm="1">
        <f t="array" ref="BJ19">IF($BD19="",0,IF(ISNUMBER(SEARCH(":",$BI19)),MIN($BF19,SUM(--MID(_xlfn.TEXTSPLIT($BI19,","),FIND(":",_xlfn.TEXTSPLIT($BI19,","))+1,9))),IF(INDEX($N$13:$N$42,$BD19)="",$BF19,MIN($BF19,N(INDEX($N$13:$N$42,$BD19))))))</f>
        <v>0</v>
      </c>
      <c r="BL19" t="str">
        <f>IF(7&gt;$BK$12,"",MATCH(6,$BH$13:$BH$28,1))</f>
        <v/>
      </c>
      <c r="BM19">
        <f>IF($BL19="",0,(6-INDEX($BH$13:$BH$28,$BL19))*24)</f>
        <v>0</v>
      </c>
      <c r="BN19" t="str">
        <f t="shared" si="8"/>
        <v/>
      </c>
      <c r="BO19">
        <f t="shared" si="9"/>
        <v>0</v>
      </c>
      <c r="BP19" t="str">
        <f t="shared" si="10"/>
        <v/>
      </c>
      <c r="BQ19">
        <f t="shared" si="11"/>
        <v>0</v>
      </c>
      <c r="BR19">
        <f>COUNTIF($CC$100:$CC$123,"?*")</f>
        <v>0</v>
      </c>
      <c r="BS19">
        <f>SUMIF($BL$13:$BL$28,7,$BR$13:$BR$28)</f>
        <v>0</v>
      </c>
      <c r="CL19">
        <f>IF($C19="",0,N(IFERROR(INDEX(Catalogo!$N$6:$N$125,MATCH($C19,Catalogo!$C$6:$C$125,0)),0)))</f>
        <v>0</v>
      </c>
      <c r="CM19">
        <f>IF($C19="",0,N(IFERROR(INDEX(Catalogo!$P$6:$P$125,MATCH($C19,Catalogo!$C$6:$C$125,0)),0)))</f>
        <v>0</v>
      </c>
      <c r="CN19">
        <f>IF($C19="",0,N(IFERROR(INDEX(Catalogo!$Q$6:$Q$125,MATCH($C19,Catalogo!$C$6:$C$125,0)),0)))</f>
        <v>0</v>
      </c>
      <c r="CO19">
        <f>IF($C19="",0,IF(OR($AD19="Espacio libre",$AD19="Espacio reservado"),0,IF(IFERROR(INDEX(Catalogo!$N$6:$N$125,MATCH($C19,Catalogo!$C$6:$C$125,0))="",TRUE),1,0)))</f>
        <v>0</v>
      </c>
    </row>
    <row r="20" spans="2:93" ht="14" customHeight="1" x14ac:dyDescent="0.45">
      <c r="B20" s="9">
        <v>8</v>
      </c>
      <c r="C20" s="47"/>
      <c r="D20" s="38"/>
      <c r="E20" s="39"/>
      <c r="F20" s="48" t="str">
        <f>IF($C20="","",IFERROR(INDEX(Catalogo!$E$6:$E$125,MATCH($C20,Catalogo!$C$6:$C$125,0)),""))</f>
        <v/>
      </c>
      <c r="G20" s="39"/>
      <c r="H20" s="9" t="str">
        <f>IF($C20="","",N(IFERROR(INDEX(Catalogo!$F$6:$F$125,MATCH($C20,Catalogo!$C$6:$C$125,0)),"")))</f>
        <v/>
      </c>
      <c r="I20" s="9" t="str">
        <f>IF($AD20&lt;&gt;"Patch panel cobre","",IFERROR(INDEX(Catalogo!$G$6:$G$125,MATCH($C20,Catalogo!$C$6:$C$125,0)),""))</f>
        <v/>
      </c>
      <c r="J20" s="9" t="str">
        <f>IF(OR($C20="",$H20=0),"",$AR$5-SUM($H$13:H19))</f>
        <v/>
      </c>
      <c r="K20" s="9" t="str">
        <f t="shared" si="0"/>
        <v/>
      </c>
      <c r="L20" s="9" t="str">
        <f t="shared" si="1"/>
        <v/>
      </c>
      <c r="M20" s="6"/>
      <c r="N20" s="6"/>
      <c r="O20" s="12" t="str">
        <f t="shared" si="2"/>
        <v/>
      </c>
      <c r="P20" s="37"/>
      <c r="Q20" s="39"/>
      <c r="R20" s="40"/>
      <c r="S20" s="13">
        <v>38</v>
      </c>
      <c r="T20" s="49" t="str">
        <f>IF($AM20=0,"",IF(INDEX($J$13:$J$42,$AM20)=38,INDEX($AH$13:$AH$42,$AM20),""))</f>
        <v/>
      </c>
      <c r="U20" s="38"/>
      <c r="V20" s="39"/>
      <c r="W20" s="13">
        <v>38</v>
      </c>
      <c r="X20" s="40"/>
      <c r="AD20" t="str">
        <f>IF($C20="","",IFERROR(INDEX(Catalogo!$B$6:$B$125,MATCH($C20,Catalogo!$C$6:$C$125,0)),""))</f>
        <v/>
      </c>
      <c r="AE20" t="str">
        <f>IF($AD20="Patch panel cobre",COUNTIF($AD$13:$AD20,"Patch panel cobre"),"")</f>
        <v/>
      </c>
      <c r="AH20" t="str">
        <f t="shared" si="3"/>
        <v/>
      </c>
      <c r="AM20">
        <f>IFERROR(MATCH(1,INDEX(($K$13:$K$42&lt;=38)*($J$13:$J$42&gt;=38),0),0),0)</f>
        <v>0</v>
      </c>
      <c r="AN20" t="str">
        <f>IF(38&gt;$AR$5,"Fuera",IF($AM20=0,"",INDEX($AD$13:$AD$42,$AM20)))</f>
        <v/>
      </c>
      <c r="AQ20">
        <f>IF(OR(Proyecto!$C20="",Proyecto!$C20="-"),0,COUNTIF($CA$72:$CA$95,Proyecto!$C20)+COUNTIF($CB$72:$CB$95,Proyecto!$C20)+COUNTIF($CC$72:$CC$95,Proyecto!$C20)+COUNTIF($CD$72:$CD$95,Proyecto!$C20)+COUNTIF($CA$100:$CA$123,Proyecto!$C20)+COUNTIF($CB$100:$CB$123,Proyecto!$C20)+COUNTIF($CC$100:$CC$123,Proyecto!$C20)+COUNTIF($CD$100:$CD$123,Proyecto!$C20)+COUNTIF($CA$128:$CA$151,Proyecto!$C20)+COUNTIF($CB$128:$CB$151,Proyecto!$C20)+COUNTIF($CC$128:$CC$151,Proyecto!$C20)+COUNTIF($CD$128:$CD$151,Proyecto!$C20)+COUNTIF($CA$156:$CA$179,Proyecto!$C20)+COUNTIF($CB$156:$CB$179,Proyecto!$C20)+COUNTIF($CC$156:$CC$179,Proyecto!$C20)+COUNTIF($CD$156:$CD$179,Proyecto!$C20))</f>
        <v>1</v>
      </c>
      <c r="BA20">
        <f>IF(OR(Catalogo!$C20="",Catalogo!$B20="Espacio libre",Catalogo!$B20="Espacio reservado"),0,COUNTIF($C$13:$C$42,Catalogo!$C20)+IF($E$7=Catalogo!$C20,N($K$7),0)+IF($E$8=Catalogo!$C20,N($N$8),0)+IF(Proyecto!$D$12=Catalogo!$C20,$AQ$4,0)+SUMIF($C$49:$C$58,Catalogo!$C20,$K$49:$K$58))</f>
        <v>0</v>
      </c>
      <c r="BD20" t="str">
        <f>IFERROR(MATCH(8,$AE$13:$AE$42,0),"")</f>
        <v/>
      </c>
      <c r="BE20" t="str">
        <f t="shared" si="4"/>
        <v/>
      </c>
      <c r="BF20">
        <f t="shared" si="5"/>
        <v>0</v>
      </c>
      <c r="BG20">
        <f t="shared" si="6"/>
        <v>0</v>
      </c>
      <c r="BH20">
        <f>SUM($BG$13:$BG19)</f>
        <v>2</v>
      </c>
      <c r="BI20" t="str">
        <f t="shared" si="7"/>
        <v/>
      </c>
      <c r="BJ20" cm="1">
        <f t="array" ref="BJ20">IF($BD20="",0,IF(ISNUMBER(SEARCH(":",$BI20)),MIN($BF20,SUM(--MID(_xlfn.TEXTSPLIT($BI20,","),FIND(":",_xlfn.TEXTSPLIT($BI20,","))+1,9))),IF(INDEX($N$13:$N$42,$BD20)="",$BF20,MIN($BF20,N(INDEX($N$13:$N$42,$BD20))))))</f>
        <v>0</v>
      </c>
      <c r="BL20" t="str">
        <f>IF(8&gt;$BK$12,"",MATCH(7,$BH$13:$BH$28,1))</f>
        <v/>
      </c>
      <c r="BM20">
        <f>IF($BL20="",0,(7-INDEX($BH$13:$BH$28,$BL20))*24)</f>
        <v>0</v>
      </c>
      <c r="BN20" t="str">
        <f t="shared" si="8"/>
        <v/>
      </c>
      <c r="BO20">
        <f t="shared" si="9"/>
        <v>0</v>
      </c>
      <c r="BP20" t="str">
        <f t="shared" si="10"/>
        <v/>
      </c>
      <c r="BQ20">
        <f t="shared" si="11"/>
        <v>0</v>
      </c>
      <c r="BR20">
        <f>COUNTIF($CD$100:$CD$123,"?*")</f>
        <v>0</v>
      </c>
      <c r="BS20">
        <f>SUMIF($BL$13:$BL$28,8,$BR$13:$BR$28)</f>
        <v>0</v>
      </c>
      <c r="CL20">
        <f>IF($C20="",0,N(IFERROR(INDEX(Catalogo!$N$6:$N$125,MATCH($C20,Catalogo!$C$6:$C$125,0)),0)))</f>
        <v>0</v>
      </c>
      <c r="CM20">
        <f>IF($C20="",0,N(IFERROR(INDEX(Catalogo!$P$6:$P$125,MATCH($C20,Catalogo!$C$6:$C$125,0)),0)))</f>
        <v>0</v>
      </c>
      <c r="CN20">
        <f>IF($C20="",0,N(IFERROR(INDEX(Catalogo!$Q$6:$Q$125,MATCH($C20,Catalogo!$C$6:$C$125,0)),0)))</f>
        <v>0</v>
      </c>
      <c r="CO20">
        <f>IF($C20="",0,IF(OR($AD20="Espacio libre",$AD20="Espacio reservado"),0,IF(IFERROR(INDEX(Catalogo!$N$6:$N$125,MATCH($C20,Catalogo!$C$6:$C$125,0))="",TRUE),1,0)))</f>
        <v>0</v>
      </c>
    </row>
    <row r="21" spans="2:93" ht="14" customHeight="1" x14ac:dyDescent="0.45">
      <c r="B21" s="9">
        <v>9</v>
      </c>
      <c r="C21" s="47"/>
      <c r="D21" s="38"/>
      <c r="E21" s="39"/>
      <c r="F21" s="48" t="str">
        <f>IF($C21="","",IFERROR(INDEX(Catalogo!$E$6:$E$125,MATCH($C21,Catalogo!$C$6:$C$125,0)),""))</f>
        <v/>
      </c>
      <c r="G21" s="39"/>
      <c r="H21" s="9" t="str">
        <f>IF($C21="","",N(IFERROR(INDEX(Catalogo!$F$6:$F$125,MATCH($C21,Catalogo!$C$6:$C$125,0)),"")))</f>
        <v/>
      </c>
      <c r="I21" s="9" t="str">
        <f>IF($AD21&lt;&gt;"Patch panel cobre","",IFERROR(INDEX(Catalogo!$G$6:$G$125,MATCH($C21,Catalogo!$C$6:$C$125,0)),""))</f>
        <v/>
      </c>
      <c r="J21" s="9" t="str">
        <f>IF(OR($C21="",$H21=0),"",$AR$5-SUM($H$13:H20))</f>
        <v/>
      </c>
      <c r="K21" s="9" t="str">
        <f t="shared" si="0"/>
        <v/>
      </c>
      <c r="L21" s="9" t="str">
        <f t="shared" si="1"/>
        <v/>
      </c>
      <c r="M21" s="6"/>
      <c r="N21" s="6"/>
      <c r="O21" s="12" t="str">
        <f t="shared" si="2"/>
        <v/>
      </c>
      <c r="P21" s="37"/>
      <c r="Q21" s="39"/>
      <c r="R21" s="40"/>
      <c r="S21" s="13">
        <v>37</v>
      </c>
      <c r="T21" s="49" t="str">
        <f>IF($AM21=0,"",IF(INDEX($J$13:$J$42,$AM21)=37,INDEX($AH$13:$AH$42,$AM21),""))</f>
        <v/>
      </c>
      <c r="U21" s="38"/>
      <c r="V21" s="39"/>
      <c r="W21" s="13">
        <v>37</v>
      </c>
      <c r="X21" s="40"/>
      <c r="AD21" t="str">
        <f>IF($C21="","",IFERROR(INDEX(Catalogo!$B$6:$B$125,MATCH($C21,Catalogo!$C$6:$C$125,0)),""))</f>
        <v/>
      </c>
      <c r="AE21" t="str">
        <f>IF($AD21="Patch panel cobre",COUNTIF($AD$13:$AD21,"Patch panel cobre"),"")</f>
        <v/>
      </c>
      <c r="AH21" t="str">
        <f t="shared" si="3"/>
        <v/>
      </c>
      <c r="AM21">
        <f>IFERROR(MATCH(1,INDEX(($K$13:$K$42&lt;=37)*($J$13:$J$42&gt;=37),0),0),0)</f>
        <v>0</v>
      </c>
      <c r="AN21" t="str">
        <f>IF(37&gt;$AR$5,"Fuera",IF($AM21=0,"",INDEX($AD$13:$AD$42,$AM21)))</f>
        <v/>
      </c>
      <c r="AQ21">
        <f>IF(OR(Proyecto!$C21="",Proyecto!$C21="-"),0,COUNTIF($CA$72:$CA$95,Proyecto!$C21)+COUNTIF($CB$72:$CB$95,Proyecto!$C21)+COUNTIF($CC$72:$CC$95,Proyecto!$C21)+COUNTIF($CD$72:$CD$95,Proyecto!$C21)+COUNTIF($CA$100:$CA$123,Proyecto!$C21)+COUNTIF($CB$100:$CB$123,Proyecto!$C21)+COUNTIF($CC$100:$CC$123,Proyecto!$C21)+COUNTIF($CD$100:$CD$123,Proyecto!$C21)+COUNTIF($CA$128:$CA$151,Proyecto!$C21)+COUNTIF($CB$128:$CB$151,Proyecto!$C21)+COUNTIF($CC$128:$CC$151,Proyecto!$C21)+COUNTIF($CD$128:$CD$151,Proyecto!$C21)+COUNTIF($CA$156:$CA$179,Proyecto!$C21)+COUNTIF($CB$156:$CB$179,Proyecto!$C21)+COUNTIF($CC$156:$CC$179,Proyecto!$C21)+COUNTIF($CD$156:$CD$179,Proyecto!$C21))</f>
        <v>0</v>
      </c>
      <c r="BA21">
        <f>IF(OR(Catalogo!$C21="",Catalogo!$B21="Espacio libre",Catalogo!$B21="Espacio reservado"),0,COUNTIF($C$13:$C$42,Catalogo!$C21)+IF($E$7=Catalogo!$C21,N($K$7),0)+IF($E$8=Catalogo!$C21,N($N$8),0)+IF(Proyecto!$D$12=Catalogo!$C21,$AQ$4,0)+SUMIF($C$49:$C$58,Catalogo!$C21,$K$49:$K$58))</f>
        <v>1</v>
      </c>
      <c r="BD21" t="str">
        <f>IFERROR(MATCH(9,$AE$13:$AE$42,0),"")</f>
        <v/>
      </c>
      <c r="BE21" t="str">
        <f t="shared" si="4"/>
        <v/>
      </c>
      <c r="BF21">
        <f t="shared" si="5"/>
        <v>0</v>
      </c>
      <c r="BG21">
        <f t="shared" si="6"/>
        <v>0</v>
      </c>
      <c r="BH21">
        <f>SUM($BG$13:$BG20)</f>
        <v>2</v>
      </c>
      <c r="BI21" t="str">
        <f t="shared" si="7"/>
        <v/>
      </c>
      <c r="BJ21" cm="1">
        <f t="array" ref="BJ21">IF($BD21="",0,IF(ISNUMBER(SEARCH(":",$BI21)),MIN($BF21,SUM(--MID(_xlfn.TEXTSPLIT($BI21,","),FIND(":",_xlfn.TEXTSPLIT($BI21,","))+1,9))),IF(INDEX($N$13:$N$42,$BD21)="",$BF21,MIN($BF21,N(INDEX($N$13:$N$42,$BD21))))))</f>
        <v>0</v>
      </c>
      <c r="BL21" t="str">
        <f>IF(9&gt;$BK$12,"",MATCH(8,$BH$13:$BH$28,1))</f>
        <v/>
      </c>
      <c r="BM21">
        <f>IF($BL21="",0,(8-INDEX($BH$13:$BH$28,$BL21))*24)</f>
        <v>0</v>
      </c>
      <c r="BN21" t="str">
        <f t="shared" si="8"/>
        <v/>
      </c>
      <c r="BO21">
        <f t="shared" si="9"/>
        <v>0</v>
      </c>
      <c r="BP21" t="str">
        <f t="shared" si="10"/>
        <v/>
      </c>
      <c r="BQ21">
        <f t="shared" si="11"/>
        <v>0</v>
      </c>
      <c r="BR21">
        <f>COUNTIF($CA$128:$CA$151,"?*")</f>
        <v>0</v>
      </c>
      <c r="BS21">
        <f>SUMIF($BL$13:$BL$28,9,$BR$13:$BR$28)</f>
        <v>0</v>
      </c>
      <c r="CL21">
        <f>IF($C21="",0,N(IFERROR(INDEX(Catalogo!$N$6:$N$125,MATCH($C21,Catalogo!$C$6:$C$125,0)),0)))</f>
        <v>0</v>
      </c>
      <c r="CM21">
        <f>IF($C21="",0,N(IFERROR(INDEX(Catalogo!$P$6:$P$125,MATCH($C21,Catalogo!$C$6:$C$125,0)),0)))</f>
        <v>0</v>
      </c>
      <c r="CN21">
        <f>IF($C21="",0,N(IFERROR(INDEX(Catalogo!$Q$6:$Q$125,MATCH($C21,Catalogo!$C$6:$C$125,0)),0)))</f>
        <v>0</v>
      </c>
      <c r="CO21">
        <f>IF($C21="",0,IF(OR($AD21="Espacio libre",$AD21="Espacio reservado"),0,IF(IFERROR(INDEX(Catalogo!$N$6:$N$125,MATCH($C21,Catalogo!$C$6:$C$125,0))="",TRUE),1,0)))</f>
        <v>0</v>
      </c>
    </row>
    <row r="22" spans="2:93" ht="14" customHeight="1" x14ac:dyDescent="0.45">
      <c r="B22" s="9">
        <v>10</v>
      </c>
      <c r="C22" s="47"/>
      <c r="D22" s="38"/>
      <c r="E22" s="39"/>
      <c r="F22" s="48" t="str">
        <f>IF($C22="","",IFERROR(INDEX(Catalogo!$E$6:$E$125,MATCH($C22,Catalogo!$C$6:$C$125,0)),""))</f>
        <v/>
      </c>
      <c r="G22" s="39"/>
      <c r="H22" s="9" t="str">
        <f>IF($C22="","",N(IFERROR(INDEX(Catalogo!$F$6:$F$125,MATCH($C22,Catalogo!$C$6:$C$125,0)),"")))</f>
        <v/>
      </c>
      <c r="I22" s="9" t="str">
        <f>IF($AD22&lt;&gt;"Patch panel cobre","",IFERROR(INDEX(Catalogo!$G$6:$G$125,MATCH($C22,Catalogo!$C$6:$C$125,0)),""))</f>
        <v/>
      </c>
      <c r="J22" s="9" t="str">
        <f>IF(OR($C22="",$H22=0),"",$AR$5-SUM($H$13:H21))</f>
        <v/>
      </c>
      <c r="K22" s="9" t="str">
        <f t="shared" si="0"/>
        <v/>
      </c>
      <c r="L22" s="9" t="str">
        <f t="shared" si="1"/>
        <v/>
      </c>
      <c r="M22" s="6"/>
      <c r="N22" s="6"/>
      <c r="O22" s="12" t="str">
        <f t="shared" si="2"/>
        <v/>
      </c>
      <c r="P22" s="37"/>
      <c r="Q22" s="39"/>
      <c r="R22" s="40"/>
      <c r="S22" s="13">
        <v>36</v>
      </c>
      <c r="T22" s="49" t="str">
        <f>IF($AM22=0,"",IF(INDEX($J$13:$J$42,$AM22)=36,INDEX($AH$13:$AH$42,$AM22),""))</f>
        <v/>
      </c>
      <c r="U22" s="38"/>
      <c r="V22" s="39"/>
      <c r="W22" s="13">
        <v>36</v>
      </c>
      <c r="X22" s="40"/>
      <c r="AD22" t="str">
        <f>IF($C22="","",IFERROR(INDEX(Catalogo!$B$6:$B$125,MATCH($C22,Catalogo!$C$6:$C$125,0)),""))</f>
        <v/>
      </c>
      <c r="AE22" t="str">
        <f>IF($AD22="Patch panel cobre",COUNTIF($AD$13:$AD22,"Patch panel cobre"),"")</f>
        <v/>
      </c>
      <c r="AH22" t="str">
        <f t="shared" si="3"/>
        <v/>
      </c>
      <c r="AM22">
        <f>IFERROR(MATCH(1,INDEX(($K$13:$K$42&lt;=36)*($J$13:$J$42&gt;=36),0),0),0)</f>
        <v>0</v>
      </c>
      <c r="AN22" t="str">
        <f>IF(36&gt;$AR$5,"Fuera",IF($AM22=0,"",INDEX($AD$13:$AD$42,$AM22)))</f>
        <v/>
      </c>
      <c r="AQ22">
        <f>IF(OR(Proyecto!$C22="",Proyecto!$C22="-"),0,COUNTIF($CA$72:$CA$95,Proyecto!$C22)+COUNTIF($CB$72:$CB$95,Proyecto!$C22)+COUNTIF($CC$72:$CC$95,Proyecto!$C22)+COUNTIF($CD$72:$CD$95,Proyecto!$C22)+COUNTIF($CA$100:$CA$123,Proyecto!$C22)+COUNTIF($CB$100:$CB$123,Proyecto!$C22)+COUNTIF($CC$100:$CC$123,Proyecto!$C22)+COUNTIF($CD$100:$CD$123,Proyecto!$C22)+COUNTIF($CA$128:$CA$151,Proyecto!$C22)+COUNTIF($CB$128:$CB$151,Proyecto!$C22)+COUNTIF($CC$128:$CC$151,Proyecto!$C22)+COUNTIF($CD$128:$CD$151,Proyecto!$C22)+COUNTIF($CA$156:$CA$179,Proyecto!$C22)+COUNTIF($CB$156:$CB$179,Proyecto!$C22)+COUNTIF($CC$156:$CC$179,Proyecto!$C22)+COUNTIF($CD$156:$CD$179,Proyecto!$C22))</f>
        <v>0</v>
      </c>
      <c r="BA22">
        <f>IF(OR(Catalogo!$C22="",Catalogo!$B22="Espacio libre",Catalogo!$B22="Espacio reservado"),0,COUNTIF($C$13:$C$42,Catalogo!$C22)+IF($E$7=Catalogo!$C22,N($K$7),0)+IF($E$8=Catalogo!$C22,N($N$8),0)+IF(Proyecto!$D$12=Catalogo!$C22,$AQ$4,0)+SUMIF($C$49:$C$58,Catalogo!$C22,$K$49:$K$58))</f>
        <v>0</v>
      </c>
      <c r="BD22" t="str">
        <f>IFERROR(MATCH(10,$AE$13:$AE$42,0),"")</f>
        <v/>
      </c>
      <c r="BE22" t="str">
        <f t="shared" si="4"/>
        <v/>
      </c>
      <c r="BF22">
        <f t="shared" si="5"/>
        <v>0</v>
      </c>
      <c r="BG22">
        <f t="shared" si="6"/>
        <v>0</v>
      </c>
      <c r="BH22">
        <f>SUM($BG$13:$BG21)</f>
        <v>2</v>
      </c>
      <c r="BI22" t="str">
        <f t="shared" si="7"/>
        <v/>
      </c>
      <c r="BJ22" cm="1">
        <f t="array" ref="BJ22">IF($BD22="",0,IF(ISNUMBER(SEARCH(":",$BI22)),MIN($BF22,SUM(--MID(_xlfn.TEXTSPLIT($BI22,","),FIND(":",_xlfn.TEXTSPLIT($BI22,","))+1,9))),IF(INDEX($N$13:$N$42,$BD22)="",$BF22,MIN($BF22,N(INDEX($N$13:$N$42,$BD22))))))</f>
        <v>0</v>
      </c>
      <c r="BL22" t="str">
        <f>IF(10&gt;$BK$12,"",MATCH(9,$BH$13:$BH$28,1))</f>
        <v/>
      </c>
      <c r="BM22">
        <f>IF($BL22="",0,(9-INDEX($BH$13:$BH$28,$BL22))*24)</f>
        <v>0</v>
      </c>
      <c r="BN22" t="str">
        <f t="shared" si="8"/>
        <v/>
      </c>
      <c r="BO22">
        <f t="shared" si="9"/>
        <v>0</v>
      </c>
      <c r="BP22" t="str">
        <f t="shared" si="10"/>
        <v/>
      </c>
      <c r="BQ22">
        <f t="shared" si="11"/>
        <v>0</v>
      </c>
      <c r="BR22">
        <f>COUNTIF($CB$128:$CB$151,"?*")</f>
        <v>0</v>
      </c>
      <c r="BS22">
        <f>SUMIF($BL$13:$BL$28,10,$BR$13:$BR$28)</f>
        <v>0</v>
      </c>
      <c r="CL22">
        <f>IF($C22="",0,N(IFERROR(INDEX(Catalogo!$N$6:$N$125,MATCH($C22,Catalogo!$C$6:$C$125,0)),0)))</f>
        <v>0</v>
      </c>
      <c r="CM22">
        <f>IF($C22="",0,N(IFERROR(INDEX(Catalogo!$P$6:$P$125,MATCH($C22,Catalogo!$C$6:$C$125,0)),0)))</f>
        <v>0</v>
      </c>
      <c r="CN22">
        <f>IF($C22="",0,N(IFERROR(INDEX(Catalogo!$Q$6:$Q$125,MATCH($C22,Catalogo!$C$6:$C$125,0)),0)))</f>
        <v>0</v>
      </c>
      <c r="CO22">
        <f>IF($C22="",0,IF(OR($AD22="Espacio libre",$AD22="Espacio reservado"),0,IF(IFERROR(INDEX(Catalogo!$N$6:$N$125,MATCH($C22,Catalogo!$C$6:$C$125,0))="",TRUE),1,0)))</f>
        <v>0</v>
      </c>
    </row>
    <row r="23" spans="2:93" ht="14" customHeight="1" x14ac:dyDescent="0.45">
      <c r="B23" s="9">
        <v>11</v>
      </c>
      <c r="C23" s="47"/>
      <c r="D23" s="38"/>
      <c r="E23" s="39"/>
      <c r="F23" s="48" t="str">
        <f>IF($C23="","",IFERROR(INDEX(Catalogo!$E$6:$E$125,MATCH($C23,Catalogo!$C$6:$C$125,0)),""))</f>
        <v/>
      </c>
      <c r="G23" s="39"/>
      <c r="H23" s="9" t="str">
        <f>IF($C23="","",N(IFERROR(INDEX(Catalogo!$F$6:$F$125,MATCH($C23,Catalogo!$C$6:$C$125,0)),"")))</f>
        <v/>
      </c>
      <c r="I23" s="9" t="str">
        <f>IF($AD23&lt;&gt;"Patch panel cobre","",IFERROR(INDEX(Catalogo!$G$6:$G$125,MATCH($C23,Catalogo!$C$6:$C$125,0)),""))</f>
        <v/>
      </c>
      <c r="J23" s="9" t="str">
        <f>IF(OR($C23="",$H23=0),"",$AR$5-SUM($H$13:H22))</f>
        <v/>
      </c>
      <c r="K23" s="9" t="str">
        <f t="shared" si="0"/>
        <v/>
      </c>
      <c r="L23" s="9" t="str">
        <f t="shared" si="1"/>
        <v/>
      </c>
      <c r="M23" s="6"/>
      <c r="N23" s="6"/>
      <c r="O23" s="12" t="str">
        <f t="shared" si="2"/>
        <v/>
      </c>
      <c r="P23" s="37"/>
      <c r="Q23" s="39"/>
      <c r="R23" s="40"/>
      <c r="S23" s="13">
        <v>35</v>
      </c>
      <c r="T23" s="49" t="str">
        <f>IF($AM23=0,"",IF(INDEX($J$13:$J$42,$AM23)=35,INDEX($AH$13:$AH$42,$AM23),""))</f>
        <v/>
      </c>
      <c r="U23" s="38"/>
      <c r="V23" s="39"/>
      <c r="W23" s="13">
        <v>35</v>
      </c>
      <c r="X23" s="40"/>
      <c r="AD23" t="str">
        <f>IF($C23="","",IFERROR(INDEX(Catalogo!$B$6:$B$125,MATCH($C23,Catalogo!$C$6:$C$125,0)),""))</f>
        <v/>
      </c>
      <c r="AE23" t="str">
        <f>IF($AD23="Patch panel cobre",COUNTIF($AD$13:$AD23,"Patch panel cobre"),"")</f>
        <v/>
      </c>
      <c r="AH23" t="str">
        <f t="shared" si="3"/>
        <v/>
      </c>
      <c r="AM23">
        <f>IFERROR(MATCH(1,INDEX(($K$13:$K$42&lt;=35)*($J$13:$J$42&gt;=35),0),0),0)</f>
        <v>0</v>
      </c>
      <c r="AN23" t="str">
        <f>IF(35&gt;$AR$5,"Fuera",IF($AM23=0,"",INDEX($AD$13:$AD$42,$AM23)))</f>
        <v/>
      </c>
      <c r="AQ23">
        <f>IF(OR(Proyecto!$C23="",Proyecto!$C23="-"),0,COUNTIF($CA$72:$CA$95,Proyecto!$C23)+COUNTIF($CB$72:$CB$95,Proyecto!$C23)+COUNTIF($CC$72:$CC$95,Proyecto!$C23)+COUNTIF($CD$72:$CD$95,Proyecto!$C23)+COUNTIF($CA$100:$CA$123,Proyecto!$C23)+COUNTIF($CB$100:$CB$123,Proyecto!$C23)+COUNTIF($CC$100:$CC$123,Proyecto!$C23)+COUNTIF($CD$100:$CD$123,Proyecto!$C23)+COUNTIF($CA$128:$CA$151,Proyecto!$C23)+COUNTIF($CB$128:$CB$151,Proyecto!$C23)+COUNTIF($CC$128:$CC$151,Proyecto!$C23)+COUNTIF($CD$128:$CD$151,Proyecto!$C23)+COUNTIF($CA$156:$CA$179,Proyecto!$C23)+COUNTIF($CB$156:$CB$179,Proyecto!$C23)+COUNTIF($CC$156:$CC$179,Proyecto!$C23)+COUNTIF($CD$156:$CD$179,Proyecto!$C23))</f>
        <v>0</v>
      </c>
      <c r="BA23">
        <f>IF(OR(Catalogo!$C23="",Catalogo!$B23="Espacio libre",Catalogo!$B23="Espacio reservado"),0,COUNTIF($C$13:$C$42,Catalogo!$C23)+IF($E$7=Catalogo!$C23,N($K$7),0)+IF($E$8=Catalogo!$C23,N($N$8),0)+IF(Proyecto!$D$12=Catalogo!$C23,$AQ$4,0)+SUMIF($C$49:$C$58,Catalogo!$C23,$K$49:$K$58))</f>
        <v>0</v>
      </c>
      <c r="BD23" t="str">
        <f>IFERROR(MATCH(11,$AE$13:$AE$42,0),"")</f>
        <v/>
      </c>
      <c r="BE23" t="str">
        <f t="shared" si="4"/>
        <v/>
      </c>
      <c r="BF23">
        <f t="shared" si="5"/>
        <v>0</v>
      </c>
      <c r="BG23">
        <f t="shared" si="6"/>
        <v>0</v>
      </c>
      <c r="BH23">
        <f>SUM($BG$13:$BG22)</f>
        <v>2</v>
      </c>
      <c r="BI23" t="str">
        <f t="shared" si="7"/>
        <v/>
      </c>
      <c r="BJ23" cm="1">
        <f t="array" ref="BJ23">IF($BD23="",0,IF(ISNUMBER(SEARCH(":",$BI23)),MIN($BF23,SUM(--MID(_xlfn.TEXTSPLIT($BI23,","),FIND(":",_xlfn.TEXTSPLIT($BI23,","))+1,9))),IF(INDEX($N$13:$N$42,$BD23)="",$BF23,MIN($BF23,N(INDEX($N$13:$N$42,$BD23))))))</f>
        <v>0</v>
      </c>
      <c r="BL23" t="str">
        <f>IF(11&gt;$BK$12,"",MATCH(10,$BH$13:$BH$28,1))</f>
        <v/>
      </c>
      <c r="BM23">
        <f>IF($BL23="",0,(10-INDEX($BH$13:$BH$28,$BL23))*24)</f>
        <v>0</v>
      </c>
      <c r="BN23" t="str">
        <f t="shared" si="8"/>
        <v/>
      </c>
      <c r="BO23">
        <f t="shared" si="9"/>
        <v>0</v>
      </c>
      <c r="BP23" t="str">
        <f t="shared" si="10"/>
        <v/>
      </c>
      <c r="BQ23">
        <f t="shared" si="11"/>
        <v>0</v>
      </c>
      <c r="BR23">
        <f>COUNTIF($CC$128:$CC$151,"?*")</f>
        <v>0</v>
      </c>
      <c r="BS23">
        <f>SUMIF($BL$13:$BL$28,11,$BR$13:$BR$28)</f>
        <v>0</v>
      </c>
      <c r="CL23">
        <f>IF($C23="",0,N(IFERROR(INDEX(Catalogo!$N$6:$N$125,MATCH($C23,Catalogo!$C$6:$C$125,0)),0)))</f>
        <v>0</v>
      </c>
      <c r="CM23">
        <f>IF($C23="",0,N(IFERROR(INDEX(Catalogo!$P$6:$P$125,MATCH($C23,Catalogo!$C$6:$C$125,0)),0)))</f>
        <v>0</v>
      </c>
      <c r="CN23">
        <f>IF($C23="",0,N(IFERROR(INDEX(Catalogo!$Q$6:$Q$125,MATCH($C23,Catalogo!$C$6:$C$125,0)),0)))</f>
        <v>0</v>
      </c>
      <c r="CO23">
        <f>IF($C23="",0,IF(OR($AD23="Espacio libre",$AD23="Espacio reservado"),0,IF(IFERROR(INDEX(Catalogo!$N$6:$N$125,MATCH($C23,Catalogo!$C$6:$C$125,0))="",TRUE),1,0)))</f>
        <v>0</v>
      </c>
    </row>
    <row r="24" spans="2:93" ht="14" customHeight="1" x14ac:dyDescent="0.45">
      <c r="B24" s="9">
        <v>12</v>
      </c>
      <c r="C24" s="47"/>
      <c r="D24" s="38"/>
      <c r="E24" s="39"/>
      <c r="F24" s="48" t="str">
        <f>IF($C24="","",IFERROR(INDEX(Catalogo!$E$6:$E$125,MATCH($C24,Catalogo!$C$6:$C$125,0)),""))</f>
        <v/>
      </c>
      <c r="G24" s="39"/>
      <c r="H24" s="9" t="str">
        <f>IF($C24="","",N(IFERROR(INDEX(Catalogo!$F$6:$F$125,MATCH($C24,Catalogo!$C$6:$C$125,0)),"")))</f>
        <v/>
      </c>
      <c r="I24" s="9" t="str">
        <f>IF($AD24&lt;&gt;"Patch panel cobre","",IFERROR(INDEX(Catalogo!$G$6:$G$125,MATCH($C24,Catalogo!$C$6:$C$125,0)),""))</f>
        <v/>
      </c>
      <c r="J24" s="9" t="str">
        <f>IF(OR($C24="",$H24=0),"",$AR$5-SUM($H$13:H23))</f>
        <v/>
      </c>
      <c r="K24" s="9" t="str">
        <f t="shared" si="0"/>
        <v/>
      </c>
      <c r="L24" s="9" t="str">
        <f t="shared" si="1"/>
        <v/>
      </c>
      <c r="M24" s="6"/>
      <c r="N24" s="6"/>
      <c r="O24" s="12" t="str">
        <f t="shared" si="2"/>
        <v/>
      </c>
      <c r="P24" s="37"/>
      <c r="Q24" s="39"/>
      <c r="R24" s="40"/>
      <c r="S24" s="13">
        <v>34</v>
      </c>
      <c r="T24" s="49" t="str">
        <f>IF($AM24=0,"",IF(INDEX($J$13:$J$42,$AM24)=34,INDEX($AH$13:$AH$42,$AM24),""))</f>
        <v/>
      </c>
      <c r="U24" s="38"/>
      <c r="V24" s="39"/>
      <c r="W24" s="13">
        <v>34</v>
      </c>
      <c r="X24" s="40"/>
      <c r="AD24" t="str">
        <f>IF($C24="","",IFERROR(INDEX(Catalogo!$B$6:$B$125,MATCH($C24,Catalogo!$C$6:$C$125,0)),""))</f>
        <v/>
      </c>
      <c r="AE24" t="str">
        <f>IF($AD24="Patch panel cobre",COUNTIF($AD$13:$AD24,"Patch panel cobre"),"")</f>
        <v/>
      </c>
      <c r="AH24" t="str">
        <f t="shared" si="3"/>
        <v/>
      </c>
      <c r="AM24">
        <f>IFERROR(MATCH(1,INDEX(($K$13:$K$42&lt;=34)*($J$13:$J$42&gt;=34),0),0),0)</f>
        <v>0</v>
      </c>
      <c r="AN24" t="str">
        <f>IF(34&gt;$AR$5,"Fuera",IF($AM24=0,"",INDEX($AD$13:$AD$42,$AM24)))</f>
        <v/>
      </c>
      <c r="AQ24">
        <f>IF(OR(Proyecto!$C24="",Proyecto!$C24="-"),0,COUNTIF($CA$72:$CA$95,Proyecto!$C24)+COUNTIF($CB$72:$CB$95,Proyecto!$C24)+COUNTIF($CC$72:$CC$95,Proyecto!$C24)+COUNTIF($CD$72:$CD$95,Proyecto!$C24)+COUNTIF($CA$100:$CA$123,Proyecto!$C24)+COUNTIF($CB$100:$CB$123,Proyecto!$C24)+COUNTIF($CC$100:$CC$123,Proyecto!$C24)+COUNTIF($CD$100:$CD$123,Proyecto!$C24)+COUNTIF($CA$128:$CA$151,Proyecto!$C24)+COUNTIF($CB$128:$CB$151,Proyecto!$C24)+COUNTIF($CC$128:$CC$151,Proyecto!$C24)+COUNTIF($CD$128:$CD$151,Proyecto!$C24)+COUNTIF($CA$156:$CA$179,Proyecto!$C24)+COUNTIF($CB$156:$CB$179,Proyecto!$C24)+COUNTIF($CC$156:$CC$179,Proyecto!$C24)+COUNTIF($CD$156:$CD$179,Proyecto!$C24))</f>
        <v>0</v>
      </c>
      <c r="BA24">
        <f>IF(OR(Catalogo!$C24="",Catalogo!$B24="Espacio libre",Catalogo!$B24="Espacio reservado"),0,COUNTIF($C$13:$C$42,Catalogo!$C24)+IF($E$7=Catalogo!$C24,N($K$7),0)+IF($E$8=Catalogo!$C24,N($N$8),0)+IF(Proyecto!$D$12=Catalogo!$C24,$AQ$4,0)+SUMIF($C$49:$C$58,Catalogo!$C24,$K$49:$K$58))</f>
        <v>0</v>
      </c>
      <c r="BD24" t="str">
        <f>IFERROR(MATCH(12,$AE$13:$AE$42,0),"")</f>
        <v/>
      </c>
      <c r="BE24" t="str">
        <f t="shared" si="4"/>
        <v/>
      </c>
      <c r="BF24">
        <f t="shared" si="5"/>
        <v>0</v>
      </c>
      <c r="BG24">
        <f t="shared" si="6"/>
        <v>0</v>
      </c>
      <c r="BH24">
        <f>SUM($BG$13:$BG23)</f>
        <v>2</v>
      </c>
      <c r="BI24" t="str">
        <f t="shared" si="7"/>
        <v/>
      </c>
      <c r="BJ24" cm="1">
        <f t="array" ref="BJ24">IF($BD24="",0,IF(ISNUMBER(SEARCH(":",$BI24)),MIN($BF24,SUM(--MID(_xlfn.TEXTSPLIT($BI24,","),FIND(":",_xlfn.TEXTSPLIT($BI24,","))+1,9))),IF(INDEX($N$13:$N$42,$BD24)="",$BF24,MIN($BF24,N(INDEX($N$13:$N$42,$BD24))))))</f>
        <v>0</v>
      </c>
      <c r="BL24" t="str">
        <f>IF(12&gt;$BK$12,"",MATCH(11,$BH$13:$BH$28,1))</f>
        <v/>
      </c>
      <c r="BM24">
        <f>IF($BL24="",0,(11-INDEX($BH$13:$BH$28,$BL24))*24)</f>
        <v>0</v>
      </c>
      <c r="BN24" t="str">
        <f t="shared" si="8"/>
        <v/>
      </c>
      <c r="BO24">
        <f t="shared" si="9"/>
        <v>0</v>
      </c>
      <c r="BP24" t="str">
        <f t="shared" si="10"/>
        <v/>
      </c>
      <c r="BQ24">
        <f t="shared" si="11"/>
        <v>0</v>
      </c>
      <c r="BR24">
        <f>COUNTIF($CD$128:$CD$151,"?*")</f>
        <v>0</v>
      </c>
      <c r="BS24">
        <f>SUMIF($BL$13:$BL$28,12,$BR$13:$BR$28)</f>
        <v>0</v>
      </c>
      <c r="CL24">
        <f>IF($C24="",0,N(IFERROR(INDEX(Catalogo!$N$6:$N$125,MATCH($C24,Catalogo!$C$6:$C$125,0)),0)))</f>
        <v>0</v>
      </c>
      <c r="CM24">
        <f>IF($C24="",0,N(IFERROR(INDEX(Catalogo!$P$6:$P$125,MATCH($C24,Catalogo!$C$6:$C$125,0)),0)))</f>
        <v>0</v>
      </c>
      <c r="CN24">
        <f>IF($C24="",0,N(IFERROR(INDEX(Catalogo!$Q$6:$Q$125,MATCH($C24,Catalogo!$C$6:$C$125,0)),0)))</f>
        <v>0</v>
      </c>
      <c r="CO24">
        <f>IF($C24="",0,IF(OR($AD24="Espacio libre",$AD24="Espacio reservado"),0,IF(IFERROR(INDEX(Catalogo!$N$6:$N$125,MATCH($C24,Catalogo!$C$6:$C$125,0))="",TRUE),1,0)))</f>
        <v>0</v>
      </c>
    </row>
    <row r="25" spans="2:93" ht="14" customHeight="1" x14ac:dyDescent="0.45">
      <c r="B25" s="9">
        <v>13</v>
      </c>
      <c r="C25" s="47"/>
      <c r="D25" s="38"/>
      <c r="E25" s="39"/>
      <c r="F25" s="48" t="str">
        <f>IF($C25="","",IFERROR(INDEX(Catalogo!$E$6:$E$125,MATCH($C25,Catalogo!$C$6:$C$125,0)),""))</f>
        <v/>
      </c>
      <c r="G25" s="39"/>
      <c r="H25" s="9" t="str">
        <f>IF($C25="","",N(IFERROR(INDEX(Catalogo!$F$6:$F$125,MATCH($C25,Catalogo!$C$6:$C$125,0)),"")))</f>
        <v/>
      </c>
      <c r="I25" s="9" t="str">
        <f>IF($AD25&lt;&gt;"Patch panel cobre","",IFERROR(INDEX(Catalogo!$G$6:$G$125,MATCH($C25,Catalogo!$C$6:$C$125,0)),""))</f>
        <v/>
      </c>
      <c r="J25" s="9" t="str">
        <f>IF(OR($C25="",$H25=0),"",$AR$5-SUM($H$13:H24))</f>
        <v/>
      </c>
      <c r="K25" s="9" t="str">
        <f t="shared" si="0"/>
        <v/>
      </c>
      <c r="L25" s="9" t="str">
        <f t="shared" si="1"/>
        <v/>
      </c>
      <c r="M25" s="6"/>
      <c r="N25" s="6"/>
      <c r="O25" s="12" t="str">
        <f t="shared" si="2"/>
        <v/>
      </c>
      <c r="P25" s="37"/>
      <c r="Q25" s="39"/>
      <c r="R25" s="40"/>
      <c r="S25" s="13">
        <v>33</v>
      </c>
      <c r="T25" s="49" t="str">
        <f>IF($AM25=0,"",IF(INDEX($J$13:$J$42,$AM25)=33,INDEX($AH$13:$AH$42,$AM25),""))</f>
        <v/>
      </c>
      <c r="U25" s="38"/>
      <c r="V25" s="39"/>
      <c r="W25" s="13">
        <v>33</v>
      </c>
      <c r="X25" s="40"/>
      <c r="AD25" t="str">
        <f>IF($C25="","",IFERROR(INDEX(Catalogo!$B$6:$B$125,MATCH($C25,Catalogo!$C$6:$C$125,0)),""))</f>
        <v/>
      </c>
      <c r="AE25" t="str">
        <f>IF($AD25="Patch panel cobre",COUNTIF($AD$13:$AD25,"Patch panel cobre"),"")</f>
        <v/>
      </c>
      <c r="AH25" t="str">
        <f t="shared" si="3"/>
        <v/>
      </c>
      <c r="AM25">
        <f>IFERROR(MATCH(1,INDEX(($K$13:$K$42&lt;=33)*($J$13:$J$42&gt;=33),0),0),0)</f>
        <v>0</v>
      </c>
      <c r="AN25" t="str">
        <f>IF(33&gt;$AR$5,"Fuera",IF($AM25=0,"",INDEX($AD$13:$AD$42,$AM25)))</f>
        <v/>
      </c>
      <c r="AQ25">
        <f>IF(OR(Proyecto!$C25="",Proyecto!$C25="-"),0,COUNTIF($CA$72:$CA$95,Proyecto!$C25)+COUNTIF($CB$72:$CB$95,Proyecto!$C25)+COUNTIF($CC$72:$CC$95,Proyecto!$C25)+COUNTIF($CD$72:$CD$95,Proyecto!$C25)+COUNTIF($CA$100:$CA$123,Proyecto!$C25)+COUNTIF($CB$100:$CB$123,Proyecto!$C25)+COUNTIF($CC$100:$CC$123,Proyecto!$C25)+COUNTIF($CD$100:$CD$123,Proyecto!$C25)+COUNTIF($CA$128:$CA$151,Proyecto!$C25)+COUNTIF($CB$128:$CB$151,Proyecto!$C25)+COUNTIF($CC$128:$CC$151,Proyecto!$C25)+COUNTIF($CD$128:$CD$151,Proyecto!$C25)+COUNTIF($CA$156:$CA$179,Proyecto!$C25)+COUNTIF($CB$156:$CB$179,Proyecto!$C25)+COUNTIF($CC$156:$CC$179,Proyecto!$C25)+COUNTIF($CD$156:$CD$179,Proyecto!$C25))</f>
        <v>0</v>
      </c>
      <c r="BA25">
        <f>IF(OR(Catalogo!$C25="",Catalogo!$B25="Espacio libre",Catalogo!$B25="Espacio reservado"),0,COUNTIF($C$13:$C$42,Catalogo!$C25)+IF($E$7=Catalogo!$C25,N($K$7),0)+IF($E$8=Catalogo!$C25,N($N$8),0)+IF(Proyecto!$D$12=Catalogo!$C25,$AQ$4,0)+SUMIF($C$49:$C$58,Catalogo!$C25,$K$49:$K$58))</f>
        <v>0</v>
      </c>
      <c r="BD25" t="str">
        <f>IFERROR(MATCH(13,$AE$13:$AE$42,0),"")</f>
        <v/>
      </c>
      <c r="BE25" t="str">
        <f t="shared" si="4"/>
        <v/>
      </c>
      <c r="BF25">
        <f t="shared" si="5"/>
        <v>0</v>
      </c>
      <c r="BG25">
        <f t="shared" si="6"/>
        <v>0</v>
      </c>
      <c r="BH25">
        <f>SUM($BG$13:$BG24)</f>
        <v>2</v>
      </c>
      <c r="BI25" t="str">
        <f t="shared" si="7"/>
        <v/>
      </c>
      <c r="BJ25" cm="1">
        <f t="array" ref="BJ25">IF($BD25="",0,IF(ISNUMBER(SEARCH(":",$BI25)),MIN($BF25,SUM(--MID(_xlfn.TEXTSPLIT($BI25,","),FIND(":",_xlfn.TEXTSPLIT($BI25,","))+1,9))),IF(INDEX($N$13:$N$42,$BD25)="",$BF25,MIN($BF25,N(INDEX($N$13:$N$42,$BD25))))))</f>
        <v>0</v>
      </c>
      <c r="BL25" t="str">
        <f>IF(13&gt;$BK$12,"",MATCH(12,$BH$13:$BH$28,1))</f>
        <v/>
      </c>
      <c r="BM25">
        <f>IF($BL25="",0,(12-INDEX($BH$13:$BH$28,$BL25))*24)</f>
        <v>0</v>
      </c>
      <c r="BN25" t="str">
        <f t="shared" si="8"/>
        <v/>
      </c>
      <c r="BO25">
        <f t="shared" si="9"/>
        <v>0</v>
      </c>
      <c r="BP25" t="str">
        <f t="shared" si="10"/>
        <v/>
      </c>
      <c r="BQ25">
        <f t="shared" si="11"/>
        <v>0</v>
      </c>
      <c r="BR25">
        <f>COUNTIF($CA$156:$CA$179,"?*")</f>
        <v>0</v>
      </c>
      <c r="BS25">
        <f>SUMIF($BL$13:$BL$28,13,$BR$13:$BR$28)</f>
        <v>0</v>
      </c>
      <c r="CL25">
        <f>IF($C25="",0,N(IFERROR(INDEX(Catalogo!$N$6:$N$125,MATCH($C25,Catalogo!$C$6:$C$125,0)),0)))</f>
        <v>0</v>
      </c>
      <c r="CM25">
        <f>IF($C25="",0,N(IFERROR(INDEX(Catalogo!$P$6:$P$125,MATCH($C25,Catalogo!$C$6:$C$125,0)),0)))</f>
        <v>0</v>
      </c>
      <c r="CN25">
        <f>IF($C25="",0,N(IFERROR(INDEX(Catalogo!$Q$6:$Q$125,MATCH($C25,Catalogo!$C$6:$C$125,0)),0)))</f>
        <v>0</v>
      </c>
      <c r="CO25">
        <f>IF($C25="",0,IF(OR($AD25="Espacio libre",$AD25="Espacio reservado"),0,IF(IFERROR(INDEX(Catalogo!$N$6:$N$125,MATCH($C25,Catalogo!$C$6:$C$125,0))="",TRUE),1,0)))</f>
        <v>0</v>
      </c>
    </row>
    <row r="26" spans="2:93" ht="14" customHeight="1" x14ac:dyDescent="0.45">
      <c r="B26" s="9">
        <v>14</v>
      </c>
      <c r="C26" s="47"/>
      <c r="D26" s="38"/>
      <c r="E26" s="39"/>
      <c r="F26" s="48" t="str">
        <f>IF($C26="","",IFERROR(INDEX(Catalogo!$E$6:$E$125,MATCH($C26,Catalogo!$C$6:$C$125,0)),""))</f>
        <v/>
      </c>
      <c r="G26" s="39"/>
      <c r="H26" s="9" t="str">
        <f>IF($C26="","",N(IFERROR(INDEX(Catalogo!$F$6:$F$125,MATCH($C26,Catalogo!$C$6:$C$125,0)),"")))</f>
        <v/>
      </c>
      <c r="I26" s="9" t="str">
        <f>IF($AD26&lt;&gt;"Patch panel cobre","",IFERROR(INDEX(Catalogo!$G$6:$G$125,MATCH($C26,Catalogo!$C$6:$C$125,0)),""))</f>
        <v/>
      </c>
      <c r="J26" s="9" t="str">
        <f>IF(OR($C26="",$H26=0),"",$AR$5-SUM($H$13:H25))</f>
        <v/>
      </c>
      <c r="K26" s="9" t="str">
        <f t="shared" si="0"/>
        <v/>
      </c>
      <c r="L26" s="9" t="str">
        <f t="shared" si="1"/>
        <v/>
      </c>
      <c r="M26" s="6"/>
      <c r="N26" s="6"/>
      <c r="O26" s="12" t="str">
        <f t="shared" si="2"/>
        <v/>
      </c>
      <c r="P26" s="37"/>
      <c r="Q26" s="39"/>
      <c r="R26" s="40"/>
      <c r="S26" s="13">
        <v>32</v>
      </c>
      <c r="T26" s="49" t="str">
        <f>IF($AM26=0,"",IF(INDEX($J$13:$J$42,$AM26)=32,INDEX($AH$13:$AH$42,$AM26),""))</f>
        <v/>
      </c>
      <c r="U26" s="38"/>
      <c r="V26" s="39"/>
      <c r="W26" s="13">
        <v>32</v>
      </c>
      <c r="X26" s="40"/>
      <c r="AD26" t="str">
        <f>IF($C26="","",IFERROR(INDEX(Catalogo!$B$6:$B$125,MATCH($C26,Catalogo!$C$6:$C$125,0)),""))</f>
        <v/>
      </c>
      <c r="AE26" t="str">
        <f>IF($AD26="Patch panel cobre",COUNTIF($AD$13:$AD26,"Patch panel cobre"),"")</f>
        <v/>
      </c>
      <c r="AH26" t="str">
        <f t="shared" si="3"/>
        <v/>
      </c>
      <c r="AM26">
        <f>IFERROR(MATCH(1,INDEX(($K$13:$K$42&lt;=32)*($J$13:$J$42&gt;=32),0),0),0)</f>
        <v>0</v>
      </c>
      <c r="AN26" t="str">
        <f>IF(32&gt;$AR$5,"Fuera",IF($AM26=0,"",INDEX($AD$13:$AD$42,$AM26)))</f>
        <v/>
      </c>
      <c r="AQ26">
        <f>IF(OR(Proyecto!$C26="",Proyecto!$C26="-"),0,COUNTIF($CA$72:$CA$95,Proyecto!$C26)+COUNTIF($CB$72:$CB$95,Proyecto!$C26)+COUNTIF($CC$72:$CC$95,Proyecto!$C26)+COUNTIF($CD$72:$CD$95,Proyecto!$C26)+COUNTIF($CA$100:$CA$123,Proyecto!$C26)+COUNTIF($CB$100:$CB$123,Proyecto!$C26)+COUNTIF($CC$100:$CC$123,Proyecto!$C26)+COUNTIF($CD$100:$CD$123,Proyecto!$C26)+COUNTIF($CA$128:$CA$151,Proyecto!$C26)+COUNTIF($CB$128:$CB$151,Proyecto!$C26)+COUNTIF($CC$128:$CC$151,Proyecto!$C26)+COUNTIF($CD$128:$CD$151,Proyecto!$C26)+COUNTIF($CA$156:$CA$179,Proyecto!$C26)+COUNTIF($CB$156:$CB$179,Proyecto!$C26)+COUNTIF($CC$156:$CC$179,Proyecto!$C26)+COUNTIF($CD$156:$CD$179,Proyecto!$C26))</f>
        <v>0</v>
      </c>
      <c r="BA26">
        <f>IF(OR(Catalogo!$C26="",Catalogo!$B26="Espacio libre",Catalogo!$B26="Espacio reservado"),0,COUNTIF($C$13:$C$42,Catalogo!$C26)+IF($E$7=Catalogo!$C26,N($K$7),0)+IF($E$8=Catalogo!$C26,N($N$8),0)+IF(Proyecto!$D$12=Catalogo!$C26,$AQ$4,0)+SUMIF($C$49:$C$58,Catalogo!$C26,$K$49:$K$58))</f>
        <v>0</v>
      </c>
      <c r="BD26" t="str">
        <f>IFERROR(MATCH(14,$AE$13:$AE$42,0),"")</f>
        <v/>
      </c>
      <c r="BE26" t="str">
        <f t="shared" si="4"/>
        <v/>
      </c>
      <c r="BF26">
        <f t="shared" si="5"/>
        <v>0</v>
      </c>
      <c r="BG26">
        <f t="shared" si="6"/>
        <v>0</v>
      </c>
      <c r="BH26">
        <f>SUM($BG$13:$BG25)</f>
        <v>2</v>
      </c>
      <c r="BI26" t="str">
        <f t="shared" si="7"/>
        <v/>
      </c>
      <c r="BJ26" cm="1">
        <f t="array" ref="BJ26">IF($BD26="",0,IF(ISNUMBER(SEARCH(":",$BI26)),MIN($BF26,SUM(--MID(_xlfn.TEXTSPLIT($BI26,","),FIND(":",_xlfn.TEXTSPLIT($BI26,","))+1,9))),IF(INDEX($N$13:$N$42,$BD26)="",$BF26,MIN($BF26,N(INDEX($N$13:$N$42,$BD26))))))</f>
        <v>0</v>
      </c>
      <c r="BL26" t="str">
        <f>IF(14&gt;$BK$12,"",MATCH(13,$BH$13:$BH$28,1))</f>
        <v/>
      </c>
      <c r="BM26">
        <f>IF($BL26="",0,(13-INDEX($BH$13:$BH$28,$BL26))*24)</f>
        <v>0</v>
      </c>
      <c r="BN26" t="str">
        <f t="shared" si="8"/>
        <v/>
      </c>
      <c r="BO26">
        <f t="shared" si="9"/>
        <v>0</v>
      </c>
      <c r="BP26" t="str">
        <f t="shared" si="10"/>
        <v/>
      </c>
      <c r="BQ26">
        <f t="shared" si="11"/>
        <v>0</v>
      </c>
      <c r="BR26">
        <f>COUNTIF($CB$156:$CB$179,"?*")</f>
        <v>0</v>
      </c>
      <c r="BS26">
        <f>SUMIF($BL$13:$BL$28,14,$BR$13:$BR$28)</f>
        <v>0</v>
      </c>
      <c r="CL26">
        <f>IF($C26="",0,N(IFERROR(INDEX(Catalogo!$N$6:$N$125,MATCH($C26,Catalogo!$C$6:$C$125,0)),0)))</f>
        <v>0</v>
      </c>
      <c r="CM26">
        <f>IF($C26="",0,N(IFERROR(INDEX(Catalogo!$P$6:$P$125,MATCH($C26,Catalogo!$C$6:$C$125,0)),0)))</f>
        <v>0</v>
      </c>
      <c r="CN26">
        <f>IF($C26="",0,N(IFERROR(INDEX(Catalogo!$Q$6:$Q$125,MATCH($C26,Catalogo!$C$6:$C$125,0)),0)))</f>
        <v>0</v>
      </c>
      <c r="CO26">
        <f>IF($C26="",0,IF(OR($AD26="Espacio libre",$AD26="Espacio reservado"),0,IF(IFERROR(INDEX(Catalogo!$N$6:$N$125,MATCH($C26,Catalogo!$C$6:$C$125,0))="",TRUE),1,0)))</f>
        <v>0</v>
      </c>
    </row>
    <row r="27" spans="2:93" ht="14" customHeight="1" x14ac:dyDescent="0.45">
      <c r="B27" s="9">
        <v>15</v>
      </c>
      <c r="C27" s="47"/>
      <c r="D27" s="38"/>
      <c r="E27" s="39"/>
      <c r="F27" s="48" t="str">
        <f>IF($C27="","",IFERROR(INDEX(Catalogo!$E$6:$E$125,MATCH($C27,Catalogo!$C$6:$C$125,0)),""))</f>
        <v/>
      </c>
      <c r="G27" s="39"/>
      <c r="H27" s="9" t="str">
        <f>IF($C27="","",N(IFERROR(INDEX(Catalogo!$F$6:$F$125,MATCH($C27,Catalogo!$C$6:$C$125,0)),"")))</f>
        <v/>
      </c>
      <c r="I27" s="9" t="str">
        <f>IF($AD27&lt;&gt;"Patch panel cobre","",IFERROR(INDEX(Catalogo!$G$6:$G$125,MATCH($C27,Catalogo!$C$6:$C$125,0)),""))</f>
        <v/>
      </c>
      <c r="J27" s="9" t="str">
        <f>IF(OR($C27="",$H27=0),"",$AR$5-SUM($H$13:H26))</f>
        <v/>
      </c>
      <c r="K27" s="9" t="str">
        <f t="shared" si="0"/>
        <v/>
      </c>
      <c r="L27" s="9" t="str">
        <f t="shared" si="1"/>
        <v/>
      </c>
      <c r="M27" s="6"/>
      <c r="N27" s="6"/>
      <c r="O27" s="12" t="str">
        <f t="shared" si="2"/>
        <v/>
      </c>
      <c r="P27" s="37"/>
      <c r="Q27" s="39"/>
      <c r="R27" s="40"/>
      <c r="S27" s="13">
        <v>31</v>
      </c>
      <c r="T27" s="49" t="str">
        <f>IF($AM27=0,"",IF(INDEX($J$13:$J$42,$AM27)=31,INDEX($AH$13:$AH$42,$AM27),""))</f>
        <v/>
      </c>
      <c r="U27" s="38"/>
      <c r="V27" s="39"/>
      <c r="W27" s="13">
        <v>31</v>
      </c>
      <c r="X27" s="40"/>
      <c r="AD27" t="str">
        <f>IF($C27="","",IFERROR(INDEX(Catalogo!$B$6:$B$125,MATCH($C27,Catalogo!$C$6:$C$125,0)),""))</f>
        <v/>
      </c>
      <c r="AE27" t="str">
        <f>IF($AD27="Patch panel cobre",COUNTIF($AD$13:$AD27,"Patch panel cobre"),"")</f>
        <v/>
      </c>
      <c r="AH27" t="str">
        <f t="shared" si="3"/>
        <v/>
      </c>
      <c r="AM27">
        <f>IFERROR(MATCH(1,INDEX(($K$13:$K$42&lt;=31)*($J$13:$J$42&gt;=31),0),0),0)</f>
        <v>0</v>
      </c>
      <c r="AN27" t="str">
        <f>IF(31&gt;$AR$5,"Fuera",IF($AM27=0,"",INDEX($AD$13:$AD$42,$AM27)))</f>
        <v/>
      </c>
      <c r="AQ27">
        <f>IF(OR(Proyecto!$C27="",Proyecto!$C27="-"),0,COUNTIF($CA$72:$CA$95,Proyecto!$C27)+COUNTIF($CB$72:$CB$95,Proyecto!$C27)+COUNTIF($CC$72:$CC$95,Proyecto!$C27)+COUNTIF($CD$72:$CD$95,Proyecto!$C27)+COUNTIF($CA$100:$CA$123,Proyecto!$C27)+COUNTIF($CB$100:$CB$123,Proyecto!$C27)+COUNTIF($CC$100:$CC$123,Proyecto!$C27)+COUNTIF($CD$100:$CD$123,Proyecto!$C27)+COUNTIF($CA$128:$CA$151,Proyecto!$C27)+COUNTIF($CB$128:$CB$151,Proyecto!$C27)+COUNTIF($CC$128:$CC$151,Proyecto!$C27)+COUNTIF($CD$128:$CD$151,Proyecto!$C27)+COUNTIF($CA$156:$CA$179,Proyecto!$C27)+COUNTIF($CB$156:$CB$179,Proyecto!$C27)+COUNTIF($CC$156:$CC$179,Proyecto!$C27)+COUNTIF($CD$156:$CD$179,Proyecto!$C27))</f>
        <v>0</v>
      </c>
      <c r="BA27">
        <f>IF(OR(Catalogo!$C27="",Catalogo!$B27="Espacio libre",Catalogo!$B27="Espacio reservado"),0,COUNTIF($C$13:$C$42,Catalogo!$C27)+IF($E$7=Catalogo!$C27,N($K$7),0)+IF($E$8=Catalogo!$C27,N($N$8),0)+IF(Proyecto!$D$12=Catalogo!$C27,$AQ$4,0)+SUMIF($C$49:$C$58,Catalogo!$C27,$K$49:$K$58))</f>
        <v>0</v>
      </c>
      <c r="BD27" t="str">
        <f>IFERROR(MATCH(15,$AE$13:$AE$42,0),"")</f>
        <v/>
      </c>
      <c r="BE27" t="str">
        <f t="shared" si="4"/>
        <v/>
      </c>
      <c r="BF27">
        <f t="shared" si="5"/>
        <v>0</v>
      </c>
      <c r="BG27">
        <f t="shared" si="6"/>
        <v>0</v>
      </c>
      <c r="BH27">
        <f>SUM($BG$13:$BG26)</f>
        <v>2</v>
      </c>
      <c r="BI27" t="str">
        <f t="shared" si="7"/>
        <v/>
      </c>
      <c r="BJ27" cm="1">
        <f t="array" ref="BJ27">IF($BD27="",0,IF(ISNUMBER(SEARCH(":",$BI27)),MIN($BF27,SUM(--MID(_xlfn.TEXTSPLIT($BI27,","),FIND(":",_xlfn.TEXTSPLIT($BI27,","))+1,9))),IF(INDEX($N$13:$N$42,$BD27)="",$BF27,MIN($BF27,N(INDEX($N$13:$N$42,$BD27))))))</f>
        <v>0</v>
      </c>
      <c r="BL27" t="str">
        <f>IF(15&gt;$BK$12,"",MATCH(14,$BH$13:$BH$28,1))</f>
        <v/>
      </c>
      <c r="BM27">
        <f>IF($BL27="",0,(14-INDEX($BH$13:$BH$28,$BL27))*24)</f>
        <v>0</v>
      </c>
      <c r="BN27" t="str">
        <f t="shared" si="8"/>
        <v/>
      </c>
      <c r="BO27">
        <f t="shared" si="9"/>
        <v>0</v>
      </c>
      <c r="BP27" t="str">
        <f t="shared" si="10"/>
        <v/>
      </c>
      <c r="BQ27">
        <f t="shared" si="11"/>
        <v>0</v>
      </c>
      <c r="BR27">
        <f>COUNTIF($CC$156:$CC$179,"?*")</f>
        <v>0</v>
      </c>
      <c r="BS27">
        <f>SUMIF($BL$13:$BL$28,15,$BR$13:$BR$28)</f>
        <v>0</v>
      </c>
      <c r="CL27">
        <f>IF($C27="",0,N(IFERROR(INDEX(Catalogo!$N$6:$N$125,MATCH($C27,Catalogo!$C$6:$C$125,0)),0)))</f>
        <v>0</v>
      </c>
      <c r="CM27">
        <f>IF($C27="",0,N(IFERROR(INDEX(Catalogo!$P$6:$P$125,MATCH($C27,Catalogo!$C$6:$C$125,0)),0)))</f>
        <v>0</v>
      </c>
      <c r="CN27">
        <f>IF($C27="",0,N(IFERROR(INDEX(Catalogo!$Q$6:$Q$125,MATCH($C27,Catalogo!$C$6:$C$125,0)),0)))</f>
        <v>0</v>
      </c>
      <c r="CO27">
        <f>IF($C27="",0,IF(OR($AD27="Espacio libre",$AD27="Espacio reservado"),0,IF(IFERROR(INDEX(Catalogo!$N$6:$N$125,MATCH($C27,Catalogo!$C$6:$C$125,0))="",TRUE),1,0)))</f>
        <v>0</v>
      </c>
    </row>
    <row r="28" spans="2:93" ht="14" customHeight="1" x14ac:dyDescent="0.45">
      <c r="B28" s="9">
        <v>16</v>
      </c>
      <c r="C28" s="47"/>
      <c r="D28" s="38"/>
      <c r="E28" s="39"/>
      <c r="F28" s="48" t="str">
        <f>IF($C28="","",IFERROR(INDEX(Catalogo!$E$6:$E$125,MATCH($C28,Catalogo!$C$6:$C$125,0)),""))</f>
        <v/>
      </c>
      <c r="G28" s="39"/>
      <c r="H28" s="9" t="str">
        <f>IF($C28="","",N(IFERROR(INDEX(Catalogo!$F$6:$F$125,MATCH($C28,Catalogo!$C$6:$C$125,0)),"")))</f>
        <v/>
      </c>
      <c r="I28" s="9" t="str">
        <f>IF($AD28&lt;&gt;"Patch panel cobre","",IFERROR(INDEX(Catalogo!$G$6:$G$125,MATCH($C28,Catalogo!$C$6:$C$125,0)),""))</f>
        <v/>
      </c>
      <c r="J28" s="9" t="str">
        <f>IF(OR($C28="",$H28=0),"",$AR$5-SUM($H$13:H27))</f>
        <v/>
      </c>
      <c r="K28" s="9" t="str">
        <f t="shared" si="0"/>
        <v/>
      </c>
      <c r="L28" s="9" t="str">
        <f t="shared" si="1"/>
        <v/>
      </c>
      <c r="M28" s="6"/>
      <c r="N28" s="6"/>
      <c r="O28" s="12" t="str">
        <f t="shared" si="2"/>
        <v/>
      </c>
      <c r="P28" s="37"/>
      <c r="Q28" s="39"/>
      <c r="R28" s="40"/>
      <c r="S28" s="13">
        <v>30</v>
      </c>
      <c r="T28" s="49" t="str">
        <f>IF($AM28=0,"",IF(INDEX($J$13:$J$42,$AM28)=30,INDEX($AH$13:$AH$42,$AM28),""))</f>
        <v/>
      </c>
      <c r="U28" s="38"/>
      <c r="V28" s="39"/>
      <c r="W28" s="13">
        <v>30</v>
      </c>
      <c r="X28" s="40"/>
      <c r="AD28" t="str">
        <f>IF($C28="","",IFERROR(INDEX(Catalogo!$B$6:$B$125,MATCH($C28,Catalogo!$C$6:$C$125,0)),""))</f>
        <v/>
      </c>
      <c r="AE28" t="str">
        <f>IF($AD28="Patch panel cobre",COUNTIF($AD$13:$AD28,"Patch panel cobre"),"")</f>
        <v/>
      </c>
      <c r="AH28" t="str">
        <f t="shared" si="3"/>
        <v/>
      </c>
      <c r="AM28">
        <f>IFERROR(MATCH(1,INDEX(($K$13:$K$42&lt;=30)*($J$13:$J$42&gt;=30),0),0),0)</f>
        <v>0</v>
      </c>
      <c r="AN28" t="str">
        <f>IF(30&gt;$AR$5,"Fuera",IF($AM28=0,"",INDEX($AD$13:$AD$42,$AM28)))</f>
        <v/>
      </c>
      <c r="BA28">
        <f>IF(OR(Catalogo!$C28="",Catalogo!$B28="Espacio libre",Catalogo!$B28="Espacio reservado"),0,COUNTIF($C$13:$C$42,Catalogo!$C28)+IF($E$7=Catalogo!$C28,N($K$7),0)+IF($E$8=Catalogo!$C28,N($N$8),0)+IF(Proyecto!$D$12=Catalogo!$C28,$AQ$4,0)+SUMIF($C$49:$C$58,Catalogo!$C28,$K$49:$K$58))</f>
        <v>0</v>
      </c>
      <c r="BD28" t="str">
        <f>IFERROR(MATCH(16,$AE$13:$AE$42,0),"")</f>
        <v/>
      </c>
      <c r="BE28" t="str">
        <f t="shared" si="4"/>
        <v/>
      </c>
      <c r="BF28">
        <f t="shared" si="5"/>
        <v>0</v>
      </c>
      <c r="BG28">
        <f t="shared" si="6"/>
        <v>0</v>
      </c>
      <c r="BH28">
        <f>SUM($BG$13:$BG27)</f>
        <v>2</v>
      </c>
      <c r="BI28" t="str">
        <f t="shared" si="7"/>
        <v/>
      </c>
      <c r="BJ28" cm="1">
        <f t="array" ref="BJ28">IF($BD28="",0,IF(ISNUMBER(SEARCH(":",$BI28)),MIN($BF28,SUM(--MID(_xlfn.TEXTSPLIT($BI28,","),FIND(":",_xlfn.TEXTSPLIT($BI28,","))+1,9))),IF(INDEX($N$13:$N$42,$BD28)="",$BF28,MIN($BF28,N(INDEX($N$13:$N$42,$BD28))))))</f>
        <v>0</v>
      </c>
      <c r="BL28" t="str">
        <f>IF(16&gt;$BK$12,"",MATCH(15,$BH$13:$BH$28,1))</f>
        <v/>
      </c>
      <c r="BM28">
        <f>IF($BL28="",0,(15-INDEX($BH$13:$BH$28,$BL28))*24)</f>
        <v>0</v>
      </c>
      <c r="BN28" t="str">
        <f t="shared" si="8"/>
        <v/>
      </c>
      <c r="BO28">
        <f t="shared" si="9"/>
        <v>0</v>
      </c>
      <c r="BP28" t="str">
        <f t="shared" si="10"/>
        <v/>
      </c>
      <c r="BQ28">
        <f t="shared" si="11"/>
        <v>0</v>
      </c>
      <c r="BR28">
        <f>COUNTIF($CD$156:$CD$179,"?*")</f>
        <v>0</v>
      </c>
      <c r="BS28">
        <f>SUMIF($BL$13:$BL$28,16,$BR$13:$BR$28)</f>
        <v>0</v>
      </c>
      <c r="CL28">
        <f>IF($C28="",0,N(IFERROR(INDEX(Catalogo!$N$6:$N$125,MATCH($C28,Catalogo!$C$6:$C$125,0)),0)))</f>
        <v>0</v>
      </c>
      <c r="CM28">
        <f>IF($C28="",0,N(IFERROR(INDEX(Catalogo!$P$6:$P$125,MATCH($C28,Catalogo!$C$6:$C$125,0)),0)))</f>
        <v>0</v>
      </c>
      <c r="CN28">
        <f>IF($C28="",0,N(IFERROR(INDEX(Catalogo!$Q$6:$Q$125,MATCH($C28,Catalogo!$C$6:$C$125,0)),0)))</f>
        <v>0</v>
      </c>
      <c r="CO28">
        <f>IF($C28="",0,IF(OR($AD28="Espacio libre",$AD28="Espacio reservado"),0,IF(IFERROR(INDEX(Catalogo!$N$6:$N$125,MATCH($C28,Catalogo!$C$6:$C$125,0))="",TRUE),1,0)))</f>
        <v>0</v>
      </c>
    </row>
    <row r="29" spans="2:93" ht="14" customHeight="1" x14ac:dyDescent="0.45">
      <c r="B29" s="9">
        <v>17</v>
      </c>
      <c r="C29" s="47"/>
      <c r="D29" s="38"/>
      <c r="E29" s="39"/>
      <c r="F29" s="48" t="str">
        <f>IF($C29="","",IFERROR(INDEX(Catalogo!$E$6:$E$125,MATCH($C29,Catalogo!$C$6:$C$125,0)),""))</f>
        <v/>
      </c>
      <c r="G29" s="39"/>
      <c r="H29" s="9" t="str">
        <f>IF($C29="","",N(IFERROR(INDEX(Catalogo!$F$6:$F$125,MATCH($C29,Catalogo!$C$6:$C$125,0)),"")))</f>
        <v/>
      </c>
      <c r="I29" s="9" t="str">
        <f>IF($AD29&lt;&gt;"Patch panel cobre","",IFERROR(INDEX(Catalogo!$G$6:$G$125,MATCH($C29,Catalogo!$C$6:$C$125,0)),""))</f>
        <v/>
      </c>
      <c r="J29" s="9" t="str">
        <f>IF(OR($C29="",$H29=0),"",$AR$5-SUM($H$13:H28))</f>
        <v/>
      </c>
      <c r="K29" s="9" t="str">
        <f t="shared" si="0"/>
        <v/>
      </c>
      <c r="L29" s="9" t="str">
        <f t="shared" si="1"/>
        <v/>
      </c>
      <c r="M29" s="6"/>
      <c r="N29" s="6"/>
      <c r="O29" s="12" t="str">
        <f t="shared" si="2"/>
        <v/>
      </c>
      <c r="P29" s="37"/>
      <c r="Q29" s="39"/>
      <c r="R29" s="40"/>
      <c r="S29" s="13">
        <v>29</v>
      </c>
      <c r="T29" s="49" t="str">
        <f>IF($AM29=0,"",IF(INDEX($J$13:$J$42,$AM29)=29,INDEX($AH$13:$AH$42,$AM29),""))</f>
        <v/>
      </c>
      <c r="U29" s="38"/>
      <c r="V29" s="39"/>
      <c r="W29" s="13">
        <v>29</v>
      </c>
      <c r="X29" s="40"/>
      <c r="AD29" t="str">
        <f>IF($C29="","",IFERROR(INDEX(Catalogo!$B$6:$B$125,MATCH($C29,Catalogo!$C$6:$C$125,0)),""))</f>
        <v/>
      </c>
      <c r="AE29" t="str">
        <f>IF($AD29="Patch panel cobre",COUNTIF($AD$13:$AD29,"Patch panel cobre"),"")</f>
        <v/>
      </c>
      <c r="AH29" t="str">
        <f t="shared" si="3"/>
        <v/>
      </c>
      <c r="AM29">
        <f>IFERROR(MATCH(1,INDEX(($K$13:$K$42&lt;=29)*($J$13:$J$42&gt;=29),0),0),0)</f>
        <v>0</v>
      </c>
      <c r="AN29" t="str">
        <f>IF(29&gt;$AR$5,"Fuera",IF($AM29=0,"",INDEX($AD$13:$AD$42,$AM29)))</f>
        <v/>
      </c>
      <c r="BA29">
        <f>IF(OR(Catalogo!$C29="",Catalogo!$B29="Espacio libre",Catalogo!$B29="Espacio reservado"),0,COUNTIF($C$13:$C$42,Catalogo!$C29)+IF($E$7=Catalogo!$C29,N($K$7),0)+IF($E$8=Catalogo!$C29,N($N$8),0)+IF(Proyecto!$D$12=Catalogo!$C29,$AQ$4,0)+SUMIF($C$49:$C$58,Catalogo!$C29,$K$49:$K$58))</f>
        <v>0</v>
      </c>
      <c r="CL29">
        <f>IF($C29="",0,N(IFERROR(INDEX(Catalogo!$N$6:$N$125,MATCH($C29,Catalogo!$C$6:$C$125,0)),0)))</f>
        <v>0</v>
      </c>
      <c r="CM29">
        <f>IF($C29="",0,N(IFERROR(INDEX(Catalogo!$P$6:$P$125,MATCH($C29,Catalogo!$C$6:$C$125,0)),0)))</f>
        <v>0</v>
      </c>
      <c r="CN29">
        <f>IF($C29="",0,N(IFERROR(INDEX(Catalogo!$Q$6:$Q$125,MATCH($C29,Catalogo!$C$6:$C$125,0)),0)))</f>
        <v>0</v>
      </c>
      <c r="CO29">
        <f>IF($C29="",0,IF(OR($AD29="Espacio libre",$AD29="Espacio reservado"),0,IF(IFERROR(INDEX(Catalogo!$N$6:$N$125,MATCH($C29,Catalogo!$C$6:$C$125,0))="",TRUE),1,0)))</f>
        <v>0</v>
      </c>
    </row>
    <row r="30" spans="2:93" ht="14" customHeight="1" x14ac:dyDescent="0.45">
      <c r="B30" s="9">
        <v>18</v>
      </c>
      <c r="C30" s="47"/>
      <c r="D30" s="38"/>
      <c r="E30" s="39"/>
      <c r="F30" s="48" t="str">
        <f>IF($C30="","",IFERROR(INDEX(Catalogo!$E$6:$E$125,MATCH($C30,Catalogo!$C$6:$C$125,0)),""))</f>
        <v/>
      </c>
      <c r="G30" s="39"/>
      <c r="H30" s="9" t="str">
        <f>IF($C30="","",N(IFERROR(INDEX(Catalogo!$F$6:$F$125,MATCH($C30,Catalogo!$C$6:$C$125,0)),"")))</f>
        <v/>
      </c>
      <c r="I30" s="9" t="str">
        <f>IF($AD30&lt;&gt;"Patch panel cobre","",IFERROR(INDEX(Catalogo!$G$6:$G$125,MATCH($C30,Catalogo!$C$6:$C$125,0)),""))</f>
        <v/>
      </c>
      <c r="J30" s="9" t="str">
        <f>IF(OR($C30="",$H30=0),"",$AR$5-SUM($H$13:H29))</f>
        <v/>
      </c>
      <c r="K30" s="9" t="str">
        <f t="shared" si="0"/>
        <v/>
      </c>
      <c r="L30" s="9" t="str">
        <f t="shared" si="1"/>
        <v/>
      </c>
      <c r="M30" s="6"/>
      <c r="N30" s="6"/>
      <c r="O30" s="12" t="str">
        <f t="shared" si="2"/>
        <v/>
      </c>
      <c r="P30" s="37"/>
      <c r="Q30" s="39"/>
      <c r="R30" s="40"/>
      <c r="S30" s="13">
        <v>28</v>
      </c>
      <c r="T30" s="49" t="str">
        <f>IF($AM30=0,"",IF(INDEX($J$13:$J$42,$AM30)=28,INDEX($AH$13:$AH$42,$AM30),""))</f>
        <v/>
      </c>
      <c r="U30" s="38"/>
      <c r="V30" s="39"/>
      <c r="W30" s="13">
        <v>28</v>
      </c>
      <c r="X30" s="40"/>
      <c r="AD30" t="str">
        <f>IF($C30="","",IFERROR(INDEX(Catalogo!$B$6:$B$125,MATCH($C30,Catalogo!$C$6:$C$125,0)),""))</f>
        <v/>
      </c>
      <c r="AE30" t="str">
        <f>IF($AD30="Patch panel cobre",COUNTIF($AD$13:$AD30,"Patch panel cobre"),"")</f>
        <v/>
      </c>
      <c r="AH30" t="str">
        <f t="shared" si="3"/>
        <v/>
      </c>
      <c r="AM30">
        <f>IFERROR(MATCH(1,INDEX(($K$13:$K$42&lt;=28)*($J$13:$J$42&gt;=28),0),0),0)</f>
        <v>0</v>
      </c>
      <c r="AN30" t="str">
        <f>IF(28&gt;$AR$5,"Fuera",IF($AM30=0,"",INDEX($AD$13:$AD$42,$AM30)))</f>
        <v/>
      </c>
      <c r="BA30">
        <f>IF(OR(Catalogo!$C30="",Catalogo!$B30="Espacio libre",Catalogo!$B30="Espacio reservado"),0,COUNTIF($C$13:$C$42,Catalogo!$C30)+IF($E$7=Catalogo!$C30,N($K$7),0)+IF($E$8=Catalogo!$C30,N($N$8),0)+IF(Proyecto!$D$12=Catalogo!$C30,$AQ$4,0)+SUMIF($C$49:$C$58,Catalogo!$C30,$K$49:$K$58))</f>
        <v>0</v>
      </c>
      <c r="CL30">
        <f>IF($C30="",0,N(IFERROR(INDEX(Catalogo!$N$6:$N$125,MATCH($C30,Catalogo!$C$6:$C$125,0)),0)))</f>
        <v>0</v>
      </c>
      <c r="CM30">
        <f>IF($C30="",0,N(IFERROR(INDEX(Catalogo!$P$6:$P$125,MATCH($C30,Catalogo!$C$6:$C$125,0)),0)))</f>
        <v>0</v>
      </c>
      <c r="CN30">
        <f>IF($C30="",0,N(IFERROR(INDEX(Catalogo!$Q$6:$Q$125,MATCH($C30,Catalogo!$C$6:$C$125,0)),0)))</f>
        <v>0</v>
      </c>
      <c r="CO30">
        <f>IF($C30="",0,IF(OR($AD30="Espacio libre",$AD30="Espacio reservado"),0,IF(IFERROR(INDEX(Catalogo!$N$6:$N$125,MATCH($C30,Catalogo!$C$6:$C$125,0))="",TRUE),1,0)))</f>
        <v>0</v>
      </c>
    </row>
    <row r="31" spans="2:93" ht="14" customHeight="1" x14ac:dyDescent="0.45">
      <c r="B31" s="9">
        <v>19</v>
      </c>
      <c r="C31" s="47"/>
      <c r="D31" s="38"/>
      <c r="E31" s="39"/>
      <c r="F31" s="48" t="str">
        <f>IF($C31="","",IFERROR(INDEX(Catalogo!$E$6:$E$125,MATCH($C31,Catalogo!$C$6:$C$125,0)),""))</f>
        <v/>
      </c>
      <c r="G31" s="39"/>
      <c r="H31" s="9" t="str">
        <f>IF($C31="","",N(IFERROR(INDEX(Catalogo!$F$6:$F$125,MATCH($C31,Catalogo!$C$6:$C$125,0)),"")))</f>
        <v/>
      </c>
      <c r="I31" s="9" t="str">
        <f>IF($AD31&lt;&gt;"Patch panel cobre","",IFERROR(INDEX(Catalogo!$G$6:$G$125,MATCH($C31,Catalogo!$C$6:$C$125,0)),""))</f>
        <v/>
      </c>
      <c r="J31" s="9" t="str">
        <f>IF(OR($C31="",$H31=0),"",$AR$5-SUM($H$13:H30))</f>
        <v/>
      </c>
      <c r="K31" s="9" t="str">
        <f t="shared" si="0"/>
        <v/>
      </c>
      <c r="L31" s="9" t="str">
        <f t="shared" si="1"/>
        <v/>
      </c>
      <c r="M31" s="6"/>
      <c r="N31" s="6"/>
      <c r="O31" s="12" t="str">
        <f t="shared" si="2"/>
        <v/>
      </c>
      <c r="P31" s="37"/>
      <c r="Q31" s="39"/>
      <c r="R31" s="40"/>
      <c r="S31" s="13">
        <v>27</v>
      </c>
      <c r="T31" s="49" t="str">
        <f>IF($AM31=0,"",IF(INDEX($J$13:$J$42,$AM31)=27,INDEX($AH$13:$AH$42,$AM31),""))</f>
        <v/>
      </c>
      <c r="U31" s="38"/>
      <c r="V31" s="39"/>
      <c r="W31" s="13">
        <v>27</v>
      </c>
      <c r="X31" s="40"/>
      <c r="AD31" t="str">
        <f>IF($C31="","",IFERROR(INDEX(Catalogo!$B$6:$B$125,MATCH($C31,Catalogo!$C$6:$C$125,0)),""))</f>
        <v/>
      </c>
      <c r="AE31" t="str">
        <f>IF($AD31="Patch panel cobre",COUNTIF($AD$13:$AD31,"Patch panel cobre"),"")</f>
        <v/>
      </c>
      <c r="AH31" t="str">
        <f t="shared" si="3"/>
        <v/>
      </c>
      <c r="AM31">
        <f>IFERROR(MATCH(1,INDEX(($K$13:$K$42&lt;=27)*($J$13:$J$42&gt;=27),0),0),0)</f>
        <v>0</v>
      </c>
      <c r="AN31" t="str">
        <f>IF(27&gt;$AR$5,"Fuera",IF($AM31=0,"",INDEX($AD$13:$AD$42,$AM31)))</f>
        <v/>
      </c>
      <c r="BA31">
        <f>IF(OR(Catalogo!$C31="",Catalogo!$B31="Espacio libre",Catalogo!$B31="Espacio reservado"),0,COUNTIF($C$13:$C$42,Catalogo!$C31)+IF($E$7=Catalogo!$C31,N($K$7),0)+IF($E$8=Catalogo!$C31,N($N$8),0)+IF(Proyecto!$D$12=Catalogo!$C31,$AQ$4,0)+SUMIF($C$49:$C$58,Catalogo!$C31,$K$49:$K$58))</f>
        <v>0</v>
      </c>
      <c r="CL31">
        <f>IF($C31="",0,N(IFERROR(INDEX(Catalogo!$N$6:$N$125,MATCH($C31,Catalogo!$C$6:$C$125,0)),0)))</f>
        <v>0</v>
      </c>
      <c r="CM31">
        <f>IF($C31="",0,N(IFERROR(INDEX(Catalogo!$P$6:$P$125,MATCH($C31,Catalogo!$C$6:$C$125,0)),0)))</f>
        <v>0</v>
      </c>
      <c r="CN31">
        <f>IF($C31="",0,N(IFERROR(INDEX(Catalogo!$Q$6:$Q$125,MATCH($C31,Catalogo!$C$6:$C$125,0)),0)))</f>
        <v>0</v>
      </c>
      <c r="CO31">
        <f>IF($C31="",0,IF(OR($AD31="Espacio libre",$AD31="Espacio reservado"),0,IF(IFERROR(INDEX(Catalogo!$N$6:$N$125,MATCH($C31,Catalogo!$C$6:$C$125,0))="",TRUE),1,0)))</f>
        <v>0</v>
      </c>
    </row>
    <row r="32" spans="2:93" ht="14" customHeight="1" x14ac:dyDescent="0.45">
      <c r="B32" s="9">
        <v>20</v>
      </c>
      <c r="C32" s="47"/>
      <c r="D32" s="38"/>
      <c r="E32" s="39"/>
      <c r="F32" s="48" t="str">
        <f>IF($C32="","",IFERROR(INDEX(Catalogo!$E$6:$E$125,MATCH($C32,Catalogo!$C$6:$C$125,0)),""))</f>
        <v/>
      </c>
      <c r="G32" s="39"/>
      <c r="H32" s="9" t="str">
        <f>IF($C32="","",N(IFERROR(INDEX(Catalogo!$F$6:$F$125,MATCH($C32,Catalogo!$C$6:$C$125,0)),"")))</f>
        <v/>
      </c>
      <c r="I32" s="9" t="str">
        <f>IF($AD32&lt;&gt;"Patch panel cobre","",IFERROR(INDEX(Catalogo!$G$6:$G$125,MATCH($C32,Catalogo!$C$6:$C$125,0)),""))</f>
        <v/>
      </c>
      <c r="J32" s="9" t="str">
        <f>IF(OR($C32="",$H32=0),"",$AR$5-SUM($H$13:H31))</f>
        <v/>
      </c>
      <c r="K32" s="9" t="str">
        <f t="shared" si="0"/>
        <v/>
      </c>
      <c r="L32" s="9" t="str">
        <f t="shared" si="1"/>
        <v/>
      </c>
      <c r="M32" s="6"/>
      <c r="N32" s="6"/>
      <c r="O32" s="12" t="str">
        <f t="shared" si="2"/>
        <v/>
      </c>
      <c r="P32" s="37"/>
      <c r="Q32" s="39"/>
      <c r="R32" s="40"/>
      <c r="S32" s="13">
        <v>26</v>
      </c>
      <c r="T32" s="49" t="str">
        <f>IF($AM32=0,"",IF(INDEX($J$13:$J$42,$AM32)=26,INDEX($AH$13:$AH$42,$AM32),""))</f>
        <v/>
      </c>
      <c r="U32" s="38"/>
      <c r="V32" s="39"/>
      <c r="W32" s="13">
        <v>26</v>
      </c>
      <c r="X32" s="40"/>
      <c r="AD32" t="str">
        <f>IF($C32="","",IFERROR(INDEX(Catalogo!$B$6:$B$125,MATCH($C32,Catalogo!$C$6:$C$125,0)),""))</f>
        <v/>
      </c>
      <c r="AE32" t="str">
        <f>IF($AD32="Patch panel cobre",COUNTIF($AD$13:$AD32,"Patch panel cobre"),"")</f>
        <v/>
      </c>
      <c r="AH32" t="str">
        <f t="shared" si="3"/>
        <v/>
      </c>
      <c r="AM32">
        <f>IFERROR(MATCH(1,INDEX(($K$13:$K$42&lt;=26)*($J$13:$J$42&gt;=26),0),0),0)</f>
        <v>0</v>
      </c>
      <c r="AN32" t="str">
        <f>IF(26&gt;$AR$5,"Fuera",IF($AM32=0,"",INDEX($AD$13:$AD$42,$AM32)))</f>
        <v/>
      </c>
      <c r="BA32">
        <f>IF(OR(Catalogo!$C32="",Catalogo!$B32="Espacio libre",Catalogo!$B32="Espacio reservado"),0,COUNTIF($C$13:$C$42,Catalogo!$C32)+IF($E$7=Catalogo!$C32,N($K$7),0)+IF($E$8=Catalogo!$C32,N($N$8),0)+IF(Proyecto!$D$12=Catalogo!$C32,$AQ$4,0)+SUMIF($C$49:$C$58,Catalogo!$C32,$K$49:$K$58))</f>
        <v>0</v>
      </c>
      <c r="CL32">
        <f>IF($C32="",0,N(IFERROR(INDEX(Catalogo!$N$6:$N$125,MATCH($C32,Catalogo!$C$6:$C$125,0)),0)))</f>
        <v>0</v>
      </c>
      <c r="CM32">
        <f>IF($C32="",0,N(IFERROR(INDEX(Catalogo!$P$6:$P$125,MATCH($C32,Catalogo!$C$6:$C$125,0)),0)))</f>
        <v>0</v>
      </c>
      <c r="CN32">
        <f>IF($C32="",0,N(IFERROR(INDEX(Catalogo!$Q$6:$Q$125,MATCH($C32,Catalogo!$C$6:$C$125,0)),0)))</f>
        <v>0</v>
      </c>
      <c r="CO32">
        <f>IF($C32="",0,IF(OR($AD32="Espacio libre",$AD32="Espacio reservado"),0,IF(IFERROR(INDEX(Catalogo!$N$6:$N$125,MATCH($C32,Catalogo!$C$6:$C$125,0))="",TRUE),1,0)))</f>
        <v>0</v>
      </c>
    </row>
    <row r="33" spans="2:93" ht="14" customHeight="1" x14ac:dyDescent="0.45">
      <c r="B33" s="9">
        <v>21</v>
      </c>
      <c r="C33" s="47"/>
      <c r="D33" s="38"/>
      <c r="E33" s="39"/>
      <c r="F33" s="48" t="str">
        <f>IF($C33="","",IFERROR(INDEX(Catalogo!$E$6:$E$125,MATCH($C33,Catalogo!$C$6:$C$125,0)),""))</f>
        <v/>
      </c>
      <c r="G33" s="39"/>
      <c r="H33" s="9" t="str">
        <f>IF($C33="","",N(IFERROR(INDEX(Catalogo!$F$6:$F$125,MATCH($C33,Catalogo!$C$6:$C$125,0)),"")))</f>
        <v/>
      </c>
      <c r="I33" s="9" t="str">
        <f>IF($AD33&lt;&gt;"Patch panel cobre","",IFERROR(INDEX(Catalogo!$G$6:$G$125,MATCH($C33,Catalogo!$C$6:$C$125,0)),""))</f>
        <v/>
      </c>
      <c r="J33" s="9" t="str">
        <f>IF(OR($C33="",$H33=0),"",$AR$5-SUM($H$13:H32))</f>
        <v/>
      </c>
      <c r="K33" s="9" t="str">
        <f t="shared" si="0"/>
        <v/>
      </c>
      <c r="L33" s="9" t="str">
        <f t="shared" si="1"/>
        <v/>
      </c>
      <c r="M33" s="6"/>
      <c r="N33" s="6"/>
      <c r="O33" s="12" t="str">
        <f t="shared" si="2"/>
        <v/>
      </c>
      <c r="P33" s="37"/>
      <c r="Q33" s="39"/>
      <c r="R33" s="40"/>
      <c r="S33" s="13">
        <v>25</v>
      </c>
      <c r="T33" s="49" t="str">
        <f>IF($AM33=0,"",IF(INDEX($J$13:$J$42,$AM33)=25,INDEX($AH$13:$AH$42,$AM33),""))</f>
        <v/>
      </c>
      <c r="U33" s="38"/>
      <c r="V33" s="39"/>
      <c r="W33" s="13">
        <v>25</v>
      </c>
      <c r="X33" s="40"/>
      <c r="AD33" t="str">
        <f>IF($C33="","",IFERROR(INDEX(Catalogo!$B$6:$B$125,MATCH($C33,Catalogo!$C$6:$C$125,0)),""))</f>
        <v/>
      </c>
      <c r="AE33" t="str">
        <f>IF($AD33="Patch panel cobre",COUNTIF($AD$13:$AD33,"Patch panel cobre"),"")</f>
        <v/>
      </c>
      <c r="AH33" t="str">
        <f t="shared" si="3"/>
        <v/>
      </c>
      <c r="AM33">
        <f>IFERROR(MATCH(1,INDEX(($K$13:$K$42&lt;=25)*($J$13:$J$42&gt;=25),0),0),0)</f>
        <v>0</v>
      </c>
      <c r="AN33" t="str">
        <f>IF(25&gt;$AR$5,"Fuera",IF($AM33=0,"",INDEX($AD$13:$AD$42,$AM33)))</f>
        <v/>
      </c>
      <c r="BA33">
        <f>IF(OR(Catalogo!$C33="",Catalogo!$B33="Espacio libre",Catalogo!$B33="Espacio reservado"),0,COUNTIF($C$13:$C$42,Catalogo!$C33)+IF($E$7=Catalogo!$C33,N($K$7),0)+IF($E$8=Catalogo!$C33,N($N$8),0)+IF(Proyecto!$D$12=Catalogo!$C33,$AQ$4,0)+SUMIF($C$49:$C$58,Catalogo!$C33,$K$49:$K$58))</f>
        <v>0</v>
      </c>
      <c r="CL33">
        <f>IF($C33="",0,N(IFERROR(INDEX(Catalogo!$N$6:$N$125,MATCH($C33,Catalogo!$C$6:$C$125,0)),0)))</f>
        <v>0</v>
      </c>
      <c r="CM33">
        <f>IF($C33="",0,N(IFERROR(INDEX(Catalogo!$P$6:$P$125,MATCH($C33,Catalogo!$C$6:$C$125,0)),0)))</f>
        <v>0</v>
      </c>
      <c r="CN33">
        <f>IF($C33="",0,N(IFERROR(INDEX(Catalogo!$Q$6:$Q$125,MATCH($C33,Catalogo!$C$6:$C$125,0)),0)))</f>
        <v>0</v>
      </c>
      <c r="CO33">
        <f>IF($C33="",0,IF(OR($AD33="Espacio libre",$AD33="Espacio reservado"),0,IF(IFERROR(INDEX(Catalogo!$N$6:$N$125,MATCH($C33,Catalogo!$C$6:$C$125,0))="",TRUE),1,0)))</f>
        <v>0</v>
      </c>
    </row>
    <row r="34" spans="2:93" ht="14" customHeight="1" x14ac:dyDescent="0.45">
      <c r="B34" s="9">
        <v>22</v>
      </c>
      <c r="C34" s="47"/>
      <c r="D34" s="38"/>
      <c r="E34" s="39"/>
      <c r="F34" s="48" t="str">
        <f>IF($C34="","",IFERROR(INDEX(Catalogo!$E$6:$E$125,MATCH($C34,Catalogo!$C$6:$C$125,0)),""))</f>
        <v/>
      </c>
      <c r="G34" s="39"/>
      <c r="H34" s="9" t="str">
        <f>IF($C34="","",N(IFERROR(INDEX(Catalogo!$F$6:$F$125,MATCH($C34,Catalogo!$C$6:$C$125,0)),"")))</f>
        <v/>
      </c>
      <c r="I34" s="9" t="str">
        <f>IF($AD34&lt;&gt;"Patch panel cobre","",IFERROR(INDEX(Catalogo!$G$6:$G$125,MATCH($C34,Catalogo!$C$6:$C$125,0)),""))</f>
        <v/>
      </c>
      <c r="J34" s="9" t="str">
        <f>IF(OR($C34="",$H34=0),"",$AR$5-SUM($H$13:H33))</f>
        <v/>
      </c>
      <c r="K34" s="9" t="str">
        <f t="shared" si="0"/>
        <v/>
      </c>
      <c r="L34" s="9" t="str">
        <f t="shared" si="1"/>
        <v/>
      </c>
      <c r="M34" s="6"/>
      <c r="N34" s="6"/>
      <c r="O34" s="12" t="str">
        <f t="shared" si="2"/>
        <v/>
      </c>
      <c r="P34" s="37"/>
      <c r="Q34" s="39"/>
      <c r="R34" s="40"/>
      <c r="S34" s="13">
        <v>24</v>
      </c>
      <c r="T34" s="49" t="str">
        <f>IF($AM34=0,"",IF(INDEX($J$13:$J$42,$AM34)=24,INDEX($AH$13:$AH$42,$AM34),""))</f>
        <v/>
      </c>
      <c r="U34" s="38"/>
      <c r="V34" s="39"/>
      <c r="W34" s="13">
        <v>24</v>
      </c>
      <c r="X34" s="40"/>
      <c r="AD34" t="str">
        <f>IF($C34="","",IFERROR(INDEX(Catalogo!$B$6:$B$125,MATCH($C34,Catalogo!$C$6:$C$125,0)),""))</f>
        <v/>
      </c>
      <c r="AE34" t="str">
        <f>IF($AD34="Patch panel cobre",COUNTIF($AD$13:$AD34,"Patch panel cobre"),"")</f>
        <v/>
      </c>
      <c r="AH34" t="str">
        <f t="shared" si="3"/>
        <v/>
      </c>
      <c r="AM34">
        <f>IFERROR(MATCH(1,INDEX(($K$13:$K$42&lt;=24)*($J$13:$J$42&gt;=24),0),0),0)</f>
        <v>0</v>
      </c>
      <c r="AN34" t="str">
        <f>IF(24&gt;$AR$5,"Fuera",IF($AM34=0,"",INDEX($AD$13:$AD$42,$AM34)))</f>
        <v/>
      </c>
      <c r="BA34">
        <f>IF(OR(Catalogo!$C34="",Catalogo!$B34="Espacio libre",Catalogo!$B34="Espacio reservado"),0,COUNTIF($C$13:$C$42,Catalogo!$C34)+IF($E$7=Catalogo!$C34,N($K$7),0)+IF($E$8=Catalogo!$C34,N($N$8),0)+IF(Proyecto!$D$12=Catalogo!$C34,$AQ$4,0)+SUMIF($C$49:$C$58,Catalogo!$C34,$K$49:$K$58))</f>
        <v>0</v>
      </c>
      <c r="CL34">
        <f>IF($C34="",0,N(IFERROR(INDEX(Catalogo!$N$6:$N$125,MATCH($C34,Catalogo!$C$6:$C$125,0)),0)))</f>
        <v>0</v>
      </c>
      <c r="CM34">
        <f>IF($C34="",0,N(IFERROR(INDEX(Catalogo!$P$6:$P$125,MATCH($C34,Catalogo!$C$6:$C$125,0)),0)))</f>
        <v>0</v>
      </c>
      <c r="CN34">
        <f>IF($C34="",0,N(IFERROR(INDEX(Catalogo!$Q$6:$Q$125,MATCH($C34,Catalogo!$C$6:$C$125,0)),0)))</f>
        <v>0</v>
      </c>
      <c r="CO34">
        <f>IF($C34="",0,IF(OR($AD34="Espacio libre",$AD34="Espacio reservado"),0,IF(IFERROR(INDEX(Catalogo!$N$6:$N$125,MATCH($C34,Catalogo!$C$6:$C$125,0))="",TRUE),1,0)))</f>
        <v>0</v>
      </c>
    </row>
    <row r="35" spans="2:93" ht="14" customHeight="1" x14ac:dyDescent="0.45">
      <c r="B35" s="9">
        <v>23</v>
      </c>
      <c r="C35" s="47"/>
      <c r="D35" s="38"/>
      <c r="E35" s="39"/>
      <c r="F35" s="48" t="str">
        <f>IF($C35="","",IFERROR(INDEX(Catalogo!$E$6:$E$125,MATCH($C35,Catalogo!$C$6:$C$125,0)),""))</f>
        <v/>
      </c>
      <c r="G35" s="39"/>
      <c r="H35" s="9" t="str">
        <f>IF($C35="","",N(IFERROR(INDEX(Catalogo!$F$6:$F$125,MATCH($C35,Catalogo!$C$6:$C$125,0)),"")))</f>
        <v/>
      </c>
      <c r="I35" s="9" t="str">
        <f>IF($AD35&lt;&gt;"Patch panel cobre","",IFERROR(INDEX(Catalogo!$G$6:$G$125,MATCH($C35,Catalogo!$C$6:$C$125,0)),""))</f>
        <v/>
      </c>
      <c r="J35" s="9" t="str">
        <f>IF(OR($C35="",$H35=0),"",$AR$5-SUM($H$13:H34))</f>
        <v/>
      </c>
      <c r="K35" s="9" t="str">
        <f t="shared" si="0"/>
        <v/>
      </c>
      <c r="L35" s="9" t="str">
        <f t="shared" si="1"/>
        <v/>
      </c>
      <c r="M35" s="6"/>
      <c r="N35" s="6"/>
      <c r="O35" s="12" t="str">
        <f t="shared" si="2"/>
        <v/>
      </c>
      <c r="P35" s="37"/>
      <c r="Q35" s="39"/>
      <c r="R35" s="40"/>
      <c r="S35" s="13">
        <v>23</v>
      </c>
      <c r="T35" s="49" t="str">
        <f>IF($AM35=0,"",IF(INDEX($J$13:$J$42,$AM35)=23,INDEX($AH$13:$AH$42,$AM35),""))</f>
        <v/>
      </c>
      <c r="U35" s="38"/>
      <c r="V35" s="39"/>
      <c r="W35" s="13">
        <v>23</v>
      </c>
      <c r="X35" s="40"/>
      <c r="AD35" t="str">
        <f>IF($C35="","",IFERROR(INDEX(Catalogo!$B$6:$B$125,MATCH($C35,Catalogo!$C$6:$C$125,0)),""))</f>
        <v/>
      </c>
      <c r="AE35" t="str">
        <f>IF($AD35="Patch panel cobre",COUNTIF($AD$13:$AD35,"Patch panel cobre"),"")</f>
        <v/>
      </c>
      <c r="AH35" t="str">
        <f t="shared" si="3"/>
        <v/>
      </c>
      <c r="AM35">
        <f>IFERROR(MATCH(1,INDEX(($K$13:$K$42&lt;=23)*($J$13:$J$42&gt;=23),0),0),0)</f>
        <v>0</v>
      </c>
      <c r="AN35" t="str">
        <f>IF(23&gt;$AR$5,"Fuera",IF($AM35=0,"",INDEX($AD$13:$AD$42,$AM35)))</f>
        <v/>
      </c>
      <c r="BA35">
        <f>IF(OR(Catalogo!$C35="",Catalogo!$B35="Espacio libre",Catalogo!$B35="Espacio reservado"),0,COUNTIF($C$13:$C$42,Catalogo!$C35)+IF($E$7=Catalogo!$C35,N($K$7),0)+IF($E$8=Catalogo!$C35,N($N$8),0)+IF(Proyecto!$D$12=Catalogo!$C35,$AQ$4,0)+SUMIF($C$49:$C$58,Catalogo!$C35,$K$49:$K$58))</f>
        <v>0</v>
      </c>
      <c r="CL35">
        <f>IF($C35="",0,N(IFERROR(INDEX(Catalogo!$N$6:$N$125,MATCH($C35,Catalogo!$C$6:$C$125,0)),0)))</f>
        <v>0</v>
      </c>
      <c r="CM35">
        <f>IF($C35="",0,N(IFERROR(INDEX(Catalogo!$P$6:$P$125,MATCH($C35,Catalogo!$C$6:$C$125,0)),0)))</f>
        <v>0</v>
      </c>
      <c r="CN35">
        <f>IF($C35="",0,N(IFERROR(INDEX(Catalogo!$Q$6:$Q$125,MATCH($C35,Catalogo!$C$6:$C$125,0)),0)))</f>
        <v>0</v>
      </c>
      <c r="CO35">
        <f>IF($C35="",0,IF(OR($AD35="Espacio libre",$AD35="Espacio reservado"),0,IF(IFERROR(INDEX(Catalogo!$N$6:$N$125,MATCH($C35,Catalogo!$C$6:$C$125,0))="",TRUE),1,0)))</f>
        <v>0</v>
      </c>
    </row>
    <row r="36" spans="2:93" ht="14" customHeight="1" x14ac:dyDescent="0.45">
      <c r="B36" s="9">
        <v>24</v>
      </c>
      <c r="C36" s="47"/>
      <c r="D36" s="38"/>
      <c r="E36" s="39"/>
      <c r="F36" s="48" t="str">
        <f>IF($C36="","",IFERROR(INDEX(Catalogo!$E$6:$E$125,MATCH($C36,Catalogo!$C$6:$C$125,0)),""))</f>
        <v/>
      </c>
      <c r="G36" s="39"/>
      <c r="H36" s="9" t="str">
        <f>IF($C36="","",N(IFERROR(INDEX(Catalogo!$F$6:$F$125,MATCH($C36,Catalogo!$C$6:$C$125,0)),"")))</f>
        <v/>
      </c>
      <c r="I36" s="9" t="str">
        <f>IF($AD36&lt;&gt;"Patch panel cobre","",IFERROR(INDEX(Catalogo!$G$6:$G$125,MATCH($C36,Catalogo!$C$6:$C$125,0)),""))</f>
        <v/>
      </c>
      <c r="J36" s="9" t="str">
        <f>IF(OR($C36="",$H36=0),"",$AR$5-SUM($H$13:H35))</f>
        <v/>
      </c>
      <c r="K36" s="9" t="str">
        <f t="shared" si="0"/>
        <v/>
      </c>
      <c r="L36" s="9" t="str">
        <f t="shared" si="1"/>
        <v/>
      </c>
      <c r="M36" s="6"/>
      <c r="N36" s="6"/>
      <c r="O36" s="12" t="str">
        <f t="shared" si="2"/>
        <v/>
      </c>
      <c r="P36" s="37"/>
      <c r="Q36" s="39"/>
      <c r="R36" s="40"/>
      <c r="S36" s="13">
        <v>22</v>
      </c>
      <c r="T36" s="49" t="str">
        <f>IF($AM36=0,"",IF(INDEX($J$13:$J$42,$AM36)=22,INDEX($AH$13:$AH$42,$AM36),""))</f>
        <v/>
      </c>
      <c r="U36" s="38"/>
      <c r="V36" s="39"/>
      <c r="W36" s="13">
        <v>22</v>
      </c>
      <c r="X36" s="40"/>
      <c r="AD36" t="str">
        <f>IF($C36="","",IFERROR(INDEX(Catalogo!$B$6:$B$125,MATCH($C36,Catalogo!$C$6:$C$125,0)),""))</f>
        <v/>
      </c>
      <c r="AE36" t="str">
        <f>IF($AD36="Patch panel cobre",COUNTIF($AD$13:$AD36,"Patch panel cobre"),"")</f>
        <v/>
      </c>
      <c r="AH36" t="str">
        <f t="shared" si="3"/>
        <v/>
      </c>
      <c r="AM36">
        <f>IFERROR(MATCH(1,INDEX(($K$13:$K$42&lt;=22)*($J$13:$J$42&gt;=22),0),0),0)</f>
        <v>0</v>
      </c>
      <c r="AN36" t="str">
        <f>IF(22&gt;$AR$5,"Fuera",IF($AM36=0,"",INDEX($AD$13:$AD$42,$AM36)))</f>
        <v/>
      </c>
      <c r="BA36">
        <f>IF(OR(Catalogo!$C36="",Catalogo!$B36="Espacio libre",Catalogo!$B36="Espacio reservado"),0,COUNTIF($C$13:$C$42,Catalogo!$C36)+IF($E$7=Catalogo!$C36,N($K$7),0)+IF($E$8=Catalogo!$C36,N($N$8),0)+IF(Proyecto!$D$12=Catalogo!$C36,$AQ$4,0)+SUMIF($C$49:$C$58,Catalogo!$C36,$K$49:$K$58))</f>
        <v>0</v>
      </c>
      <c r="CL36">
        <f>IF($C36="",0,N(IFERROR(INDEX(Catalogo!$N$6:$N$125,MATCH($C36,Catalogo!$C$6:$C$125,0)),0)))</f>
        <v>0</v>
      </c>
      <c r="CM36">
        <f>IF($C36="",0,N(IFERROR(INDEX(Catalogo!$P$6:$P$125,MATCH($C36,Catalogo!$C$6:$C$125,0)),0)))</f>
        <v>0</v>
      </c>
      <c r="CN36">
        <f>IF($C36="",0,N(IFERROR(INDEX(Catalogo!$Q$6:$Q$125,MATCH($C36,Catalogo!$C$6:$C$125,0)),0)))</f>
        <v>0</v>
      </c>
      <c r="CO36">
        <f>IF($C36="",0,IF(OR($AD36="Espacio libre",$AD36="Espacio reservado"),0,IF(IFERROR(INDEX(Catalogo!$N$6:$N$125,MATCH($C36,Catalogo!$C$6:$C$125,0))="",TRUE),1,0)))</f>
        <v>0</v>
      </c>
    </row>
    <row r="37" spans="2:93" ht="14" customHeight="1" x14ac:dyDescent="0.45">
      <c r="B37" s="9">
        <v>25</v>
      </c>
      <c r="C37" s="47"/>
      <c r="D37" s="38"/>
      <c r="E37" s="39"/>
      <c r="F37" s="48" t="str">
        <f>IF($C37="","",IFERROR(INDEX(Catalogo!$E$6:$E$125,MATCH($C37,Catalogo!$C$6:$C$125,0)),""))</f>
        <v/>
      </c>
      <c r="G37" s="39"/>
      <c r="H37" s="9" t="str">
        <f>IF($C37="","",N(IFERROR(INDEX(Catalogo!$F$6:$F$125,MATCH($C37,Catalogo!$C$6:$C$125,0)),"")))</f>
        <v/>
      </c>
      <c r="I37" s="9" t="str">
        <f>IF($AD37&lt;&gt;"Patch panel cobre","",IFERROR(INDEX(Catalogo!$G$6:$G$125,MATCH($C37,Catalogo!$C$6:$C$125,0)),""))</f>
        <v/>
      </c>
      <c r="J37" s="9" t="str">
        <f>IF(OR($C37="",$H37=0),"",$AR$5-SUM($H$13:H36))</f>
        <v/>
      </c>
      <c r="K37" s="9" t="str">
        <f t="shared" si="0"/>
        <v/>
      </c>
      <c r="L37" s="9" t="str">
        <f t="shared" si="1"/>
        <v/>
      </c>
      <c r="M37" s="6"/>
      <c r="N37" s="6"/>
      <c r="O37" s="12" t="str">
        <f t="shared" si="2"/>
        <v/>
      </c>
      <c r="P37" s="37"/>
      <c r="Q37" s="39"/>
      <c r="R37" s="40"/>
      <c r="S37" s="13">
        <v>21</v>
      </c>
      <c r="T37" s="49" t="str">
        <f>IF($AM37=0,"",IF(INDEX($J$13:$J$42,$AM37)=21,INDEX($AH$13:$AH$42,$AM37),""))</f>
        <v/>
      </c>
      <c r="U37" s="38"/>
      <c r="V37" s="39"/>
      <c r="W37" s="13">
        <v>21</v>
      </c>
      <c r="X37" s="40"/>
      <c r="AD37" t="str">
        <f>IF($C37="","",IFERROR(INDEX(Catalogo!$B$6:$B$125,MATCH($C37,Catalogo!$C$6:$C$125,0)),""))</f>
        <v/>
      </c>
      <c r="AE37" t="str">
        <f>IF($AD37="Patch panel cobre",COUNTIF($AD$13:$AD37,"Patch panel cobre"),"")</f>
        <v/>
      </c>
      <c r="AH37" t="str">
        <f t="shared" si="3"/>
        <v/>
      </c>
      <c r="AM37">
        <f>IFERROR(MATCH(1,INDEX(($K$13:$K$42&lt;=21)*($J$13:$J$42&gt;=21),0),0),0)</f>
        <v>0</v>
      </c>
      <c r="AN37" t="str">
        <f>IF(21&gt;$AR$5,"Fuera",IF($AM37=0,"",INDEX($AD$13:$AD$42,$AM37)))</f>
        <v/>
      </c>
      <c r="BA37">
        <f>IF(OR(Catalogo!$C37="",Catalogo!$B37="Espacio libre",Catalogo!$B37="Espacio reservado"),0,COUNTIF($C$13:$C$42,Catalogo!$C37)+IF($E$7=Catalogo!$C37,N($K$7),0)+IF($E$8=Catalogo!$C37,N($N$8),0)+IF(Proyecto!$D$12=Catalogo!$C37,$AQ$4,0)+SUMIF($C$49:$C$58,Catalogo!$C37,$K$49:$K$58))</f>
        <v>0</v>
      </c>
      <c r="CL37">
        <f>IF($C37="",0,N(IFERROR(INDEX(Catalogo!$N$6:$N$125,MATCH($C37,Catalogo!$C$6:$C$125,0)),0)))</f>
        <v>0</v>
      </c>
      <c r="CM37">
        <f>IF($C37="",0,N(IFERROR(INDEX(Catalogo!$P$6:$P$125,MATCH($C37,Catalogo!$C$6:$C$125,0)),0)))</f>
        <v>0</v>
      </c>
      <c r="CN37">
        <f>IF($C37="",0,N(IFERROR(INDEX(Catalogo!$Q$6:$Q$125,MATCH($C37,Catalogo!$C$6:$C$125,0)),0)))</f>
        <v>0</v>
      </c>
      <c r="CO37">
        <f>IF($C37="",0,IF(OR($AD37="Espacio libre",$AD37="Espacio reservado"),0,IF(IFERROR(INDEX(Catalogo!$N$6:$N$125,MATCH($C37,Catalogo!$C$6:$C$125,0))="",TRUE),1,0)))</f>
        <v>0</v>
      </c>
    </row>
    <row r="38" spans="2:93" ht="14" customHeight="1" x14ac:dyDescent="0.45">
      <c r="B38" s="9">
        <v>26</v>
      </c>
      <c r="C38" s="47"/>
      <c r="D38" s="38"/>
      <c r="E38" s="39"/>
      <c r="F38" s="48" t="str">
        <f>IF($C38="","",IFERROR(INDEX(Catalogo!$E$6:$E$125,MATCH($C38,Catalogo!$C$6:$C$125,0)),""))</f>
        <v/>
      </c>
      <c r="G38" s="39"/>
      <c r="H38" s="9" t="str">
        <f>IF($C38="","",N(IFERROR(INDEX(Catalogo!$F$6:$F$125,MATCH($C38,Catalogo!$C$6:$C$125,0)),"")))</f>
        <v/>
      </c>
      <c r="I38" s="9" t="str">
        <f>IF($AD38&lt;&gt;"Patch panel cobre","",IFERROR(INDEX(Catalogo!$G$6:$G$125,MATCH($C38,Catalogo!$C$6:$C$125,0)),""))</f>
        <v/>
      </c>
      <c r="J38" s="9" t="str">
        <f>IF(OR($C38="",$H38=0),"",$AR$5-SUM($H$13:H37))</f>
        <v/>
      </c>
      <c r="K38" s="9" t="str">
        <f t="shared" si="0"/>
        <v/>
      </c>
      <c r="L38" s="9" t="str">
        <f t="shared" si="1"/>
        <v/>
      </c>
      <c r="M38" s="6"/>
      <c r="N38" s="6"/>
      <c r="O38" s="12" t="str">
        <f t="shared" si="2"/>
        <v/>
      </c>
      <c r="P38" s="37"/>
      <c r="Q38" s="39"/>
      <c r="R38" s="40"/>
      <c r="S38" s="13">
        <v>20</v>
      </c>
      <c r="T38" s="49" t="str">
        <f>IF($AM38=0,"",IF(INDEX($J$13:$J$42,$AM38)=20,INDEX($AH$13:$AH$42,$AM38),""))</f>
        <v/>
      </c>
      <c r="U38" s="38"/>
      <c r="V38" s="39"/>
      <c r="W38" s="13">
        <v>20</v>
      </c>
      <c r="X38" s="40"/>
      <c r="AD38" t="str">
        <f>IF($C38="","",IFERROR(INDEX(Catalogo!$B$6:$B$125,MATCH($C38,Catalogo!$C$6:$C$125,0)),""))</f>
        <v/>
      </c>
      <c r="AE38" t="str">
        <f>IF($AD38="Patch panel cobre",COUNTIF($AD$13:$AD38,"Patch panel cobre"),"")</f>
        <v/>
      </c>
      <c r="AH38" t="str">
        <f t="shared" si="3"/>
        <v/>
      </c>
      <c r="AM38">
        <f>IFERROR(MATCH(1,INDEX(($K$13:$K$42&lt;=20)*($J$13:$J$42&gt;=20),0),0),0)</f>
        <v>0</v>
      </c>
      <c r="AN38" t="str">
        <f>IF(20&gt;$AR$5,"Fuera",IF($AM38=0,"",INDEX($AD$13:$AD$42,$AM38)))</f>
        <v/>
      </c>
      <c r="BA38">
        <f>IF(OR(Catalogo!$C38="",Catalogo!$B38="Espacio libre",Catalogo!$B38="Espacio reservado"),0,COUNTIF($C$13:$C$42,Catalogo!$C38)+IF($E$7=Catalogo!$C38,N($K$7),0)+IF($E$8=Catalogo!$C38,N($N$8),0)+IF(Proyecto!$D$12=Catalogo!$C38,$AQ$4,0)+SUMIF($C$49:$C$58,Catalogo!$C38,$K$49:$K$58))</f>
        <v>0</v>
      </c>
      <c r="CL38">
        <f>IF($C38="",0,N(IFERROR(INDEX(Catalogo!$N$6:$N$125,MATCH($C38,Catalogo!$C$6:$C$125,0)),0)))</f>
        <v>0</v>
      </c>
      <c r="CM38">
        <f>IF($C38="",0,N(IFERROR(INDEX(Catalogo!$P$6:$P$125,MATCH($C38,Catalogo!$C$6:$C$125,0)),0)))</f>
        <v>0</v>
      </c>
      <c r="CN38">
        <f>IF($C38="",0,N(IFERROR(INDEX(Catalogo!$Q$6:$Q$125,MATCH($C38,Catalogo!$C$6:$C$125,0)),0)))</f>
        <v>0</v>
      </c>
      <c r="CO38">
        <f>IF($C38="",0,IF(OR($AD38="Espacio libre",$AD38="Espacio reservado"),0,IF(IFERROR(INDEX(Catalogo!$N$6:$N$125,MATCH($C38,Catalogo!$C$6:$C$125,0))="",TRUE),1,0)))</f>
        <v>0</v>
      </c>
    </row>
    <row r="39" spans="2:93" ht="14" customHeight="1" x14ac:dyDescent="0.45">
      <c r="B39" s="9">
        <v>27</v>
      </c>
      <c r="C39" s="47"/>
      <c r="D39" s="38"/>
      <c r="E39" s="39"/>
      <c r="F39" s="48" t="str">
        <f>IF($C39="","",IFERROR(INDEX(Catalogo!$E$6:$E$125,MATCH($C39,Catalogo!$C$6:$C$125,0)),""))</f>
        <v/>
      </c>
      <c r="G39" s="39"/>
      <c r="H39" s="9" t="str">
        <f>IF($C39="","",N(IFERROR(INDEX(Catalogo!$F$6:$F$125,MATCH($C39,Catalogo!$C$6:$C$125,0)),"")))</f>
        <v/>
      </c>
      <c r="I39" s="9" t="str">
        <f>IF($AD39&lt;&gt;"Patch panel cobre","",IFERROR(INDEX(Catalogo!$G$6:$G$125,MATCH($C39,Catalogo!$C$6:$C$125,0)),""))</f>
        <v/>
      </c>
      <c r="J39" s="9" t="str">
        <f>IF(OR($C39="",$H39=0),"",$AR$5-SUM($H$13:H38))</f>
        <v/>
      </c>
      <c r="K39" s="9" t="str">
        <f t="shared" si="0"/>
        <v/>
      </c>
      <c r="L39" s="9" t="str">
        <f t="shared" si="1"/>
        <v/>
      </c>
      <c r="M39" s="6"/>
      <c r="N39" s="6"/>
      <c r="O39" s="12" t="str">
        <f t="shared" si="2"/>
        <v/>
      </c>
      <c r="P39" s="37"/>
      <c r="Q39" s="39"/>
      <c r="R39" s="40"/>
      <c r="S39" s="13">
        <v>19</v>
      </c>
      <c r="T39" s="49" t="str">
        <f>IF($AM39=0,"",IF(INDEX($J$13:$J$42,$AM39)=19,INDEX($AH$13:$AH$42,$AM39),""))</f>
        <v/>
      </c>
      <c r="U39" s="38"/>
      <c r="V39" s="39"/>
      <c r="W39" s="13">
        <v>19</v>
      </c>
      <c r="X39" s="40"/>
      <c r="AD39" t="str">
        <f>IF($C39="","",IFERROR(INDEX(Catalogo!$B$6:$B$125,MATCH($C39,Catalogo!$C$6:$C$125,0)),""))</f>
        <v/>
      </c>
      <c r="AE39" t="str">
        <f>IF($AD39="Patch panel cobre",COUNTIF($AD$13:$AD39,"Patch panel cobre"),"")</f>
        <v/>
      </c>
      <c r="AH39" t="str">
        <f t="shared" si="3"/>
        <v/>
      </c>
      <c r="AM39">
        <f>IFERROR(MATCH(1,INDEX(($K$13:$K$42&lt;=19)*($J$13:$J$42&gt;=19),0),0),0)</f>
        <v>0</v>
      </c>
      <c r="AN39" t="str">
        <f>IF(19&gt;$AR$5,"Fuera",IF($AM39=0,"",INDEX($AD$13:$AD$42,$AM39)))</f>
        <v/>
      </c>
      <c r="BA39">
        <f>IF(OR(Catalogo!$C39="",Catalogo!$B39="Espacio libre",Catalogo!$B39="Espacio reservado"),0,COUNTIF($C$13:$C$42,Catalogo!$C39)+IF($E$7=Catalogo!$C39,N($K$7),0)+IF($E$8=Catalogo!$C39,N($N$8),0)+IF(Proyecto!$D$12=Catalogo!$C39,$AQ$4,0)+SUMIF($C$49:$C$58,Catalogo!$C39,$K$49:$K$58))</f>
        <v>0</v>
      </c>
      <c r="CL39">
        <f>IF($C39="",0,N(IFERROR(INDEX(Catalogo!$N$6:$N$125,MATCH($C39,Catalogo!$C$6:$C$125,0)),0)))</f>
        <v>0</v>
      </c>
      <c r="CM39">
        <f>IF($C39="",0,N(IFERROR(INDEX(Catalogo!$P$6:$P$125,MATCH($C39,Catalogo!$C$6:$C$125,0)),0)))</f>
        <v>0</v>
      </c>
      <c r="CN39">
        <f>IF($C39="",0,N(IFERROR(INDEX(Catalogo!$Q$6:$Q$125,MATCH($C39,Catalogo!$C$6:$C$125,0)),0)))</f>
        <v>0</v>
      </c>
      <c r="CO39">
        <f>IF($C39="",0,IF(OR($AD39="Espacio libre",$AD39="Espacio reservado"),0,IF(IFERROR(INDEX(Catalogo!$N$6:$N$125,MATCH($C39,Catalogo!$C$6:$C$125,0))="",TRUE),1,0)))</f>
        <v>0</v>
      </c>
    </row>
    <row r="40" spans="2:93" ht="14" customHeight="1" x14ac:dyDescent="0.45">
      <c r="B40" s="9">
        <v>28</v>
      </c>
      <c r="C40" s="47"/>
      <c r="D40" s="38"/>
      <c r="E40" s="39"/>
      <c r="F40" s="48" t="str">
        <f>IF($C40="","",IFERROR(INDEX(Catalogo!$E$6:$E$125,MATCH($C40,Catalogo!$C$6:$C$125,0)),""))</f>
        <v/>
      </c>
      <c r="G40" s="39"/>
      <c r="H40" s="9" t="str">
        <f>IF($C40="","",N(IFERROR(INDEX(Catalogo!$F$6:$F$125,MATCH($C40,Catalogo!$C$6:$C$125,0)),"")))</f>
        <v/>
      </c>
      <c r="I40" s="9" t="str">
        <f>IF($AD40&lt;&gt;"Patch panel cobre","",IFERROR(INDEX(Catalogo!$G$6:$G$125,MATCH($C40,Catalogo!$C$6:$C$125,0)),""))</f>
        <v/>
      </c>
      <c r="J40" s="9" t="str">
        <f>IF(OR($C40="",$H40=0),"",$AR$5-SUM($H$13:H39))</f>
        <v/>
      </c>
      <c r="K40" s="9" t="str">
        <f t="shared" si="0"/>
        <v/>
      </c>
      <c r="L40" s="9" t="str">
        <f t="shared" si="1"/>
        <v/>
      </c>
      <c r="M40" s="6"/>
      <c r="N40" s="6"/>
      <c r="O40" s="12" t="str">
        <f t="shared" si="2"/>
        <v/>
      </c>
      <c r="P40" s="37"/>
      <c r="Q40" s="39"/>
      <c r="R40" s="40"/>
      <c r="S40" s="13">
        <v>18</v>
      </c>
      <c r="T40" s="49" t="str">
        <f>IF($AM40=0,"",IF(INDEX($J$13:$J$42,$AM40)=18,INDEX($AH$13:$AH$42,$AM40),""))</f>
        <v/>
      </c>
      <c r="U40" s="38"/>
      <c r="V40" s="39"/>
      <c r="W40" s="13">
        <v>18</v>
      </c>
      <c r="X40" s="40"/>
      <c r="AD40" t="str">
        <f>IF($C40="","",IFERROR(INDEX(Catalogo!$B$6:$B$125,MATCH($C40,Catalogo!$C$6:$C$125,0)),""))</f>
        <v/>
      </c>
      <c r="AE40" t="str">
        <f>IF($AD40="Patch panel cobre",COUNTIF($AD$13:$AD40,"Patch panel cobre"),"")</f>
        <v/>
      </c>
      <c r="AH40" t="str">
        <f t="shared" si="3"/>
        <v/>
      </c>
      <c r="AM40">
        <f>IFERROR(MATCH(1,INDEX(($K$13:$K$42&lt;=18)*($J$13:$J$42&gt;=18),0),0),0)</f>
        <v>0</v>
      </c>
      <c r="AN40" t="str">
        <f>IF(18&gt;$AR$5,"Fuera",IF($AM40=0,"",INDEX($AD$13:$AD$42,$AM40)))</f>
        <v/>
      </c>
      <c r="BA40">
        <f>IF(OR(Catalogo!$C40="",Catalogo!$B40="Espacio libre",Catalogo!$B40="Espacio reservado"),0,COUNTIF($C$13:$C$42,Catalogo!$C40)+IF($E$7=Catalogo!$C40,N($K$7),0)+IF($E$8=Catalogo!$C40,N($N$8),0)+IF(Proyecto!$D$12=Catalogo!$C40,$AQ$4,0)+SUMIF($C$49:$C$58,Catalogo!$C40,$K$49:$K$58))</f>
        <v>0</v>
      </c>
      <c r="CL40">
        <f>IF($C40="",0,N(IFERROR(INDEX(Catalogo!$N$6:$N$125,MATCH($C40,Catalogo!$C$6:$C$125,0)),0)))</f>
        <v>0</v>
      </c>
      <c r="CM40">
        <f>IF($C40="",0,N(IFERROR(INDEX(Catalogo!$P$6:$P$125,MATCH($C40,Catalogo!$C$6:$C$125,0)),0)))</f>
        <v>0</v>
      </c>
      <c r="CN40">
        <f>IF($C40="",0,N(IFERROR(INDEX(Catalogo!$Q$6:$Q$125,MATCH($C40,Catalogo!$C$6:$C$125,0)),0)))</f>
        <v>0</v>
      </c>
      <c r="CO40">
        <f>IF($C40="",0,IF(OR($AD40="Espacio libre",$AD40="Espacio reservado"),0,IF(IFERROR(INDEX(Catalogo!$N$6:$N$125,MATCH($C40,Catalogo!$C$6:$C$125,0))="",TRUE),1,0)))</f>
        <v>0</v>
      </c>
    </row>
    <row r="41" spans="2:93" ht="14" customHeight="1" x14ac:dyDescent="0.45">
      <c r="B41" s="9">
        <v>29</v>
      </c>
      <c r="C41" s="47"/>
      <c r="D41" s="38"/>
      <c r="E41" s="39"/>
      <c r="F41" s="48" t="str">
        <f>IF($C41="","",IFERROR(INDEX(Catalogo!$E$6:$E$125,MATCH($C41,Catalogo!$C$6:$C$125,0)),""))</f>
        <v/>
      </c>
      <c r="G41" s="39"/>
      <c r="H41" s="9" t="str">
        <f>IF($C41="","",N(IFERROR(INDEX(Catalogo!$F$6:$F$125,MATCH($C41,Catalogo!$C$6:$C$125,0)),"")))</f>
        <v/>
      </c>
      <c r="I41" s="9" t="str">
        <f>IF($AD41&lt;&gt;"Patch panel cobre","",IFERROR(INDEX(Catalogo!$G$6:$G$125,MATCH($C41,Catalogo!$C$6:$C$125,0)),""))</f>
        <v/>
      </c>
      <c r="J41" s="9" t="str">
        <f>IF(OR($C41="",$H41=0),"",$AR$5-SUM($H$13:H40))</f>
        <v/>
      </c>
      <c r="K41" s="9" t="str">
        <f t="shared" si="0"/>
        <v/>
      </c>
      <c r="L41" s="9" t="str">
        <f t="shared" si="1"/>
        <v/>
      </c>
      <c r="M41" s="6"/>
      <c r="N41" s="6"/>
      <c r="O41" s="12" t="str">
        <f t="shared" si="2"/>
        <v/>
      </c>
      <c r="P41" s="37"/>
      <c r="Q41" s="39"/>
      <c r="R41" s="40"/>
      <c r="S41" s="13">
        <v>17</v>
      </c>
      <c r="T41" s="49" t="str">
        <f>IF($AM41=0,"",IF(INDEX($J$13:$J$42,$AM41)=17,INDEX($AH$13:$AH$42,$AM41),""))</f>
        <v/>
      </c>
      <c r="U41" s="38"/>
      <c r="V41" s="39"/>
      <c r="W41" s="13">
        <v>17</v>
      </c>
      <c r="X41" s="40"/>
      <c r="AD41" t="str">
        <f>IF($C41="","",IFERROR(INDEX(Catalogo!$B$6:$B$125,MATCH($C41,Catalogo!$C$6:$C$125,0)),""))</f>
        <v/>
      </c>
      <c r="AE41" t="str">
        <f>IF($AD41="Patch panel cobre",COUNTIF($AD$13:$AD41,"Patch panel cobre"),"")</f>
        <v/>
      </c>
      <c r="AH41" t="str">
        <f t="shared" si="3"/>
        <v/>
      </c>
      <c r="AM41">
        <f>IFERROR(MATCH(1,INDEX(($K$13:$K$42&lt;=17)*($J$13:$J$42&gt;=17),0),0),0)</f>
        <v>0</v>
      </c>
      <c r="AN41" t="str">
        <f>IF(17&gt;$AR$5,"Fuera",IF($AM41=0,"",INDEX($AD$13:$AD$42,$AM41)))</f>
        <v/>
      </c>
      <c r="BA41">
        <f>IF(OR(Catalogo!$C41="",Catalogo!$B41="Espacio libre",Catalogo!$B41="Espacio reservado"),0,COUNTIF($C$13:$C$42,Catalogo!$C41)+IF($E$7=Catalogo!$C41,N($K$7),0)+IF($E$8=Catalogo!$C41,N($N$8),0)+IF(Proyecto!$D$12=Catalogo!$C41,$AQ$4,0)+SUMIF($C$49:$C$58,Catalogo!$C41,$K$49:$K$58))</f>
        <v>0</v>
      </c>
      <c r="CL41">
        <f>IF($C41="",0,N(IFERROR(INDEX(Catalogo!$N$6:$N$125,MATCH($C41,Catalogo!$C$6:$C$125,0)),0)))</f>
        <v>0</v>
      </c>
      <c r="CM41">
        <f>IF($C41="",0,N(IFERROR(INDEX(Catalogo!$P$6:$P$125,MATCH($C41,Catalogo!$C$6:$C$125,0)),0)))</f>
        <v>0</v>
      </c>
      <c r="CN41">
        <f>IF($C41="",0,N(IFERROR(INDEX(Catalogo!$Q$6:$Q$125,MATCH($C41,Catalogo!$C$6:$C$125,0)),0)))</f>
        <v>0</v>
      </c>
      <c r="CO41">
        <f>IF($C41="",0,IF(OR($AD41="Espacio libre",$AD41="Espacio reservado"),0,IF(IFERROR(INDEX(Catalogo!$N$6:$N$125,MATCH($C41,Catalogo!$C$6:$C$125,0))="",TRUE),1,0)))</f>
        <v>0</v>
      </c>
    </row>
    <row r="42" spans="2:93" ht="14" customHeight="1" x14ac:dyDescent="0.45">
      <c r="B42" s="9">
        <v>30</v>
      </c>
      <c r="C42" s="47"/>
      <c r="D42" s="38"/>
      <c r="E42" s="39"/>
      <c r="F42" s="48" t="str">
        <f>IF($C42="","",IFERROR(INDEX(Catalogo!$E$6:$E$125,MATCH($C42,Catalogo!$C$6:$C$125,0)),""))</f>
        <v/>
      </c>
      <c r="G42" s="39"/>
      <c r="H42" s="9" t="str">
        <f>IF($C42="","",N(IFERROR(INDEX(Catalogo!$F$6:$F$125,MATCH($C42,Catalogo!$C$6:$C$125,0)),"")))</f>
        <v/>
      </c>
      <c r="I42" s="9" t="str">
        <f>IF($AD42&lt;&gt;"Patch panel cobre","",IFERROR(INDEX(Catalogo!$G$6:$G$125,MATCH($C42,Catalogo!$C$6:$C$125,0)),""))</f>
        <v/>
      </c>
      <c r="J42" s="9" t="str">
        <f>IF(OR($C42="",$H42=0),"",$AR$5-SUM($H$13:H41))</f>
        <v/>
      </c>
      <c r="K42" s="9" t="str">
        <f t="shared" si="0"/>
        <v/>
      </c>
      <c r="L42" s="9" t="str">
        <f t="shared" si="1"/>
        <v/>
      </c>
      <c r="M42" s="6"/>
      <c r="N42" s="6"/>
      <c r="O42" s="12" t="str">
        <f t="shared" si="2"/>
        <v/>
      </c>
      <c r="P42" s="37"/>
      <c r="Q42" s="39"/>
      <c r="R42" s="40"/>
      <c r="S42" s="13">
        <v>16</v>
      </c>
      <c r="T42" s="49" t="str">
        <f>IF($AM42=0,"",IF(INDEX($J$13:$J$42,$AM42)=16,INDEX($AH$13:$AH$42,$AM42),""))</f>
        <v/>
      </c>
      <c r="U42" s="38"/>
      <c r="V42" s="39"/>
      <c r="W42" s="13">
        <v>16</v>
      </c>
      <c r="X42" s="40"/>
      <c r="AD42" t="str">
        <f>IF($C42="","",IFERROR(INDEX(Catalogo!$B$6:$B$125,MATCH($C42,Catalogo!$C$6:$C$125,0)),""))</f>
        <v/>
      </c>
      <c r="AE42" t="str">
        <f>IF($AD42="Patch panel cobre",COUNTIF($AD$13:$AD42,"Patch panel cobre"),"")</f>
        <v/>
      </c>
      <c r="AH42" t="str">
        <f t="shared" si="3"/>
        <v/>
      </c>
      <c r="AM42">
        <f>IFERROR(MATCH(1,INDEX(($K$13:$K$42&lt;=16)*($J$13:$J$42&gt;=16),0),0),0)</f>
        <v>0</v>
      </c>
      <c r="AN42" t="str">
        <f>IF(16&gt;$AR$5,"Fuera",IF($AM42=0,"",INDEX($AD$13:$AD$42,$AM42)))</f>
        <v/>
      </c>
      <c r="BA42">
        <f>IF(OR(Catalogo!$C42="",Catalogo!$B42="Espacio libre",Catalogo!$B42="Espacio reservado"),0,COUNTIF($C$13:$C$42,Catalogo!$C42)+IF($E$7=Catalogo!$C42,N($K$7),0)+IF($E$8=Catalogo!$C42,N($N$8),0)+IF(Proyecto!$D$12=Catalogo!$C42,$AQ$4,0)+SUMIF($C$49:$C$58,Catalogo!$C42,$K$49:$K$58))</f>
        <v>0</v>
      </c>
      <c r="CL42">
        <f>IF($C42="",0,N(IFERROR(INDEX(Catalogo!$N$6:$N$125,MATCH($C42,Catalogo!$C$6:$C$125,0)),0)))</f>
        <v>0</v>
      </c>
      <c r="CM42">
        <f>IF($C42="",0,N(IFERROR(INDEX(Catalogo!$P$6:$P$125,MATCH($C42,Catalogo!$C$6:$C$125,0)),0)))</f>
        <v>0</v>
      </c>
      <c r="CN42">
        <f>IF($C42="",0,N(IFERROR(INDEX(Catalogo!$Q$6:$Q$125,MATCH($C42,Catalogo!$C$6:$C$125,0)),0)))</f>
        <v>0</v>
      </c>
      <c r="CO42">
        <f>IF($C42="",0,IF(OR($AD42="Espacio libre",$AD42="Espacio reservado"),0,IF(IFERROR(INDEX(Catalogo!$N$6:$N$125,MATCH($C42,Catalogo!$C$6:$C$125,0))="",TRUE),1,0)))</f>
        <v>0</v>
      </c>
    </row>
    <row r="43" spans="2:93" ht="14" customHeight="1" x14ac:dyDescent="0.45">
      <c r="B43" s="42" t="s">
        <v>398</v>
      </c>
      <c r="C43" s="43"/>
      <c r="D43" s="43"/>
      <c r="E43" s="43"/>
      <c r="F43" s="43"/>
      <c r="G43" s="44"/>
      <c r="H43" s="9">
        <f>AR6-SUMIF($AD$13:$AD$42,"Espacio libre",$H$13:$H$42)</f>
        <v>2</v>
      </c>
      <c r="I43" s="9">
        <f>IF($AR$6&gt;$AR$5,$AR$5-$AR$6,$AR$5-H43)</f>
        <v>43</v>
      </c>
      <c r="J43" s="12">
        <f>H43/$AR$5</f>
        <v>4.4444444444444446E-2</v>
      </c>
      <c r="K43" s="52" t="str">
        <f>IF(OR($AR$6&gt;$AR$5,COUNTIF(K13:K42,"&lt;1")&gt;0),"❌ EXCEDE: "&amp;$AR$6&amp;" de "&amp;$AR$5&amp;" RU (sobran "&amp;($AR$6-$AR$5)&amp;")","✓ OK: cabe en el rack")</f>
        <v>✓ OK: cabe en el rack</v>
      </c>
      <c r="L43" s="38"/>
      <c r="M43" s="38"/>
      <c r="N43" s="39"/>
      <c r="O43" s="12">
        <f>IFERROR(SUM($BS$13:$BS$28)/SUM($BF$13:$BF$28),"")</f>
        <v>4.1666666666666664E-2</v>
      </c>
      <c r="P43" s="45" t="s">
        <v>399</v>
      </c>
      <c r="Q43" s="39"/>
      <c r="R43" s="40"/>
      <c r="S43" s="13">
        <v>15</v>
      </c>
      <c r="T43" s="49" t="str">
        <f>IF($AM43=0,"",IF(INDEX($J$13:$J$42,$AM43)=15,INDEX($AH$13:$AH$42,$AM43),""))</f>
        <v/>
      </c>
      <c r="U43" s="38"/>
      <c r="V43" s="39"/>
      <c r="W43" s="13">
        <v>15</v>
      </c>
      <c r="X43" s="40"/>
      <c r="AM43">
        <f>IFERROR(MATCH(1,INDEX(($K$13:$K$42&lt;=15)*($J$13:$J$42&gt;=15),0),0),0)</f>
        <v>0</v>
      </c>
      <c r="AN43" t="str">
        <f>IF(15&gt;$AR$5,"Fuera",IF($AM43=0,"",INDEX($AD$13:$AD$42,$AM43)))</f>
        <v/>
      </c>
      <c r="BA43">
        <f>IF(OR(Catalogo!$C43="",Catalogo!$B43="Espacio libre",Catalogo!$B43="Espacio reservado"),0,COUNTIF($C$13:$C$42,Catalogo!$C43)+IF($E$7=Catalogo!$C43,N($K$7),0)+IF($E$8=Catalogo!$C43,N($N$8),0)+IF(Proyecto!$D$12=Catalogo!$C43,$AQ$4,0)+SUMIF($C$49:$C$58,Catalogo!$C43,$K$49:$K$58))</f>
        <v>0</v>
      </c>
    </row>
    <row r="44" spans="2:93" ht="14" customHeight="1" x14ac:dyDescent="0.45">
      <c r="B44" s="10" t="s">
        <v>400</v>
      </c>
      <c r="R44" s="40"/>
      <c r="S44" s="13">
        <v>14</v>
      </c>
      <c r="T44" s="49" t="str">
        <f>IF($AM44=0,"",IF(INDEX($J$13:$J$42,$AM44)=14,INDEX($AH$13:$AH$42,$AM44),""))</f>
        <v/>
      </c>
      <c r="U44" s="38"/>
      <c r="V44" s="39"/>
      <c r="W44" s="13">
        <v>14</v>
      </c>
      <c r="X44" s="40"/>
      <c r="AM44">
        <f>IFERROR(MATCH(1,INDEX(($K$13:$K$42&lt;=14)*($J$13:$J$42&gt;=14),0),0),0)</f>
        <v>0</v>
      </c>
      <c r="AN44" t="str">
        <f>IF(14&gt;$AR$5,"Fuera",IF($AM44=0,"",INDEX($AD$13:$AD$42,$AM44)))</f>
        <v/>
      </c>
      <c r="BA44">
        <f>IF(OR(Catalogo!$C44="",Catalogo!$B44="Espacio libre",Catalogo!$B44="Espacio reservado"),0,COUNTIF($C$13:$C$42,Catalogo!$C44)+IF($E$7=Catalogo!$C44,N($K$7),0)+IF($E$8=Catalogo!$C44,N($N$8),0)+IF(Proyecto!$D$12=Catalogo!$C44,$AQ$4,0)+SUMIF($C$49:$C$58,Catalogo!$C44,$K$49:$K$58))</f>
        <v>0</v>
      </c>
    </row>
    <row r="45" spans="2:93" ht="14" customHeight="1" x14ac:dyDescent="0.45">
      <c r="B45" s="10" t="s">
        <v>460</v>
      </c>
      <c r="R45" s="40"/>
      <c r="S45" s="13">
        <v>13</v>
      </c>
      <c r="T45" s="49" t="str">
        <f>IF($AM45=0,"",IF(INDEX($J$13:$J$42,$AM45)=13,INDEX($AH$13:$AH$42,$AM45),""))</f>
        <v/>
      </c>
      <c r="U45" s="38"/>
      <c r="V45" s="39"/>
      <c r="W45" s="13">
        <v>13</v>
      </c>
      <c r="X45" s="40"/>
      <c r="AM45">
        <f>IFERROR(MATCH(1,INDEX(($K$13:$K$42&lt;=13)*($J$13:$J$42&gt;=13),0),0),0)</f>
        <v>0</v>
      </c>
      <c r="AN45" t="str">
        <f>IF(13&gt;$AR$5,"Fuera",IF($AM45=0,"",INDEX($AD$13:$AD$42,$AM45)))</f>
        <v/>
      </c>
      <c r="BA45">
        <f>IF(OR(Catalogo!$C45="",Catalogo!$B45="Espacio libre",Catalogo!$B45="Espacio reservado"),0,COUNTIF($C$13:$C$42,Catalogo!$C45)+IF($E$7=Catalogo!$C45,N($K$7),0)+IF($E$8=Catalogo!$C45,N($N$8),0)+IF(Proyecto!$D$12=Catalogo!$C45,$AQ$4,0)+SUMIF($C$49:$C$58,Catalogo!$C45,$K$49:$K$58))</f>
        <v>0</v>
      </c>
    </row>
    <row r="46" spans="2:93" ht="14" customHeight="1" x14ac:dyDescent="0.45">
      <c r="R46" s="40"/>
      <c r="S46" s="13">
        <v>12</v>
      </c>
      <c r="T46" s="49" t="str">
        <f>IF($AM46=0,"",IF(INDEX($J$13:$J$42,$AM46)=12,INDEX($AH$13:$AH$42,$AM46),""))</f>
        <v/>
      </c>
      <c r="U46" s="38"/>
      <c r="V46" s="39"/>
      <c r="W46" s="13">
        <v>12</v>
      </c>
      <c r="X46" s="40"/>
      <c r="AM46">
        <f>IFERROR(MATCH(1,INDEX(($K$13:$K$42&lt;=12)*($J$13:$J$42&gt;=12),0),0),0)</f>
        <v>0</v>
      </c>
      <c r="AN46" t="str">
        <f>IF(12&gt;$AR$5,"Fuera",IF($AM46=0,"",INDEX($AD$13:$AD$42,$AM46)))</f>
        <v/>
      </c>
      <c r="BA46">
        <f>IF(OR(Catalogo!$C46="",Catalogo!$B46="Espacio libre",Catalogo!$B46="Espacio reservado"),0,COUNTIF($C$13:$C$42,Catalogo!$C46)+IF($E$7=Catalogo!$C46,N($K$7),0)+IF($E$8=Catalogo!$C46,N($N$8),0)+IF(Proyecto!$D$12=Catalogo!$C46,$AQ$4,0)+SUMIF($C$49:$C$58,Catalogo!$C46,$K$49:$K$58))</f>
        <v>0</v>
      </c>
    </row>
    <row r="47" spans="2:93" ht="14" customHeight="1" x14ac:dyDescent="0.45">
      <c r="B47" s="2" t="s">
        <v>401</v>
      </c>
      <c r="C47" s="2"/>
      <c r="D47" s="2"/>
      <c r="E47" s="2" t="s">
        <v>402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40"/>
      <c r="S47" s="13">
        <v>11</v>
      </c>
      <c r="T47" s="49" t="str">
        <f>IF($AM47=0,"",IF(INDEX($J$13:$J$42,$AM47)=11,INDEX($AH$13:$AH$42,$AM47),""))</f>
        <v/>
      </c>
      <c r="U47" s="38"/>
      <c r="V47" s="39"/>
      <c r="W47" s="13">
        <v>11</v>
      </c>
      <c r="X47" s="40"/>
      <c r="AM47">
        <f>IFERROR(MATCH(1,INDEX(($K$13:$K$42&lt;=11)*($J$13:$J$42&gt;=11),0),0),0)</f>
        <v>0</v>
      </c>
      <c r="AN47" t="str">
        <f>IF(11&gt;$AR$5,"Fuera",IF($AM47=0,"",INDEX($AD$13:$AD$42,$AM47)))</f>
        <v/>
      </c>
      <c r="BA47">
        <f>IF(OR(Catalogo!$C47="",Catalogo!$B47="Espacio libre",Catalogo!$B47="Espacio reservado"),0,COUNTIF($C$13:$C$42,Catalogo!$C47)+IF($E$7=Catalogo!$C47,N($K$7),0)+IF($E$8=Catalogo!$C47,N($N$8),0)+IF(Proyecto!$D$12=Catalogo!$C47,$AQ$4,0)+SUMIF($C$49:$C$58,Catalogo!$C47,$K$49:$K$58))</f>
        <v>0</v>
      </c>
    </row>
    <row r="48" spans="2:93" ht="14" customHeight="1" x14ac:dyDescent="0.45">
      <c r="B48" s="5" t="s">
        <v>385</v>
      </c>
      <c r="C48" s="42" t="s">
        <v>386</v>
      </c>
      <c r="D48" s="43"/>
      <c r="E48" s="43"/>
      <c r="F48" s="43"/>
      <c r="G48" s="43"/>
      <c r="H48" s="44"/>
      <c r="I48" s="42" t="s">
        <v>61</v>
      </c>
      <c r="J48" s="44"/>
      <c r="K48" s="5" t="s">
        <v>377</v>
      </c>
      <c r="L48" s="42" t="s">
        <v>403</v>
      </c>
      <c r="M48" s="43"/>
      <c r="N48" s="43"/>
      <c r="O48" s="43"/>
      <c r="P48" s="43"/>
      <c r="Q48" s="44"/>
      <c r="R48" s="40"/>
      <c r="S48" s="13">
        <v>10</v>
      </c>
      <c r="T48" s="49" t="str">
        <f>IF($AM48=0,"",IF(INDEX($J$13:$J$42,$AM48)=10,INDEX($AH$13:$AH$42,$AM48),""))</f>
        <v/>
      </c>
      <c r="U48" s="38"/>
      <c r="V48" s="39"/>
      <c r="W48" s="13">
        <v>10</v>
      </c>
      <c r="X48" s="40"/>
      <c r="AM48">
        <f>IFERROR(MATCH(1,INDEX(($K$13:$K$42&lt;=10)*($J$13:$J$42&gt;=10),0),0),0)</f>
        <v>0</v>
      </c>
      <c r="AN48" t="str">
        <f>IF(10&gt;$AR$5,"Fuera",IF($AM48=0,"",INDEX($AD$13:$AD$42,$AM48)))</f>
        <v/>
      </c>
      <c r="BA48">
        <f>IF(OR(Catalogo!$C48="",Catalogo!$B48="Espacio libre",Catalogo!$B48="Espacio reservado"),0,COUNTIF($C$13:$C$42,Catalogo!$C48)+IF($E$7=Catalogo!$C48,N($K$7),0)+IF($E$8=Catalogo!$C48,N($N$8),0)+IF(Proyecto!$D$12=Catalogo!$C48,$AQ$4,0)+SUMIF($C$49:$C$58,Catalogo!$C48,$K$49:$K$58))</f>
        <v>0</v>
      </c>
    </row>
    <row r="49" spans="2:53" ht="14" customHeight="1" x14ac:dyDescent="0.45">
      <c r="B49" s="9">
        <v>1</v>
      </c>
      <c r="C49" s="37"/>
      <c r="D49" s="38"/>
      <c r="E49" s="38"/>
      <c r="F49" s="38"/>
      <c r="G49" s="38"/>
      <c r="H49" s="39"/>
      <c r="I49" s="45" t="str">
        <f>IF($C49="","",IFERROR(INDEX(Catalogo!$E$6:$E$125,MATCH($C49,Catalogo!$C$6:$C$125,0)),""))</f>
        <v/>
      </c>
      <c r="J49" s="39"/>
      <c r="K49" s="6"/>
      <c r="L49" s="37"/>
      <c r="M49" s="38"/>
      <c r="N49" s="38"/>
      <c r="O49" s="38"/>
      <c r="P49" s="38"/>
      <c r="Q49" s="39"/>
      <c r="R49" s="40"/>
      <c r="S49" s="13">
        <v>9</v>
      </c>
      <c r="T49" s="49" t="str">
        <f>IF($AM49=0,"",IF(INDEX($J$13:$J$42,$AM49)=9,INDEX($AH$13:$AH$42,$AM49),""))</f>
        <v/>
      </c>
      <c r="U49" s="38"/>
      <c r="V49" s="39"/>
      <c r="W49" s="13">
        <v>9</v>
      </c>
      <c r="X49" s="40"/>
      <c r="AM49">
        <f>IFERROR(MATCH(1,INDEX(($K$13:$K$42&lt;=9)*($J$13:$J$42&gt;=9),0),0),0)</f>
        <v>0</v>
      </c>
      <c r="AN49" t="str">
        <f>IF(9&gt;$AR$5,"Fuera",IF($AM49=0,"",INDEX($AD$13:$AD$42,$AM49)))</f>
        <v/>
      </c>
      <c r="BA49">
        <f>IF(OR(Catalogo!$C49="",Catalogo!$B49="Espacio libre",Catalogo!$B49="Espacio reservado"),0,COUNTIF($C$13:$C$42,Catalogo!$C49)+IF($E$7=Catalogo!$C49,N($K$7),0)+IF($E$8=Catalogo!$C49,N($N$8),0)+IF(Proyecto!$D$12=Catalogo!$C49,$AQ$4,0)+SUMIF($C$49:$C$58,Catalogo!$C49,$K$49:$K$58))</f>
        <v>0</v>
      </c>
    </row>
    <row r="50" spans="2:53" ht="14" customHeight="1" x14ac:dyDescent="0.45">
      <c r="B50" s="9">
        <v>2</v>
      </c>
      <c r="C50" s="37"/>
      <c r="D50" s="38"/>
      <c r="E50" s="38"/>
      <c r="F50" s="38"/>
      <c r="G50" s="38"/>
      <c r="H50" s="39"/>
      <c r="I50" s="45" t="str">
        <f>IF($C50="","",IFERROR(INDEX(Catalogo!$E$6:$E$125,MATCH($C50,Catalogo!$C$6:$C$125,0)),""))</f>
        <v/>
      </c>
      <c r="J50" s="39"/>
      <c r="K50" s="6"/>
      <c r="L50" s="37"/>
      <c r="M50" s="38"/>
      <c r="N50" s="38"/>
      <c r="O50" s="38"/>
      <c r="P50" s="38"/>
      <c r="Q50" s="39"/>
      <c r="R50" s="40"/>
      <c r="S50" s="13">
        <v>8</v>
      </c>
      <c r="T50" s="49" t="str">
        <f>IF($AM50=0,"",IF(INDEX($J$13:$J$42,$AM50)=8,INDEX($AH$13:$AH$42,$AM50),""))</f>
        <v/>
      </c>
      <c r="U50" s="38"/>
      <c r="V50" s="39"/>
      <c r="W50" s="13">
        <v>8</v>
      </c>
      <c r="X50" s="40"/>
      <c r="AM50">
        <f>IFERROR(MATCH(1,INDEX(($K$13:$K$42&lt;=8)*($J$13:$J$42&gt;=8),0),0),0)</f>
        <v>0</v>
      </c>
      <c r="AN50" t="str">
        <f>IF(8&gt;$AR$5,"Fuera",IF($AM50=0,"",INDEX($AD$13:$AD$42,$AM50)))</f>
        <v/>
      </c>
      <c r="BA50">
        <f>IF(OR(Catalogo!$C50="",Catalogo!$B50="Espacio libre",Catalogo!$B50="Espacio reservado"),0,COUNTIF($C$13:$C$42,Catalogo!$C50)+IF($E$7=Catalogo!$C50,N($K$7),0)+IF($E$8=Catalogo!$C50,N($N$8),0)+IF(Proyecto!$D$12=Catalogo!$C50,$AQ$4,0)+SUMIF($C$49:$C$58,Catalogo!$C50,$K$49:$K$58))</f>
        <v>0</v>
      </c>
    </row>
    <row r="51" spans="2:53" ht="14" customHeight="1" x14ac:dyDescent="0.45">
      <c r="B51" s="9">
        <v>3</v>
      </c>
      <c r="C51" s="37"/>
      <c r="D51" s="38"/>
      <c r="E51" s="38"/>
      <c r="F51" s="38"/>
      <c r="G51" s="38"/>
      <c r="H51" s="39"/>
      <c r="I51" s="45" t="str">
        <f>IF($C51="","",IFERROR(INDEX(Catalogo!$E$6:$E$125,MATCH($C51,Catalogo!$C$6:$C$125,0)),""))</f>
        <v/>
      </c>
      <c r="J51" s="39"/>
      <c r="K51" s="6"/>
      <c r="L51" s="37"/>
      <c r="M51" s="38"/>
      <c r="N51" s="38"/>
      <c r="O51" s="38"/>
      <c r="P51" s="38"/>
      <c r="Q51" s="39"/>
      <c r="R51" s="40"/>
      <c r="S51" s="13">
        <v>7</v>
      </c>
      <c r="T51" s="49" t="str">
        <f>IF($AM51=0,"",IF(INDEX($J$13:$J$42,$AM51)=7,INDEX($AH$13:$AH$42,$AM51),""))</f>
        <v/>
      </c>
      <c r="U51" s="38"/>
      <c r="V51" s="39"/>
      <c r="W51" s="13">
        <v>7</v>
      </c>
      <c r="X51" s="40"/>
      <c r="AM51">
        <f>IFERROR(MATCH(1,INDEX(($K$13:$K$42&lt;=7)*($J$13:$J$42&gt;=7),0),0),0)</f>
        <v>0</v>
      </c>
      <c r="AN51" t="str">
        <f>IF(7&gt;$AR$5,"Fuera",IF($AM51=0,"",INDEX($AD$13:$AD$42,$AM51)))</f>
        <v/>
      </c>
      <c r="BA51">
        <f>IF(OR(Catalogo!$C51="",Catalogo!$B51="Espacio libre",Catalogo!$B51="Espacio reservado"),0,COUNTIF($C$13:$C$42,Catalogo!$C51)+IF($E$7=Catalogo!$C51,N($K$7),0)+IF($E$8=Catalogo!$C51,N($N$8),0)+IF(Proyecto!$D$12=Catalogo!$C51,$AQ$4,0)+SUMIF($C$49:$C$58,Catalogo!$C51,$K$49:$K$58))</f>
        <v>0</v>
      </c>
    </row>
    <row r="52" spans="2:53" ht="14" customHeight="1" x14ac:dyDescent="0.45">
      <c r="B52" s="9">
        <v>4</v>
      </c>
      <c r="C52" s="37"/>
      <c r="D52" s="38"/>
      <c r="E52" s="38"/>
      <c r="F52" s="38"/>
      <c r="G52" s="38"/>
      <c r="H52" s="39"/>
      <c r="I52" s="45" t="str">
        <f>IF($C52="","",IFERROR(INDEX(Catalogo!$E$6:$E$125,MATCH($C52,Catalogo!$C$6:$C$125,0)),""))</f>
        <v/>
      </c>
      <c r="J52" s="39"/>
      <c r="K52" s="6"/>
      <c r="L52" s="37"/>
      <c r="M52" s="38"/>
      <c r="N52" s="38"/>
      <c r="O52" s="38"/>
      <c r="P52" s="38"/>
      <c r="Q52" s="39"/>
      <c r="R52" s="40"/>
      <c r="S52" s="13">
        <v>6</v>
      </c>
      <c r="T52" s="49" t="str">
        <f>IF($AM52=0,"",IF(INDEX($J$13:$J$42,$AM52)=6,INDEX($AH$13:$AH$42,$AM52),""))</f>
        <v/>
      </c>
      <c r="U52" s="38"/>
      <c r="V52" s="39"/>
      <c r="W52" s="13">
        <v>6</v>
      </c>
      <c r="X52" s="40"/>
      <c r="AM52">
        <f>IFERROR(MATCH(1,INDEX(($K$13:$K$42&lt;=6)*($J$13:$J$42&gt;=6),0),0),0)</f>
        <v>0</v>
      </c>
      <c r="AN52" t="str">
        <f>IF(6&gt;$AR$5,"Fuera",IF($AM52=0,"",INDEX($AD$13:$AD$42,$AM52)))</f>
        <v/>
      </c>
      <c r="BA52">
        <f>IF(OR(Catalogo!$C52="",Catalogo!$B52="Espacio libre",Catalogo!$B52="Espacio reservado"),0,COUNTIF($C$13:$C$42,Catalogo!$C52)+IF($E$7=Catalogo!$C52,N($K$7),0)+IF($E$8=Catalogo!$C52,N($N$8),0)+IF(Proyecto!$D$12=Catalogo!$C52,$AQ$4,0)+SUMIF($C$49:$C$58,Catalogo!$C52,$K$49:$K$58))</f>
        <v>0</v>
      </c>
    </row>
    <row r="53" spans="2:53" ht="14" customHeight="1" x14ac:dyDescent="0.45">
      <c r="B53" s="9">
        <v>5</v>
      </c>
      <c r="C53" s="37"/>
      <c r="D53" s="38"/>
      <c r="E53" s="38"/>
      <c r="F53" s="38"/>
      <c r="G53" s="38"/>
      <c r="H53" s="39"/>
      <c r="I53" s="45" t="str">
        <f>IF($C53="","",IFERROR(INDEX(Catalogo!$E$6:$E$125,MATCH($C53,Catalogo!$C$6:$C$125,0)),""))</f>
        <v/>
      </c>
      <c r="J53" s="39"/>
      <c r="K53" s="6"/>
      <c r="L53" s="37"/>
      <c r="M53" s="38"/>
      <c r="N53" s="38"/>
      <c r="O53" s="38"/>
      <c r="P53" s="38"/>
      <c r="Q53" s="39"/>
      <c r="R53" s="40"/>
      <c r="S53" s="13">
        <v>5</v>
      </c>
      <c r="T53" s="49" t="str">
        <f>IF($AM53=0,"",IF(INDEX($J$13:$J$42,$AM53)=5,INDEX($AH$13:$AH$42,$AM53),""))</f>
        <v/>
      </c>
      <c r="U53" s="38"/>
      <c r="V53" s="39"/>
      <c r="W53" s="13">
        <v>5</v>
      </c>
      <c r="X53" s="40"/>
      <c r="AM53">
        <f>IFERROR(MATCH(1,INDEX(($K$13:$K$42&lt;=5)*($J$13:$J$42&gt;=5),0),0),0)</f>
        <v>0</v>
      </c>
      <c r="AN53" t="str">
        <f>IF(5&gt;$AR$5,"Fuera",IF($AM53=0,"",INDEX($AD$13:$AD$42,$AM53)))</f>
        <v/>
      </c>
      <c r="BA53">
        <f>IF(OR(Catalogo!$C53="",Catalogo!$B53="Espacio libre",Catalogo!$B53="Espacio reservado"),0,COUNTIF($C$13:$C$42,Catalogo!$C53)+IF($E$7=Catalogo!$C53,N($K$7),0)+IF($E$8=Catalogo!$C53,N($N$8),0)+IF(Proyecto!$D$12=Catalogo!$C53,$AQ$4,0)+SUMIF($C$49:$C$58,Catalogo!$C53,$K$49:$K$58))</f>
        <v>0</v>
      </c>
    </row>
    <row r="54" spans="2:53" ht="14" customHeight="1" x14ac:dyDescent="0.45">
      <c r="B54" s="9">
        <v>6</v>
      </c>
      <c r="C54" s="37"/>
      <c r="D54" s="38"/>
      <c r="E54" s="38"/>
      <c r="F54" s="38"/>
      <c r="G54" s="38"/>
      <c r="H54" s="39"/>
      <c r="I54" s="45" t="str">
        <f>IF($C54="","",IFERROR(INDEX(Catalogo!$E$6:$E$125,MATCH($C54,Catalogo!$C$6:$C$125,0)),""))</f>
        <v/>
      </c>
      <c r="J54" s="39"/>
      <c r="K54" s="6"/>
      <c r="L54" s="37"/>
      <c r="M54" s="38"/>
      <c r="N54" s="38"/>
      <c r="O54" s="38"/>
      <c r="P54" s="38"/>
      <c r="Q54" s="39"/>
      <c r="R54" s="40"/>
      <c r="S54" s="13">
        <v>4</v>
      </c>
      <c r="T54" s="49" t="str">
        <f>IF($AM54=0,"",IF(INDEX($J$13:$J$42,$AM54)=4,INDEX($AH$13:$AH$42,$AM54),""))</f>
        <v/>
      </c>
      <c r="U54" s="38"/>
      <c r="V54" s="39"/>
      <c r="W54" s="13">
        <v>4</v>
      </c>
      <c r="X54" s="40"/>
      <c r="AM54">
        <f>IFERROR(MATCH(1,INDEX(($K$13:$K$42&lt;=4)*($J$13:$J$42&gt;=4),0),0),0)</f>
        <v>0</v>
      </c>
      <c r="AN54" t="str">
        <f>IF(4&gt;$AR$5,"Fuera",IF($AM54=0,"",INDEX($AD$13:$AD$42,$AM54)))</f>
        <v/>
      </c>
      <c r="BA54">
        <f>IF(OR(Catalogo!$C54="",Catalogo!$B54="Espacio libre",Catalogo!$B54="Espacio reservado"),0,COUNTIF($C$13:$C$42,Catalogo!$C54)+IF($E$7=Catalogo!$C54,N($K$7),0)+IF($E$8=Catalogo!$C54,N($N$8),0)+IF(Proyecto!$D$12=Catalogo!$C54,$AQ$4,0)+SUMIF($C$49:$C$58,Catalogo!$C54,$K$49:$K$58))</f>
        <v>0</v>
      </c>
    </row>
    <row r="55" spans="2:53" ht="14" customHeight="1" x14ac:dyDescent="0.45">
      <c r="B55" s="9">
        <v>7</v>
      </c>
      <c r="C55" s="37"/>
      <c r="D55" s="38"/>
      <c r="E55" s="38"/>
      <c r="F55" s="38"/>
      <c r="G55" s="38"/>
      <c r="H55" s="39"/>
      <c r="I55" s="45" t="str">
        <f>IF($C55="","",IFERROR(INDEX(Catalogo!$E$6:$E$125,MATCH($C55,Catalogo!$C$6:$C$125,0)),""))</f>
        <v/>
      </c>
      <c r="J55" s="39"/>
      <c r="K55" s="6"/>
      <c r="L55" s="37"/>
      <c r="M55" s="38"/>
      <c r="N55" s="38"/>
      <c r="O55" s="38"/>
      <c r="P55" s="38"/>
      <c r="Q55" s="39"/>
      <c r="R55" s="40"/>
      <c r="S55" s="13">
        <v>3</v>
      </c>
      <c r="T55" s="49" t="str">
        <f>IF($AM55=0,"",IF(INDEX($J$13:$J$42,$AM55)=3,INDEX($AH$13:$AH$42,$AM55),""))</f>
        <v/>
      </c>
      <c r="U55" s="38"/>
      <c r="V55" s="39"/>
      <c r="W55" s="13">
        <v>3</v>
      </c>
      <c r="X55" s="40"/>
      <c r="AM55">
        <f>IFERROR(MATCH(1,INDEX(($K$13:$K$42&lt;=3)*($J$13:$J$42&gt;=3),0),0),0)</f>
        <v>0</v>
      </c>
      <c r="AN55" t="str">
        <f>IF(3&gt;$AR$5,"Fuera",IF($AM55=0,"",INDEX($AD$13:$AD$42,$AM55)))</f>
        <v/>
      </c>
      <c r="BA55">
        <f>IF(OR(Catalogo!$C55="",Catalogo!$B55="Espacio libre",Catalogo!$B55="Espacio reservado"),0,COUNTIF($C$13:$C$42,Catalogo!$C55)+IF($E$7=Catalogo!$C55,N($K$7),0)+IF($E$8=Catalogo!$C55,N($N$8),0)+IF(Proyecto!$D$12=Catalogo!$C55,$AQ$4,0)+SUMIF($C$49:$C$58,Catalogo!$C55,$K$49:$K$58))</f>
        <v>0</v>
      </c>
    </row>
    <row r="56" spans="2:53" ht="14" customHeight="1" x14ac:dyDescent="0.45">
      <c r="B56" s="9">
        <v>8</v>
      </c>
      <c r="C56" s="37"/>
      <c r="D56" s="38"/>
      <c r="E56" s="38"/>
      <c r="F56" s="38"/>
      <c r="G56" s="38"/>
      <c r="H56" s="39"/>
      <c r="I56" s="45" t="str">
        <f>IF($C56="","",IFERROR(INDEX(Catalogo!$E$6:$E$125,MATCH($C56,Catalogo!$C$6:$C$125,0)),""))</f>
        <v/>
      </c>
      <c r="J56" s="39"/>
      <c r="K56" s="6"/>
      <c r="L56" s="37"/>
      <c r="M56" s="38"/>
      <c r="N56" s="38"/>
      <c r="O56" s="38"/>
      <c r="P56" s="38"/>
      <c r="Q56" s="39"/>
      <c r="R56" s="40"/>
      <c r="S56" s="13">
        <v>2</v>
      </c>
      <c r="T56" s="49" t="str">
        <f>IF($AM56=0,"",IF(INDEX($J$13:$J$42,$AM56)=2,INDEX($AH$13:$AH$42,$AM56),""))</f>
        <v/>
      </c>
      <c r="U56" s="38"/>
      <c r="V56" s="39"/>
      <c r="W56" s="13">
        <v>2</v>
      </c>
      <c r="X56" s="40"/>
      <c r="AM56">
        <f>IFERROR(MATCH(1,INDEX(($K$13:$K$42&lt;=2)*($J$13:$J$42&gt;=2),0),0),0)</f>
        <v>0</v>
      </c>
      <c r="AN56" t="str">
        <f>IF(2&gt;$AR$5,"Fuera",IF($AM56=0,"",INDEX($AD$13:$AD$42,$AM56)))</f>
        <v/>
      </c>
      <c r="BA56">
        <f>IF(OR(Catalogo!$C56="",Catalogo!$B56="Espacio libre",Catalogo!$B56="Espacio reservado"),0,COUNTIF($C$13:$C$42,Catalogo!$C56)+IF($E$7=Catalogo!$C56,N($K$7),0)+IF($E$8=Catalogo!$C56,N($N$8),0)+IF(Proyecto!$D$12=Catalogo!$C56,$AQ$4,0)+SUMIF($C$49:$C$58,Catalogo!$C56,$K$49:$K$58))</f>
        <v>0</v>
      </c>
    </row>
    <row r="57" spans="2:53" ht="14" customHeight="1" x14ac:dyDescent="0.45">
      <c r="B57" s="9">
        <v>9</v>
      </c>
      <c r="C57" s="37"/>
      <c r="D57" s="38"/>
      <c r="E57" s="38"/>
      <c r="F57" s="38"/>
      <c r="G57" s="38"/>
      <c r="H57" s="39"/>
      <c r="I57" s="45" t="str">
        <f>IF($C57="","",IFERROR(INDEX(Catalogo!$E$6:$E$125,MATCH($C57,Catalogo!$C$6:$C$125,0)),""))</f>
        <v/>
      </c>
      <c r="J57" s="39"/>
      <c r="K57" s="6"/>
      <c r="L57" s="37"/>
      <c r="M57" s="38"/>
      <c r="N57" s="38"/>
      <c r="O57" s="38"/>
      <c r="P57" s="38"/>
      <c r="Q57" s="39"/>
      <c r="R57" s="40"/>
      <c r="S57" s="13">
        <v>1</v>
      </c>
      <c r="T57" s="49" t="str">
        <f>IF($AM57=0,"",IF(INDEX($J$13:$J$42,$AM57)=1,INDEX($AH$13:$AH$42,$AM57),""))</f>
        <v/>
      </c>
      <c r="U57" s="38"/>
      <c r="V57" s="39"/>
      <c r="W57" s="13">
        <v>1</v>
      </c>
      <c r="X57" s="40"/>
      <c r="AM57">
        <f>IFERROR(MATCH(1,INDEX(($K$13:$K$42&lt;=1)*($J$13:$J$42&gt;=1),0),0),0)</f>
        <v>0</v>
      </c>
      <c r="AN57" t="str">
        <f>IF(1&gt;$AR$5,"Fuera",IF($AM57=0,"",INDEX($AD$13:$AD$42,$AM57)))</f>
        <v/>
      </c>
      <c r="BA57">
        <f>IF(OR(Catalogo!$C57="",Catalogo!$B57="Espacio libre",Catalogo!$B57="Espacio reservado"),0,COUNTIF($C$13:$C$42,Catalogo!$C57)+IF($E$7=Catalogo!$C57,N($K$7),0)+IF($E$8=Catalogo!$C57,N($N$8),0)+IF(Proyecto!$D$12=Catalogo!$C57,$AQ$4,0)+SUMIF($C$49:$C$58,Catalogo!$C57,$K$49:$K$58))</f>
        <v>0</v>
      </c>
    </row>
    <row r="58" spans="2:53" x14ac:dyDescent="0.45">
      <c r="B58" s="9">
        <v>10</v>
      </c>
      <c r="C58" s="37"/>
      <c r="D58" s="38"/>
      <c r="E58" s="38"/>
      <c r="F58" s="38"/>
      <c r="G58" s="38"/>
      <c r="H58" s="39"/>
      <c r="I58" s="45" t="str">
        <f>IF($C58="","",IFERROR(INDEX(Catalogo!$E$6:$E$125,MATCH($C58,Catalogo!$C$6:$C$125,0)),""))</f>
        <v/>
      </c>
      <c r="J58" s="39"/>
      <c r="K58" s="6"/>
      <c r="L58" s="37"/>
      <c r="M58" s="38"/>
      <c r="N58" s="38"/>
      <c r="O58" s="38"/>
      <c r="P58" s="38"/>
      <c r="Q58" s="39"/>
      <c r="BA58">
        <f>IF(OR(Catalogo!$C58="",Catalogo!$B58="Espacio libre",Catalogo!$B58="Espacio reservado"),0,COUNTIF($C$13:$C$42,Catalogo!$C58)+IF($E$7=Catalogo!$C58,N($K$7),0)+IF($E$8=Catalogo!$C58,N($N$8),0)+IF(Proyecto!$D$12=Catalogo!$C58,$AQ$4,0)+SUMIF($C$49:$C$58,Catalogo!$C58,$K$49:$K$58))</f>
        <v>0</v>
      </c>
    </row>
    <row r="59" spans="2:53" x14ac:dyDescent="0.45">
      <c r="B59" s="2" t="s">
        <v>442</v>
      </c>
      <c r="C59" s="2"/>
      <c r="D59" s="2"/>
      <c r="E59" s="2" t="s">
        <v>443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S59" s="14" t="s">
        <v>404</v>
      </c>
      <c r="W59" s="15" t="s">
        <v>405</v>
      </c>
      <c r="BA59">
        <f>IF(OR(Catalogo!$C59="",Catalogo!$B59="Espacio libre",Catalogo!$B59="Espacio reservado"),0,COUNTIF($C$13:$C$42,Catalogo!$C59)+IF($E$7=Catalogo!$C59,N($K$7),0)+IF($E$8=Catalogo!$C59,N($N$8),0)+IF(Proyecto!$D$12=Catalogo!$C59,$AQ$4,0)+SUMIF($C$49:$C$58,Catalogo!$C59,$K$49:$K$58))</f>
        <v>0</v>
      </c>
    </row>
    <row r="60" spans="2:53" x14ac:dyDescent="0.45">
      <c r="B60" s="42" t="s">
        <v>444</v>
      </c>
      <c r="C60" s="43"/>
      <c r="D60" s="43"/>
      <c r="E60" s="43"/>
      <c r="F60" s="43"/>
      <c r="G60" s="44"/>
      <c r="H60" s="9">
        <f>ROUND(SUM($CL$13:$CL$42),0)</f>
        <v>0</v>
      </c>
      <c r="I60" s="9" t="s">
        <v>22</v>
      </c>
      <c r="J60" s="45" t="str">
        <f>IF(SUM($CO$13:$CO$42)&gt;0,"⚠ "&amp;SUM($CO$13:$CO$42)&amp;" equipo(s) sin dato de consumo en el Catálogo","✓ Todos los equipos tienen dato de consumo")</f>
        <v>✓ Todos los equipos tienen dato de consumo</v>
      </c>
      <c r="K60" s="38"/>
      <c r="L60" s="38"/>
      <c r="M60" s="38"/>
      <c r="N60" s="38"/>
      <c r="O60" s="38"/>
      <c r="P60" s="38"/>
      <c r="Q60" s="39"/>
      <c r="T60" s="16" t="s">
        <v>103</v>
      </c>
      <c r="V60" s="17" t="s">
        <v>19</v>
      </c>
      <c r="BA60">
        <f>IF(OR(Catalogo!$C60="",Catalogo!$B60="Espacio libre",Catalogo!$B60="Espacio reservado"),0,COUNTIF($C$13:$C$42,Catalogo!$C60)+IF($E$7=Catalogo!$C60,N($K$7),0)+IF($E$8=Catalogo!$C60,N($N$8),0)+IF(Proyecto!$D$12=Catalogo!$C60,$AQ$4,0)+SUMIF($C$49:$C$58,Catalogo!$C60,$K$49:$K$58))</f>
        <v>0</v>
      </c>
    </row>
    <row r="61" spans="2:53" x14ac:dyDescent="0.45">
      <c r="B61" s="42" t="s">
        <v>445</v>
      </c>
      <c r="C61" s="43"/>
      <c r="D61" s="43"/>
      <c r="E61" s="43"/>
      <c r="F61" s="43"/>
      <c r="G61" s="44"/>
      <c r="H61" s="6"/>
      <c r="I61" s="9" t="s">
        <v>22</v>
      </c>
      <c r="J61" s="45" t="s">
        <v>446</v>
      </c>
      <c r="K61" s="38"/>
      <c r="L61" s="38"/>
      <c r="M61" s="38"/>
      <c r="N61" s="38"/>
      <c r="O61" s="38"/>
      <c r="P61" s="38"/>
      <c r="Q61" s="39"/>
      <c r="T61" s="18" t="s">
        <v>27</v>
      </c>
      <c r="V61" s="19" t="s">
        <v>120</v>
      </c>
      <c r="BA61">
        <f>IF(OR(Catalogo!$C61="",Catalogo!$B61="Espacio libre",Catalogo!$B61="Espacio reservado"),0,COUNTIF($C$13:$C$42,Catalogo!$C61)+IF($E$7=Catalogo!$C61,N($K$7),0)+IF($E$8=Catalogo!$C61,N($N$8),0)+IF(Proyecto!$D$12=Catalogo!$C61,$AQ$4,0)+SUMIF($C$49:$C$58,Catalogo!$C61,$K$49:$K$58))</f>
        <v>0</v>
      </c>
    </row>
    <row r="62" spans="2:53" x14ac:dyDescent="0.45">
      <c r="B62" s="42" t="s">
        <v>447</v>
      </c>
      <c r="C62" s="43"/>
      <c r="D62" s="43"/>
      <c r="E62" s="43"/>
      <c r="F62" s="43"/>
      <c r="G62" s="44"/>
      <c r="H62" s="9">
        <f>H60+N(H61)</f>
        <v>0</v>
      </c>
      <c r="I62" s="9" t="s">
        <v>22</v>
      </c>
      <c r="J62" s="45" t="s">
        <v>448</v>
      </c>
      <c r="K62" s="38"/>
      <c r="L62" s="38"/>
      <c r="M62" s="38"/>
      <c r="N62" s="38"/>
      <c r="O62" s="38"/>
      <c r="P62" s="38"/>
      <c r="Q62" s="39"/>
      <c r="T62" s="20" t="s">
        <v>147</v>
      </c>
      <c r="V62" s="21" t="s">
        <v>139</v>
      </c>
      <c r="BA62">
        <f>IF(OR(Catalogo!$C62="",Catalogo!$B62="Espacio libre",Catalogo!$B62="Espacio reservado"),0,COUNTIF($C$13:$C$42,Catalogo!$C62)+IF($E$7=Catalogo!$C62,N($K$7),0)+IF($E$8=Catalogo!$C62,N($N$8),0)+IF(Proyecto!$D$12=Catalogo!$C62,$AQ$4,0)+SUMIF($C$49:$C$58,Catalogo!$C62,$K$49:$K$58))</f>
        <v>0</v>
      </c>
    </row>
    <row r="63" spans="2:53" x14ac:dyDescent="0.45">
      <c r="B63" s="42" t="s">
        <v>449</v>
      </c>
      <c r="C63" s="43"/>
      <c r="D63" s="43"/>
      <c r="E63" s="43"/>
      <c r="F63" s="43"/>
      <c r="G63" s="44"/>
      <c r="H63" s="9">
        <f>ROUND(H60*3.412,0)</f>
        <v>0</v>
      </c>
      <c r="I63" s="9" t="s">
        <v>450</v>
      </c>
      <c r="J63" s="45" t="str">
        <f>"≈ "&amp;TEXT(H63/12000,"0.00")&amp;" t.r. · dato para la hoja de cargas térmicas"</f>
        <v>≈ 0.00 t.r. · dato para la hoja de cargas térmicas</v>
      </c>
      <c r="K63" s="38"/>
      <c r="L63" s="38"/>
      <c r="M63" s="38"/>
      <c r="N63" s="38"/>
      <c r="O63" s="38"/>
      <c r="P63" s="38"/>
      <c r="Q63" s="39"/>
      <c r="T63" s="22" t="s">
        <v>343</v>
      </c>
      <c r="V63" s="23" t="s">
        <v>339</v>
      </c>
      <c r="BA63">
        <f>IF(OR(Catalogo!$C63="",Catalogo!$B63="Espacio libre",Catalogo!$B63="Espacio reservado"),0,COUNTIF($C$13:$C$42,Catalogo!$C63)+IF($E$7=Catalogo!$C63,N($K$7),0)+IF($E$8=Catalogo!$C63,N($N$8),0)+IF(Proyecto!$D$12=Catalogo!$C63,$AQ$4,0)+SUMIF($C$49:$C$58,Catalogo!$C63,$K$49:$K$58))</f>
        <v>0</v>
      </c>
    </row>
    <row r="64" spans="2:53" x14ac:dyDescent="0.45">
      <c r="B64" s="42" t="s">
        <v>451</v>
      </c>
      <c r="C64" s="43"/>
      <c r="D64" s="43"/>
      <c r="E64" s="43"/>
      <c r="F64" s="43"/>
      <c r="G64" s="44"/>
      <c r="H64" s="9">
        <f>ROUND(SUM($CM$13:$CM$42),0)</f>
        <v>2</v>
      </c>
      <c r="I64" s="9" t="s">
        <v>452</v>
      </c>
      <c r="J64" s="45" t="s">
        <v>453</v>
      </c>
      <c r="K64" s="38"/>
      <c r="L64" s="38"/>
      <c r="M64" s="38"/>
      <c r="N64" s="38"/>
      <c r="O64" s="38"/>
      <c r="P64" s="38"/>
      <c r="Q64" s="39"/>
      <c r="T64" s="24" t="s">
        <v>352</v>
      </c>
      <c r="V64" s="25" t="s">
        <v>349</v>
      </c>
      <c r="BA64">
        <f>IF(OR(Catalogo!$C64="",Catalogo!$B64="Espacio libre",Catalogo!$B64="Espacio reservado"),0,COUNTIF($C$13:$C$42,Catalogo!$C64)+IF($E$7=Catalogo!$C64,N($K$7),0)+IF($E$8=Catalogo!$C64,N($N$8),0)+IF(Proyecto!$D$12=Catalogo!$C64,$AQ$4,0)+SUMIF($C$49:$C$58,Catalogo!$C64,$K$49:$K$58))</f>
        <v>0</v>
      </c>
    </row>
    <row r="65" spans="2:82" x14ac:dyDescent="0.45">
      <c r="B65" s="42" t="s">
        <v>454</v>
      </c>
      <c r="C65" s="43"/>
      <c r="D65" s="43"/>
      <c r="E65" s="43"/>
      <c r="F65" s="43"/>
      <c r="G65" s="44"/>
      <c r="H65" s="9">
        <f>SUM($CN$13:$CN$42)</f>
        <v>0</v>
      </c>
      <c r="I65" s="9" t="s">
        <v>22</v>
      </c>
      <c r="J65" s="45" t="str">
        <f>IF(H65=0,"Sin UPS en la lista de equipos",COUNTIF($AD$13:$AD$42,"UPS")&amp;" UPS en el rack")</f>
        <v>Sin UPS en la lista de equipos</v>
      </c>
      <c r="K65" s="38"/>
      <c r="L65" s="38"/>
      <c r="M65" s="38"/>
      <c r="N65" s="38"/>
      <c r="O65" s="38"/>
      <c r="P65" s="38"/>
      <c r="Q65" s="39"/>
      <c r="T65" s="26" t="s">
        <v>322</v>
      </c>
      <c r="V65" s="27" t="s">
        <v>316</v>
      </c>
      <c r="BA65">
        <f>IF(OR(Catalogo!$C65="",Catalogo!$B65="Espacio libre",Catalogo!$B65="Espacio reservado"),0,COUNTIF($C$13:$C$42,Catalogo!$C65)+IF($E$7=Catalogo!$C65,N($K$7),0)+IF($E$8=Catalogo!$C65,N($N$8),0)+IF(Proyecto!$D$12=Catalogo!$C65,$AQ$4,0)+SUMIF($C$49:$C$58,Catalogo!$C65,$K$49:$K$58))</f>
        <v>0</v>
      </c>
    </row>
    <row r="66" spans="2:82" x14ac:dyDescent="0.45">
      <c r="B66" s="42" t="s">
        <v>455</v>
      </c>
      <c r="C66" s="43"/>
      <c r="D66" s="43"/>
      <c r="E66" s="43"/>
      <c r="F66" s="43"/>
      <c r="G66" s="44"/>
      <c r="H66" s="12" t="str">
        <f>IF($H$65=0,"",$H$62/$H$65)</f>
        <v/>
      </c>
      <c r="I66" s="9" t="s">
        <v>456</v>
      </c>
      <c r="J66" s="45" t="str">
        <f>IF(H66="","",IF(H66&gt;0.8,"⚠ Más del 80 % de la capacidad","✓ Dentro del 80 % de la capacidad"))</f>
        <v/>
      </c>
      <c r="K66" s="38"/>
      <c r="L66" s="38"/>
      <c r="M66" s="38"/>
      <c r="N66" s="38"/>
      <c r="O66" s="38"/>
      <c r="P66" s="38"/>
      <c r="Q66" s="39"/>
      <c r="T66" s="28" t="s">
        <v>359</v>
      </c>
      <c r="V66" s="29" t="s">
        <v>51</v>
      </c>
      <c r="BA66">
        <f>IF(OR(Catalogo!$C66="",Catalogo!$B66="Espacio libre",Catalogo!$B66="Espacio reservado"),0,COUNTIF($C$13:$C$42,Catalogo!$C66)+IF($E$7=Catalogo!$C66,N($K$7),0)+IF($E$8=Catalogo!$C66,N($N$8),0)+IF(Proyecto!$D$12=Catalogo!$C66,$AQ$4,0)+SUMIF($C$49:$C$58,Catalogo!$C66,$K$49:$K$58))</f>
        <v>0</v>
      </c>
    </row>
    <row r="67" spans="2:82" x14ac:dyDescent="0.45">
      <c r="B67" s="42" t="s">
        <v>457</v>
      </c>
      <c r="C67" s="43"/>
      <c r="D67" s="43"/>
      <c r="E67" s="43"/>
      <c r="F67" s="43"/>
      <c r="G67" s="44"/>
      <c r="H67" s="12" t="str">
        <f>IF(MAX($CN$13:$CN$42)=0,"",$H$62/MAX($CN$13:$CN$42))</f>
        <v/>
      </c>
      <c r="I67" s="9" t="s">
        <v>456</v>
      </c>
      <c r="J67" s="45" t="str">
        <f>IF(H67="","",IF(COUNTIF($AD$13:$AD$42,"UPS")&lt;2,"Un solo UPS: sin redundancia",IF(H67&gt;0.8,"⚠ Un UPS no soporta la carga","✓ Un UPS soporta la carga")))</f>
        <v/>
      </c>
      <c r="K67" s="38"/>
      <c r="L67" s="38"/>
      <c r="M67" s="38"/>
      <c r="N67" s="38"/>
      <c r="O67" s="38"/>
      <c r="P67" s="38"/>
      <c r="Q67" s="39"/>
      <c r="T67" s="30" t="s">
        <v>233</v>
      </c>
      <c r="V67" s="31" t="s">
        <v>326</v>
      </c>
      <c r="BA67">
        <f>IF(OR(Catalogo!$C67="",Catalogo!$B67="Espacio libre",Catalogo!$B67="Espacio reservado"),0,COUNTIF($C$13:$C$42,Catalogo!$C67)+IF($E$7=Catalogo!$C67,N($K$7),0)+IF($E$8=Catalogo!$C67,N($N$8),0)+IF(Proyecto!$D$12=Catalogo!$C67,$AQ$4,0)+SUMIF($C$49:$C$58,Catalogo!$C67,$K$49:$K$58))</f>
        <v>0</v>
      </c>
    </row>
    <row r="68" spans="2:82" ht="18" customHeight="1" x14ac:dyDescent="0.45">
      <c r="B68" s="2" t="s">
        <v>406</v>
      </c>
      <c r="C68" s="2"/>
      <c r="D68" s="2"/>
      <c r="E68" s="2" t="s">
        <v>407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32" t="s">
        <v>330</v>
      </c>
      <c r="U68" s="2"/>
      <c r="V68" s="32" t="s">
        <v>408</v>
      </c>
      <c r="W68" s="2"/>
      <c r="X68" s="2"/>
      <c r="BA68">
        <f>IF(OR(Catalogo!$C68="",Catalogo!$B68="Espacio libre",Catalogo!$B68="Espacio reservado"),0,COUNTIF($C$13:$C$42,Catalogo!$C68)+IF($E$7=Catalogo!$C68,N($K$7),0)+IF($E$8=Catalogo!$C68,N($N$8),0)+IF(Proyecto!$D$12=Catalogo!$C68,$AQ$4,0)+SUMIF($C$49:$C$58,Catalogo!$C68,$K$49:$K$58))</f>
        <v>0</v>
      </c>
    </row>
    <row r="69" spans="2:82" x14ac:dyDescent="0.45">
      <c r="B69" s="10" t="s">
        <v>409</v>
      </c>
      <c r="BA69">
        <f>IF(OR(Catalogo!$C69="",Catalogo!$B69="Espacio libre",Catalogo!$B69="Espacio reservado"),0,COUNTIF($C$13:$C$42,Catalogo!$C69)+IF($E$7=Catalogo!$C69,N($K$7),0)+IF($E$8=Catalogo!$C69,N($N$8),0)+IF(Proyecto!$D$12=Catalogo!$C69,$AQ$4,0)+SUMIF($C$49:$C$58,Catalogo!$C69,$K$49:$K$58))</f>
        <v>0</v>
      </c>
    </row>
    <row r="70" spans="2:82" x14ac:dyDescent="0.45">
      <c r="B70" s="51" t="str">
        <f>IF($BN$13="","Bloque 1 — sin panel","Panel "&amp;$BN$13&amp;"  (puertos "&amp;($BM$13+1)&amp;"-"&amp;MIN($BM$13+24,$BO$13)&amp;")"&amp;IF($BP$13&lt;&gt;"","  · "&amp;$BP$13,"")&amp;"  · "&amp;TEXT(IFERROR(INDEX($BS$13:$BS$28,$BL$13)/$BO$13,0),"0%"))</f>
        <v>Panel -AA  (puertos 1-24)  · 4%</v>
      </c>
      <c r="C70" s="40"/>
      <c r="D70" s="40"/>
      <c r="E70" s="40"/>
      <c r="F70" s="40"/>
      <c r="H70" s="51" t="str">
        <f>IF($BN$14="","Bloque 2 — sin panel","Panel "&amp;$BN$14&amp;"  (puertos "&amp;($BM$14+1)&amp;"-"&amp;MIN($BM$14+24,$BO$14)&amp;")"&amp;IF($BP$14&lt;&gt;"","  · "&amp;$BP$14,"")&amp;"  · "&amp;TEXT(IFERROR(INDEX($BS$13:$BS$28,$BL$14)/$BO$14,0),"0%"))</f>
        <v>Panel -AA  (puertos 25-48)  · 4%</v>
      </c>
      <c r="I70" s="40"/>
      <c r="J70" s="40"/>
      <c r="K70" s="40"/>
      <c r="L70" s="40"/>
      <c r="N70" s="51" t="str">
        <f>IF($BN$15="","Bloque 3 — sin panel","Panel "&amp;$BN$15&amp;"  (puertos "&amp;($BM$15+1)&amp;"-"&amp;MIN($BM$15+24,$BO$15)&amp;")"&amp;IF($BP$15&lt;&gt;"","  · "&amp;$BP$15,"")&amp;"  · "&amp;TEXT(IFERROR(INDEX($BS$13:$BS$28,$BL$15)/$BO$15,0),"0%"))</f>
        <v>Bloque 3 — sin panel</v>
      </c>
      <c r="O70" s="40"/>
      <c r="P70" s="40"/>
      <c r="Q70" s="40"/>
      <c r="R70" s="40"/>
      <c r="T70" s="51" t="str">
        <f>IF($BN$16="","Bloque 4 — sin panel","Panel "&amp;$BN$16&amp;"  (puertos "&amp;($BM$16+1)&amp;"-"&amp;MIN($BM$16+24,$BO$16)&amp;")"&amp;IF($BP$16&lt;&gt;"","  · "&amp;$BP$16,"")&amp;"  · "&amp;TEXT(IFERROR(INDEX($BS$13:$BS$28,$BL$16)/$BO$16,0),"0%"))</f>
        <v>Bloque 4 — sin panel</v>
      </c>
      <c r="U70" s="40"/>
      <c r="V70" s="40"/>
      <c r="W70" s="40"/>
      <c r="X70" s="40"/>
      <c r="BA70">
        <f>IF(OR(Catalogo!$C70="",Catalogo!$B70="Espacio libre",Catalogo!$B70="Espacio reservado"),0,COUNTIF($C$13:$C$42,Catalogo!$C70)+IF($E$7=Catalogo!$C70,N($K$7),0)+IF($E$8=Catalogo!$C70,N($N$8),0)+IF(Proyecto!$D$12=Catalogo!$C70,$AQ$4,0)+SUMIF($C$49:$C$58,Catalogo!$C70,$K$49:$K$58))</f>
        <v>0</v>
      </c>
    </row>
    <row r="71" spans="2:82" x14ac:dyDescent="0.45">
      <c r="B71" s="5" t="s">
        <v>410</v>
      </c>
      <c r="C71" s="5" t="s">
        <v>411</v>
      </c>
      <c r="D71" s="5" t="s">
        <v>389</v>
      </c>
      <c r="E71" s="5" t="s">
        <v>412</v>
      </c>
      <c r="F71" s="5" t="s">
        <v>413</v>
      </c>
      <c r="H71" s="5" t="s">
        <v>410</v>
      </c>
      <c r="I71" s="5" t="s">
        <v>411</v>
      </c>
      <c r="J71" s="5" t="s">
        <v>389</v>
      </c>
      <c r="K71" s="5" t="s">
        <v>412</v>
      </c>
      <c r="L71" s="5" t="s">
        <v>413</v>
      </c>
      <c r="N71" s="5" t="s">
        <v>410</v>
      </c>
      <c r="O71" s="5" t="s">
        <v>411</v>
      </c>
      <c r="P71" s="5" t="s">
        <v>389</v>
      </c>
      <c r="Q71" s="5" t="s">
        <v>412</v>
      </c>
      <c r="R71" s="5" t="s">
        <v>413</v>
      </c>
      <c r="T71" s="5" t="s">
        <v>410</v>
      </c>
      <c r="U71" s="5" t="s">
        <v>411</v>
      </c>
      <c r="V71" s="5" t="s">
        <v>389</v>
      </c>
      <c r="W71" s="5" t="s">
        <v>412</v>
      </c>
      <c r="X71" s="5" t="s">
        <v>413</v>
      </c>
      <c r="BA71">
        <f>IF(OR(Catalogo!$C71="",Catalogo!$B71="Espacio libre",Catalogo!$B71="Espacio reservado"),0,COUNTIF($C$13:$C$42,Catalogo!$C71)+IF($E$7=Catalogo!$C71,N($K$7),0)+IF($E$8=Catalogo!$C71,N($N$8),0)+IF(Proyecto!$D$12=Catalogo!$C71,$AQ$4,0)+SUMIF($C$49:$C$58,Catalogo!$C71,$K$49:$K$58))</f>
        <v>0</v>
      </c>
    </row>
    <row r="72" spans="2:82" x14ac:dyDescent="0.45">
      <c r="B72" s="6" t="s">
        <v>22</v>
      </c>
      <c r="C72" s="9" t="str">
        <f>IF(CA72="","",CA72&amp;"-"&amp;TEXT(0+COUNTIF($CA$72:CA72,CA72),"000"))</f>
        <v>W-001</v>
      </c>
      <c r="D72" s="9" t="str">
        <f>IF(AND($BN$13&lt;&gt;"",($BM$13+1)&lt;=$BO$13),$BN$13,"")</f>
        <v>-AA</v>
      </c>
      <c r="E72" s="9" t="str">
        <f>IF(AND($BN$13&lt;&gt;"",($BM$13+1)&lt;=$BO$13),TEXT(($BM$13+1),"00"),"")</f>
        <v>01</v>
      </c>
      <c r="F72" s="9" t="str">
        <f>IF(AND($BN$13&lt;&gt;"",($BM$13+1)&lt;=$BO$13),$BN$13&amp;"-"&amp;TEXT(($BM$13+1),"00"),"")</f>
        <v>-AA-01</v>
      </c>
      <c r="H72" s="6" t="s">
        <v>18</v>
      </c>
      <c r="I72" s="9" t="str">
        <f>IF(CB72="","",CB72&amp;"-"&amp;TEXT(COUNTIF($CA$72:$CA$95,CB72)+COUNTIF($CB$72:CB72,CB72),"000"))</f>
        <v>C-001</v>
      </c>
      <c r="J72" s="9" t="str">
        <f>IF(AND($BN$14&lt;&gt;"",($BM$14+1)&lt;=$BO$14),$BN$14,"")</f>
        <v>-AA</v>
      </c>
      <c r="K72" s="9" t="str">
        <f>IF(AND($BN$14&lt;&gt;"",($BM$14+1)&lt;=$BO$14),TEXT(($BM$14+1),"00"),"")</f>
        <v>25</v>
      </c>
      <c r="L72" s="9" t="str">
        <f>IF(AND($BN$14&lt;&gt;"",($BM$14+1)&lt;=$BO$14),$BN$14&amp;"-"&amp;TEXT(($BM$14+1),"00"),"")</f>
        <v>-AA-25</v>
      </c>
      <c r="N72" s="6"/>
      <c r="O72" s="9" t="str">
        <f>IF(CC72="","",CC72&amp;"-"&amp;TEXT(COUNTIF($CA$72:$CA$95,CC72)+COUNTIF($CB$72:$CB$95,CC72)+COUNTIF($CC$72:CC72,CC72),"000"))</f>
        <v/>
      </c>
      <c r="P72" s="9" t="str">
        <f>IF(AND($BN$15&lt;&gt;"",($BM$15+1)&lt;=$BO$15),$BN$15,"")</f>
        <v/>
      </c>
      <c r="Q72" s="9" t="str">
        <f>IF(AND($BN$15&lt;&gt;"",($BM$15+1)&lt;=$BO$15),TEXT(($BM$15+1),"00"),"")</f>
        <v/>
      </c>
      <c r="R72" s="9" t="str">
        <f>IF(AND($BN$15&lt;&gt;"",($BM$15+1)&lt;=$BO$15),$BN$15&amp;"-"&amp;TEXT(($BM$15+1),"00"),"")</f>
        <v/>
      </c>
      <c r="T72" s="6"/>
      <c r="U72" s="9" t="str">
        <f>IF(CD72="","",CD72&amp;"-"&amp;TEXT(COUNTIF($CA$72:$CA$95,CD72)+COUNTIF($CB$72:$CB$95,CD72)+COUNTIF($CC$72:$CC$95,CD72)+COUNTIF($CD$72:CD72,CD72),"000"))</f>
        <v/>
      </c>
      <c r="V72" s="9" t="str">
        <f>IF(AND($BN$16&lt;&gt;"",($BM$16+1)&lt;=$BO$16),$BN$16,"")</f>
        <v/>
      </c>
      <c r="W72" s="9" t="str">
        <f>IF(AND($BN$16&lt;&gt;"",($BM$16+1)&lt;=$BO$16),TEXT(($BM$16+1),"00"),"")</f>
        <v/>
      </c>
      <c r="X72" s="9" t="str">
        <f>IF(AND($BN$16&lt;&gt;"",($BM$16+1)&lt;=$BO$16),$BN$16&amp;"-"&amp;TEXT(($BM$16+1),"00"),"")</f>
        <v/>
      </c>
      <c r="BA72">
        <f>IF(OR(Catalogo!$C72="",Catalogo!$B72="Espacio libre",Catalogo!$B72="Espacio reservado"),0,COUNTIF($C$13:$C$42,Catalogo!$C72)+IF($E$7=Catalogo!$C72,N($K$7),0)+IF($E$8=Catalogo!$C72,N($N$8),0)+IF(Proyecto!$D$12=Catalogo!$C72,$AQ$4,0)+SUMIF($C$49:$C$58,Catalogo!$C72,$K$49:$K$58))</f>
        <v>0</v>
      </c>
      <c r="CA72" t="str" cm="1">
        <f t="array" ref="CA72">IF(NOT(AND($BN$13&lt;&gt;"",($BM$13+1)&lt;=$BO$13)),"",IF(B72&lt;&gt;"",IF(B72="-","",B72),IF(ISNUMBER(SEARCH(":",$BP$13)),IFERROR(_xlfn.LET(_xlpm.s,_xlfn.TEXTSPLIT($BP$13,","),_xlpm.k,FIND(":",_xlpm.s),INDEX(TRIM(LEFT(_xlpm.s,_xlpm.k-1)),_xlfn.XMATCH(($BM$13+1),_xlfn.SCAN(0,--MID(_xlpm.s,_xlpm.k+1,9),_xlfn.LAMBDA(_xlpm.a,_xlpm.v,_xlpm.a+_xlpm.v)),1))),""),IF(($BM$13+1)&lt;=$BQ$13,$BP$13,""))))</f>
        <v>W</v>
      </c>
      <c r="CB72" t="str" cm="1">
        <f t="array" ref="CB72">IF(NOT(AND($BN$14&lt;&gt;"",($BM$14+1)&lt;=$BO$14)),"",IF(H72&lt;&gt;"",IF(H72="-","",H72),IF(ISNUMBER(SEARCH(":",$BP$14)),IFERROR(_xlfn.LET(_xlpm.s,_xlfn.TEXTSPLIT($BP$14,","),_xlpm.k,FIND(":",_xlpm.s),INDEX(TRIM(LEFT(_xlpm.s,_xlpm.k-1)),_xlfn.XMATCH(($BM$14+1),_xlfn.SCAN(0,--MID(_xlpm.s,_xlpm.k+1,9),_xlfn.LAMBDA(_xlpm.a,_xlpm.v,_xlpm.a+_xlpm.v)),1))),""),IF(($BM$14+1)&lt;=$BQ$14,$BP$14,""))))</f>
        <v>C</v>
      </c>
      <c r="CC72" t="str" cm="1">
        <f t="array" ref="CC72">IF(NOT(AND($BN$15&lt;&gt;"",($BM$15+1)&lt;=$BO$15)),"",IF(N72&lt;&gt;"",IF(N72="-","",N72),IF(ISNUMBER(SEARCH(":",$BP$15)),IFERROR(_xlfn.LET(_xlpm.s,_xlfn.TEXTSPLIT($BP$15,","),_xlpm.k,FIND(":",_xlpm.s),INDEX(TRIM(LEFT(_xlpm.s,_xlpm.k-1)),_xlfn.XMATCH(($BM$15+1),_xlfn.SCAN(0,--MID(_xlpm.s,_xlpm.k+1,9),_xlfn.LAMBDA(_xlpm.a,_xlpm.v,_xlpm.a+_xlpm.v)),1))),""),IF(($BM$15+1)&lt;=$BQ$15,$BP$15,""))))</f>
        <v/>
      </c>
      <c r="CD72" t="str" cm="1">
        <f t="array" ref="CD72">IF(NOT(AND($BN$16&lt;&gt;"",($BM$16+1)&lt;=$BO$16)),"",IF(T72&lt;&gt;"",IF(T72="-","",T72),IF(ISNUMBER(SEARCH(":",$BP$16)),IFERROR(_xlfn.LET(_xlpm.s,_xlfn.TEXTSPLIT($BP$16,","),_xlpm.k,FIND(":",_xlpm.s),INDEX(TRIM(LEFT(_xlpm.s,_xlpm.k-1)),_xlfn.XMATCH(($BM$16+1),_xlfn.SCAN(0,--MID(_xlpm.s,_xlpm.k+1,9),_xlfn.LAMBDA(_xlpm.a,_xlpm.v,_xlpm.a+_xlpm.v)),1))),""),IF(($BM$16+1)&lt;=$BQ$16,$BP$16,""))))</f>
        <v/>
      </c>
    </row>
    <row r="73" spans="2:82" x14ac:dyDescent="0.45">
      <c r="B73" s="6"/>
      <c r="C73" s="9" t="str">
        <f>IF(CA73="","",CA73&amp;"-"&amp;TEXT(0+COUNTIF($CA$72:CA73,CA73),"000"))</f>
        <v/>
      </c>
      <c r="D73" s="9" t="str">
        <f>IF(AND($BN$13&lt;&gt;"",($BM$13+2)&lt;=$BO$13),$BN$13,"")</f>
        <v>-AA</v>
      </c>
      <c r="E73" s="9" t="str">
        <f>IF(AND($BN$13&lt;&gt;"",($BM$13+2)&lt;=$BO$13),TEXT(($BM$13+2),"00"),"")</f>
        <v>02</v>
      </c>
      <c r="F73" s="9" t="str">
        <f>IF(AND($BN$13&lt;&gt;"",($BM$13+2)&lt;=$BO$13),$BN$13&amp;"-"&amp;TEXT(($BM$13+2),"00"),"")</f>
        <v>-AA-02</v>
      </c>
      <c r="H73" s="6"/>
      <c r="I73" s="9" t="str">
        <f>IF(CB73="","",CB73&amp;"-"&amp;TEXT(COUNTIF($CA$72:$CA$95,CB73)+COUNTIF($CB$72:CB73,CB73),"000"))</f>
        <v/>
      </c>
      <c r="J73" s="9" t="str">
        <f>IF(AND($BN$14&lt;&gt;"",($BM$14+2)&lt;=$BO$14),$BN$14,"")</f>
        <v>-AA</v>
      </c>
      <c r="K73" s="9" t="str">
        <f>IF(AND($BN$14&lt;&gt;"",($BM$14+2)&lt;=$BO$14),TEXT(($BM$14+2),"00"),"")</f>
        <v>26</v>
      </c>
      <c r="L73" s="9" t="str">
        <f>IF(AND($BN$14&lt;&gt;"",($BM$14+2)&lt;=$BO$14),$BN$14&amp;"-"&amp;TEXT(($BM$14+2),"00"),"")</f>
        <v>-AA-26</v>
      </c>
      <c r="N73" s="6"/>
      <c r="O73" s="9" t="str">
        <f>IF(CC73="","",CC73&amp;"-"&amp;TEXT(COUNTIF($CA$72:$CA$95,CC73)+COUNTIF($CB$72:$CB$95,CC73)+COUNTIF($CC$72:CC73,CC73),"000"))</f>
        <v/>
      </c>
      <c r="P73" s="9" t="str">
        <f>IF(AND($BN$15&lt;&gt;"",($BM$15+2)&lt;=$BO$15),$BN$15,"")</f>
        <v/>
      </c>
      <c r="Q73" s="9" t="str">
        <f>IF(AND($BN$15&lt;&gt;"",($BM$15+2)&lt;=$BO$15),TEXT(($BM$15+2),"00"),"")</f>
        <v/>
      </c>
      <c r="R73" s="9" t="str">
        <f>IF(AND($BN$15&lt;&gt;"",($BM$15+2)&lt;=$BO$15),$BN$15&amp;"-"&amp;TEXT(($BM$15+2),"00"),"")</f>
        <v/>
      </c>
      <c r="T73" s="6"/>
      <c r="U73" s="9" t="str">
        <f>IF(CD73="","",CD73&amp;"-"&amp;TEXT(COUNTIF($CA$72:$CA$95,CD73)+COUNTIF($CB$72:$CB$95,CD73)+COUNTIF($CC$72:$CC$95,CD73)+COUNTIF($CD$72:CD73,CD73),"000"))</f>
        <v/>
      </c>
      <c r="V73" s="9" t="str">
        <f>IF(AND($BN$16&lt;&gt;"",($BM$16+2)&lt;=$BO$16),$BN$16,"")</f>
        <v/>
      </c>
      <c r="W73" s="9" t="str">
        <f>IF(AND($BN$16&lt;&gt;"",($BM$16+2)&lt;=$BO$16),TEXT(($BM$16+2),"00"),"")</f>
        <v/>
      </c>
      <c r="X73" s="9" t="str">
        <f>IF(AND($BN$16&lt;&gt;"",($BM$16+2)&lt;=$BO$16),$BN$16&amp;"-"&amp;TEXT(($BM$16+2),"00"),"")</f>
        <v/>
      </c>
      <c r="BA73">
        <f>IF(OR(Catalogo!$C73="",Catalogo!$B73="Espacio libre",Catalogo!$B73="Espacio reservado"),0,COUNTIF($C$13:$C$42,Catalogo!$C73)+IF($E$7=Catalogo!$C73,N($K$7),0)+IF($E$8=Catalogo!$C73,N($N$8),0)+IF(Proyecto!$D$12=Catalogo!$C73,$AQ$4,0)+SUMIF($C$49:$C$58,Catalogo!$C73,$K$49:$K$58))</f>
        <v>0</v>
      </c>
      <c r="CA73" t="str" cm="1">
        <f t="array" ref="CA73">IF(NOT(AND($BN$13&lt;&gt;"",($BM$13+2)&lt;=$BO$13)),"",IF(B73&lt;&gt;"",IF(B73="-","",B73),IF(ISNUMBER(SEARCH(":",$BP$13)),IFERROR(_xlfn.LET(_xlpm.s,_xlfn.TEXTSPLIT($BP$13,","),_xlpm.k,FIND(":",_xlpm.s),INDEX(TRIM(LEFT(_xlpm.s,_xlpm.k-1)),_xlfn.XMATCH(($BM$13+2),_xlfn.SCAN(0,--MID(_xlpm.s,_xlpm.k+1,9),_xlfn.LAMBDA(_xlpm.a,_xlpm.v,_xlpm.a+_xlpm.v)),1))),""),IF(($BM$13+2)&lt;=$BQ$13,$BP$13,""))))</f>
        <v/>
      </c>
      <c r="CB73" t="str" cm="1">
        <f t="array" ref="CB73">IF(NOT(AND($BN$14&lt;&gt;"",($BM$14+2)&lt;=$BO$14)),"",IF(H73&lt;&gt;"",IF(H73="-","",H73),IF(ISNUMBER(SEARCH(":",$BP$14)),IFERROR(_xlfn.LET(_xlpm.s,_xlfn.TEXTSPLIT($BP$14,","),_xlpm.k,FIND(":",_xlpm.s),INDEX(TRIM(LEFT(_xlpm.s,_xlpm.k-1)),_xlfn.XMATCH(($BM$14+2),_xlfn.SCAN(0,--MID(_xlpm.s,_xlpm.k+1,9),_xlfn.LAMBDA(_xlpm.a,_xlpm.v,_xlpm.a+_xlpm.v)),1))),""),IF(($BM$14+2)&lt;=$BQ$14,$BP$14,""))))</f>
        <v/>
      </c>
      <c r="CC73" t="str" cm="1">
        <f t="array" ref="CC73">IF(NOT(AND($BN$15&lt;&gt;"",($BM$15+2)&lt;=$BO$15)),"",IF(N73&lt;&gt;"",IF(N73="-","",N73),IF(ISNUMBER(SEARCH(":",$BP$15)),IFERROR(_xlfn.LET(_xlpm.s,_xlfn.TEXTSPLIT($BP$15,","),_xlpm.k,FIND(":",_xlpm.s),INDEX(TRIM(LEFT(_xlpm.s,_xlpm.k-1)),_xlfn.XMATCH(($BM$15+2),_xlfn.SCAN(0,--MID(_xlpm.s,_xlpm.k+1,9),_xlfn.LAMBDA(_xlpm.a,_xlpm.v,_xlpm.a+_xlpm.v)),1))),""),IF(($BM$15+2)&lt;=$BQ$15,$BP$15,""))))</f>
        <v/>
      </c>
      <c r="CD73" t="str" cm="1">
        <f t="array" ref="CD73">IF(NOT(AND($BN$16&lt;&gt;"",($BM$16+2)&lt;=$BO$16)),"",IF(T73&lt;&gt;"",IF(T73="-","",T73),IF(ISNUMBER(SEARCH(":",$BP$16)),IFERROR(_xlfn.LET(_xlpm.s,_xlfn.TEXTSPLIT($BP$16,","),_xlpm.k,FIND(":",_xlpm.s),INDEX(TRIM(LEFT(_xlpm.s,_xlpm.k-1)),_xlfn.XMATCH(($BM$16+2),_xlfn.SCAN(0,--MID(_xlpm.s,_xlpm.k+1,9),_xlfn.LAMBDA(_xlpm.a,_xlpm.v,_xlpm.a+_xlpm.v)),1))),""),IF(($BM$16+2)&lt;=$BQ$16,$BP$16,""))))</f>
        <v/>
      </c>
    </row>
    <row r="74" spans="2:82" x14ac:dyDescent="0.45">
      <c r="B74" s="6"/>
      <c r="C74" s="9" t="str">
        <f>IF(CA74="","",CA74&amp;"-"&amp;TEXT(0+COUNTIF($CA$72:CA74,CA74),"000"))</f>
        <v/>
      </c>
      <c r="D74" s="9" t="str">
        <f>IF(AND($BN$13&lt;&gt;"",($BM$13+3)&lt;=$BO$13),$BN$13,"")</f>
        <v>-AA</v>
      </c>
      <c r="E74" s="9" t="str">
        <f>IF(AND($BN$13&lt;&gt;"",($BM$13+3)&lt;=$BO$13),TEXT(($BM$13+3),"00"),"")</f>
        <v>03</v>
      </c>
      <c r="F74" s="9" t="str">
        <f>IF(AND($BN$13&lt;&gt;"",($BM$13+3)&lt;=$BO$13),$BN$13&amp;"-"&amp;TEXT(($BM$13+3),"00"),"")</f>
        <v>-AA-03</v>
      </c>
      <c r="H74" s="6"/>
      <c r="I74" s="9" t="str">
        <f>IF(CB74="","",CB74&amp;"-"&amp;TEXT(COUNTIF($CA$72:$CA$95,CB74)+COUNTIF($CB$72:CB74,CB74),"000"))</f>
        <v/>
      </c>
      <c r="J74" s="9" t="str">
        <f>IF(AND($BN$14&lt;&gt;"",($BM$14+3)&lt;=$BO$14),$BN$14,"")</f>
        <v>-AA</v>
      </c>
      <c r="K74" s="9" t="str">
        <f>IF(AND($BN$14&lt;&gt;"",($BM$14+3)&lt;=$BO$14),TEXT(($BM$14+3),"00"),"")</f>
        <v>27</v>
      </c>
      <c r="L74" s="9" t="str">
        <f>IF(AND($BN$14&lt;&gt;"",($BM$14+3)&lt;=$BO$14),$BN$14&amp;"-"&amp;TEXT(($BM$14+3),"00"),"")</f>
        <v>-AA-27</v>
      </c>
      <c r="N74" s="6"/>
      <c r="O74" s="9" t="str">
        <f>IF(CC74="","",CC74&amp;"-"&amp;TEXT(COUNTIF($CA$72:$CA$95,CC74)+COUNTIF($CB$72:$CB$95,CC74)+COUNTIF($CC$72:CC74,CC74),"000"))</f>
        <v/>
      </c>
      <c r="P74" s="9" t="str">
        <f>IF(AND($BN$15&lt;&gt;"",($BM$15+3)&lt;=$BO$15),$BN$15,"")</f>
        <v/>
      </c>
      <c r="Q74" s="9" t="str">
        <f>IF(AND($BN$15&lt;&gt;"",($BM$15+3)&lt;=$BO$15),TEXT(($BM$15+3),"00"),"")</f>
        <v/>
      </c>
      <c r="R74" s="9" t="str">
        <f>IF(AND($BN$15&lt;&gt;"",($BM$15+3)&lt;=$BO$15),$BN$15&amp;"-"&amp;TEXT(($BM$15+3),"00"),"")</f>
        <v/>
      </c>
      <c r="T74" s="6"/>
      <c r="U74" s="9" t="str">
        <f>IF(CD74="","",CD74&amp;"-"&amp;TEXT(COUNTIF($CA$72:$CA$95,CD74)+COUNTIF($CB$72:$CB$95,CD74)+COUNTIF($CC$72:$CC$95,CD74)+COUNTIF($CD$72:CD74,CD74),"000"))</f>
        <v/>
      </c>
      <c r="V74" s="9" t="str">
        <f>IF(AND($BN$16&lt;&gt;"",($BM$16+3)&lt;=$BO$16),$BN$16,"")</f>
        <v/>
      </c>
      <c r="W74" s="9" t="str">
        <f>IF(AND($BN$16&lt;&gt;"",($BM$16+3)&lt;=$BO$16),TEXT(($BM$16+3),"00"),"")</f>
        <v/>
      </c>
      <c r="X74" s="9" t="str">
        <f>IF(AND($BN$16&lt;&gt;"",($BM$16+3)&lt;=$BO$16),$BN$16&amp;"-"&amp;TEXT(($BM$16+3),"00"),"")</f>
        <v/>
      </c>
      <c r="BA74">
        <f>IF(OR(Catalogo!$C74="",Catalogo!$B74="Espacio libre",Catalogo!$B74="Espacio reservado"),0,COUNTIF($C$13:$C$42,Catalogo!$C74)+IF($E$7=Catalogo!$C74,N($K$7),0)+IF($E$8=Catalogo!$C74,N($N$8),0)+IF(Proyecto!$D$12=Catalogo!$C74,$AQ$4,0)+SUMIF($C$49:$C$58,Catalogo!$C74,$K$49:$K$58))</f>
        <v>0</v>
      </c>
      <c r="CA74" t="str" cm="1">
        <f t="array" ref="CA74">IF(NOT(AND($BN$13&lt;&gt;"",($BM$13+3)&lt;=$BO$13)),"",IF(B74&lt;&gt;"",IF(B74="-","",B74),IF(ISNUMBER(SEARCH(":",$BP$13)),IFERROR(_xlfn.LET(_xlpm.s,_xlfn.TEXTSPLIT($BP$13,","),_xlpm.k,FIND(":",_xlpm.s),INDEX(TRIM(LEFT(_xlpm.s,_xlpm.k-1)),_xlfn.XMATCH(($BM$13+3),_xlfn.SCAN(0,--MID(_xlpm.s,_xlpm.k+1,9),_xlfn.LAMBDA(_xlpm.a,_xlpm.v,_xlpm.a+_xlpm.v)),1))),""),IF(($BM$13+3)&lt;=$BQ$13,$BP$13,""))))</f>
        <v/>
      </c>
      <c r="CB74" t="str" cm="1">
        <f t="array" ref="CB74">IF(NOT(AND($BN$14&lt;&gt;"",($BM$14+3)&lt;=$BO$14)),"",IF(H74&lt;&gt;"",IF(H74="-","",H74),IF(ISNUMBER(SEARCH(":",$BP$14)),IFERROR(_xlfn.LET(_xlpm.s,_xlfn.TEXTSPLIT($BP$14,","),_xlpm.k,FIND(":",_xlpm.s),INDEX(TRIM(LEFT(_xlpm.s,_xlpm.k-1)),_xlfn.XMATCH(($BM$14+3),_xlfn.SCAN(0,--MID(_xlpm.s,_xlpm.k+1,9),_xlfn.LAMBDA(_xlpm.a,_xlpm.v,_xlpm.a+_xlpm.v)),1))),""),IF(($BM$14+3)&lt;=$BQ$14,$BP$14,""))))</f>
        <v/>
      </c>
      <c r="CC74" t="str" cm="1">
        <f t="array" ref="CC74">IF(NOT(AND($BN$15&lt;&gt;"",($BM$15+3)&lt;=$BO$15)),"",IF(N74&lt;&gt;"",IF(N74="-","",N74),IF(ISNUMBER(SEARCH(":",$BP$15)),IFERROR(_xlfn.LET(_xlpm.s,_xlfn.TEXTSPLIT($BP$15,","),_xlpm.k,FIND(":",_xlpm.s),INDEX(TRIM(LEFT(_xlpm.s,_xlpm.k-1)),_xlfn.XMATCH(($BM$15+3),_xlfn.SCAN(0,--MID(_xlpm.s,_xlpm.k+1,9),_xlfn.LAMBDA(_xlpm.a,_xlpm.v,_xlpm.a+_xlpm.v)),1))),""),IF(($BM$15+3)&lt;=$BQ$15,$BP$15,""))))</f>
        <v/>
      </c>
      <c r="CD74" t="str" cm="1">
        <f t="array" ref="CD74">IF(NOT(AND($BN$16&lt;&gt;"",($BM$16+3)&lt;=$BO$16)),"",IF(T74&lt;&gt;"",IF(T74="-","",T74),IF(ISNUMBER(SEARCH(":",$BP$16)),IFERROR(_xlfn.LET(_xlpm.s,_xlfn.TEXTSPLIT($BP$16,","),_xlpm.k,FIND(":",_xlpm.s),INDEX(TRIM(LEFT(_xlpm.s,_xlpm.k-1)),_xlfn.XMATCH(($BM$16+3),_xlfn.SCAN(0,--MID(_xlpm.s,_xlpm.k+1,9),_xlfn.LAMBDA(_xlpm.a,_xlpm.v,_xlpm.a+_xlpm.v)),1))),""),IF(($BM$16+3)&lt;=$BQ$16,$BP$16,""))))</f>
        <v/>
      </c>
    </row>
    <row r="75" spans="2:82" x14ac:dyDescent="0.45">
      <c r="B75" s="6"/>
      <c r="C75" s="9" t="str">
        <f>IF(CA75="","",CA75&amp;"-"&amp;TEXT(0+COUNTIF($CA$72:CA75,CA75),"000"))</f>
        <v/>
      </c>
      <c r="D75" s="9" t="str">
        <f>IF(AND($BN$13&lt;&gt;"",($BM$13+4)&lt;=$BO$13),$BN$13,"")</f>
        <v>-AA</v>
      </c>
      <c r="E75" s="9" t="str">
        <f>IF(AND($BN$13&lt;&gt;"",($BM$13+4)&lt;=$BO$13),TEXT(($BM$13+4),"00"),"")</f>
        <v>04</v>
      </c>
      <c r="F75" s="9" t="str">
        <f>IF(AND($BN$13&lt;&gt;"",($BM$13+4)&lt;=$BO$13),$BN$13&amp;"-"&amp;TEXT(($BM$13+4),"00"),"")</f>
        <v>-AA-04</v>
      </c>
      <c r="H75" s="6"/>
      <c r="I75" s="9" t="str">
        <f>IF(CB75="","",CB75&amp;"-"&amp;TEXT(COUNTIF($CA$72:$CA$95,CB75)+COUNTIF($CB$72:CB75,CB75),"000"))</f>
        <v/>
      </c>
      <c r="J75" s="9" t="str">
        <f>IF(AND($BN$14&lt;&gt;"",($BM$14+4)&lt;=$BO$14),$BN$14,"")</f>
        <v>-AA</v>
      </c>
      <c r="K75" s="9" t="str">
        <f>IF(AND($BN$14&lt;&gt;"",($BM$14+4)&lt;=$BO$14),TEXT(($BM$14+4),"00"),"")</f>
        <v>28</v>
      </c>
      <c r="L75" s="9" t="str">
        <f>IF(AND($BN$14&lt;&gt;"",($BM$14+4)&lt;=$BO$14),$BN$14&amp;"-"&amp;TEXT(($BM$14+4),"00"),"")</f>
        <v>-AA-28</v>
      </c>
      <c r="N75" s="6"/>
      <c r="O75" s="9" t="str">
        <f>IF(CC75="","",CC75&amp;"-"&amp;TEXT(COUNTIF($CA$72:$CA$95,CC75)+COUNTIF($CB$72:$CB$95,CC75)+COUNTIF($CC$72:CC75,CC75),"000"))</f>
        <v/>
      </c>
      <c r="P75" s="9" t="str">
        <f>IF(AND($BN$15&lt;&gt;"",($BM$15+4)&lt;=$BO$15),$BN$15,"")</f>
        <v/>
      </c>
      <c r="Q75" s="9" t="str">
        <f>IF(AND($BN$15&lt;&gt;"",($BM$15+4)&lt;=$BO$15),TEXT(($BM$15+4),"00"),"")</f>
        <v/>
      </c>
      <c r="R75" s="9" t="str">
        <f>IF(AND($BN$15&lt;&gt;"",($BM$15+4)&lt;=$BO$15),$BN$15&amp;"-"&amp;TEXT(($BM$15+4),"00"),"")</f>
        <v/>
      </c>
      <c r="T75" s="6"/>
      <c r="U75" s="9" t="str">
        <f>IF(CD75="","",CD75&amp;"-"&amp;TEXT(COUNTIF($CA$72:$CA$95,CD75)+COUNTIF($CB$72:$CB$95,CD75)+COUNTIF($CC$72:$CC$95,CD75)+COUNTIF($CD$72:CD75,CD75),"000"))</f>
        <v/>
      </c>
      <c r="V75" s="9" t="str">
        <f>IF(AND($BN$16&lt;&gt;"",($BM$16+4)&lt;=$BO$16),$BN$16,"")</f>
        <v/>
      </c>
      <c r="W75" s="9" t="str">
        <f>IF(AND($BN$16&lt;&gt;"",($BM$16+4)&lt;=$BO$16),TEXT(($BM$16+4),"00"),"")</f>
        <v/>
      </c>
      <c r="X75" s="9" t="str">
        <f>IF(AND($BN$16&lt;&gt;"",($BM$16+4)&lt;=$BO$16),$BN$16&amp;"-"&amp;TEXT(($BM$16+4),"00"),"")</f>
        <v/>
      </c>
      <c r="BA75">
        <f>IF(OR(Catalogo!$C75="",Catalogo!$B75="Espacio libre",Catalogo!$B75="Espacio reservado"),0,COUNTIF($C$13:$C$42,Catalogo!$C75)+IF($E$7=Catalogo!$C75,N($K$7),0)+IF($E$8=Catalogo!$C75,N($N$8),0)+IF(Proyecto!$D$12=Catalogo!$C75,$AQ$4,0)+SUMIF($C$49:$C$58,Catalogo!$C75,$K$49:$K$58))</f>
        <v>0</v>
      </c>
      <c r="CA75" t="str" cm="1">
        <f t="array" ref="CA75">IF(NOT(AND($BN$13&lt;&gt;"",($BM$13+4)&lt;=$BO$13)),"",IF(B75&lt;&gt;"",IF(B75="-","",B75),IF(ISNUMBER(SEARCH(":",$BP$13)),IFERROR(_xlfn.LET(_xlpm.s,_xlfn.TEXTSPLIT($BP$13,","),_xlpm.k,FIND(":",_xlpm.s),INDEX(TRIM(LEFT(_xlpm.s,_xlpm.k-1)),_xlfn.XMATCH(($BM$13+4),_xlfn.SCAN(0,--MID(_xlpm.s,_xlpm.k+1,9),_xlfn.LAMBDA(_xlpm.a,_xlpm.v,_xlpm.a+_xlpm.v)),1))),""),IF(($BM$13+4)&lt;=$BQ$13,$BP$13,""))))</f>
        <v/>
      </c>
      <c r="CB75" t="str" cm="1">
        <f t="array" ref="CB75">IF(NOT(AND($BN$14&lt;&gt;"",($BM$14+4)&lt;=$BO$14)),"",IF(H75&lt;&gt;"",IF(H75="-","",H75),IF(ISNUMBER(SEARCH(":",$BP$14)),IFERROR(_xlfn.LET(_xlpm.s,_xlfn.TEXTSPLIT($BP$14,","),_xlpm.k,FIND(":",_xlpm.s),INDEX(TRIM(LEFT(_xlpm.s,_xlpm.k-1)),_xlfn.XMATCH(($BM$14+4),_xlfn.SCAN(0,--MID(_xlpm.s,_xlpm.k+1,9),_xlfn.LAMBDA(_xlpm.a,_xlpm.v,_xlpm.a+_xlpm.v)),1))),""),IF(($BM$14+4)&lt;=$BQ$14,$BP$14,""))))</f>
        <v/>
      </c>
      <c r="CC75" t="str" cm="1">
        <f t="array" ref="CC75">IF(NOT(AND($BN$15&lt;&gt;"",($BM$15+4)&lt;=$BO$15)),"",IF(N75&lt;&gt;"",IF(N75="-","",N75),IF(ISNUMBER(SEARCH(":",$BP$15)),IFERROR(_xlfn.LET(_xlpm.s,_xlfn.TEXTSPLIT($BP$15,","),_xlpm.k,FIND(":",_xlpm.s),INDEX(TRIM(LEFT(_xlpm.s,_xlpm.k-1)),_xlfn.XMATCH(($BM$15+4),_xlfn.SCAN(0,--MID(_xlpm.s,_xlpm.k+1,9),_xlfn.LAMBDA(_xlpm.a,_xlpm.v,_xlpm.a+_xlpm.v)),1))),""),IF(($BM$15+4)&lt;=$BQ$15,$BP$15,""))))</f>
        <v/>
      </c>
      <c r="CD75" t="str" cm="1">
        <f t="array" ref="CD75">IF(NOT(AND($BN$16&lt;&gt;"",($BM$16+4)&lt;=$BO$16)),"",IF(T75&lt;&gt;"",IF(T75="-","",T75),IF(ISNUMBER(SEARCH(":",$BP$16)),IFERROR(_xlfn.LET(_xlpm.s,_xlfn.TEXTSPLIT($BP$16,","),_xlpm.k,FIND(":",_xlpm.s),INDEX(TRIM(LEFT(_xlpm.s,_xlpm.k-1)),_xlfn.XMATCH(($BM$16+4),_xlfn.SCAN(0,--MID(_xlpm.s,_xlpm.k+1,9),_xlfn.LAMBDA(_xlpm.a,_xlpm.v,_xlpm.a+_xlpm.v)),1))),""),IF(($BM$16+4)&lt;=$BQ$16,$BP$16,""))))</f>
        <v/>
      </c>
    </row>
    <row r="76" spans="2:82" x14ac:dyDescent="0.45">
      <c r="B76" s="6"/>
      <c r="C76" s="9" t="str">
        <f>IF(CA76="","",CA76&amp;"-"&amp;TEXT(0+COUNTIF($CA$72:CA76,CA76),"000"))</f>
        <v/>
      </c>
      <c r="D76" s="9" t="str">
        <f>IF(AND($BN$13&lt;&gt;"",($BM$13+5)&lt;=$BO$13),$BN$13,"")</f>
        <v>-AA</v>
      </c>
      <c r="E76" s="9" t="str">
        <f>IF(AND($BN$13&lt;&gt;"",($BM$13+5)&lt;=$BO$13),TEXT(($BM$13+5),"00"),"")</f>
        <v>05</v>
      </c>
      <c r="F76" s="9" t="str">
        <f>IF(AND($BN$13&lt;&gt;"",($BM$13+5)&lt;=$BO$13),$BN$13&amp;"-"&amp;TEXT(($BM$13+5),"00"),"")</f>
        <v>-AA-05</v>
      </c>
      <c r="H76" s="6"/>
      <c r="I76" s="9" t="str">
        <f>IF(CB76="","",CB76&amp;"-"&amp;TEXT(COUNTIF($CA$72:$CA$95,CB76)+COUNTIF($CB$72:CB76,CB76),"000"))</f>
        <v/>
      </c>
      <c r="J76" s="9" t="str">
        <f>IF(AND($BN$14&lt;&gt;"",($BM$14+5)&lt;=$BO$14),$BN$14,"")</f>
        <v>-AA</v>
      </c>
      <c r="K76" s="9" t="str">
        <f>IF(AND($BN$14&lt;&gt;"",($BM$14+5)&lt;=$BO$14),TEXT(($BM$14+5),"00"),"")</f>
        <v>29</v>
      </c>
      <c r="L76" s="9" t="str">
        <f>IF(AND($BN$14&lt;&gt;"",($BM$14+5)&lt;=$BO$14),$BN$14&amp;"-"&amp;TEXT(($BM$14+5),"00"),"")</f>
        <v>-AA-29</v>
      </c>
      <c r="N76" s="6"/>
      <c r="O76" s="9" t="str">
        <f>IF(CC76="","",CC76&amp;"-"&amp;TEXT(COUNTIF($CA$72:$CA$95,CC76)+COUNTIF($CB$72:$CB$95,CC76)+COUNTIF($CC$72:CC76,CC76),"000"))</f>
        <v/>
      </c>
      <c r="P76" s="9" t="str">
        <f>IF(AND($BN$15&lt;&gt;"",($BM$15+5)&lt;=$BO$15),$BN$15,"")</f>
        <v/>
      </c>
      <c r="Q76" s="9" t="str">
        <f>IF(AND($BN$15&lt;&gt;"",($BM$15+5)&lt;=$BO$15),TEXT(($BM$15+5),"00"),"")</f>
        <v/>
      </c>
      <c r="R76" s="9" t="str">
        <f>IF(AND($BN$15&lt;&gt;"",($BM$15+5)&lt;=$BO$15),$BN$15&amp;"-"&amp;TEXT(($BM$15+5),"00"),"")</f>
        <v/>
      </c>
      <c r="T76" s="6"/>
      <c r="U76" s="9" t="str">
        <f>IF(CD76="","",CD76&amp;"-"&amp;TEXT(COUNTIF($CA$72:$CA$95,CD76)+COUNTIF($CB$72:$CB$95,CD76)+COUNTIF($CC$72:$CC$95,CD76)+COUNTIF($CD$72:CD76,CD76),"000"))</f>
        <v/>
      </c>
      <c r="V76" s="9" t="str">
        <f>IF(AND($BN$16&lt;&gt;"",($BM$16+5)&lt;=$BO$16),$BN$16,"")</f>
        <v/>
      </c>
      <c r="W76" s="9" t="str">
        <f>IF(AND($BN$16&lt;&gt;"",($BM$16+5)&lt;=$BO$16),TEXT(($BM$16+5),"00"),"")</f>
        <v/>
      </c>
      <c r="X76" s="9" t="str">
        <f>IF(AND($BN$16&lt;&gt;"",($BM$16+5)&lt;=$BO$16),$BN$16&amp;"-"&amp;TEXT(($BM$16+5),"00"),"")</f>
        <v/>
      </c>
      <c r="BA76">
        <f>IF(OR(Catalogo!$C76="",Catalogo!$B76="Espacio libre",Catalogo!$B76="Espacio reservado"),0,COUNTIF($C$13:$C$42,Catalogo!$C76)+IF($E$7=Catalogo!$C76,N($K$7),0)+IF($E$8=Catalogo!$C76,N($N$8),0)+IF(Proyecto!$D$12=Catalogo!$C76,$AQ$4,0)+SUMIF($C$49:$C$58,Catalogo!$C76,$K$49:$K$58))</f>
        <v>0</v>
      </c>
      <c r="CA76" t="str" cm="1">
        <f t="array" ref="CA76">IF(NOT(AND($BN$13&lt;&gt;"",($BM$13+5)&lt;=$BO$13)),"",IF(B76&lt;&gt;"",IF(B76="-","",B76),IF(ISNUMBER(SEARCH(":",$BP$13)),IFERROR(_xlfn.LET(_xlpm.s,_xlfn.TEXTSPLIT($BP$13,","),_xlpm.k,FIND(":",_xlpm.s),INDEX(TRIM(LEFT(_xlpm.s,_xlpm.k-1)),_xlfn.XMATCH(($BM$13+5),_xlfn.SCAN(0,--MID(_xlpm.s,_xlpm.k+1,9),_xlfn.LAMBDA(_xlpm.a,_xlpm.v,_xlpm.a+_xlpm.v)),1))),""),IF(($BM$13+5)&lt;=$BQ$13,$BP$13,""))))</f>
        <v/>
      </c>
      <c r="CB76" t="str" cm="1">
        <f t="array" ref="CB76">IF(NOT(AND($BN$14&lt;&gt;"",($BM$14+5)&lt;=$BO$14)),"",IF(H76&lt;&gt;"",IF(H76="-","",H76),IF(ISNUMBER(SEARCH(":",$BP$14)),IFERROR(_xlfn.LET(_xlpm.s,_xlfn.TEXTSPLIT($BP$14,","),_xlpm.k,FIND(":",_xlpm.s),INDEX(TRIM(LEFT(_xlpm.s,_xlpm.k-1)),_xlfn.XMATCH(($BM$14+5),_xlfn.SCAN(0,--MID(_xlpm.s,_xlpm.k+1,9),_xlfn.LAMBDA(_xlpm.a,_xlpm.v,_xlpm.a+_xlpm.v)),1))),""),IF(($BM$14+5)&lt;=$BQ$14,$BP$14,""))))</f>
        <v/>
      </c>
      <c r="CC76" t="str" cm="1">
        <f t="array" ref="CC76">IF(NOT(AND($BN$15&lt;&gt;"",($BM$15+5)&lt;=$BO$15)),"",IF(N76&lt;&gt;"",IF(N76="-","",N76),IF(ISNUMBER(SEARCH(":",$BP$15)),IFERROR(_xlfn.LET(_xlpm.s,_xlfn.TEXTSPLIT($BP$15,","),_xlpm.k,FIND(":",_xlpm.s),INDEX(TRIM(LEFT(_xlpm.s,_xlpm.k-1)),_xlfn.XMATCH(($BM$15+5),_xlfn.SCAN(0,--MID(_xlpm.s,_xlpm.k+1,9),_xlfn.LAMBDA(_xlpm.a,_xlpm.v,_xlpm.a+_xlpm.v)),1))),""),IF(($BM$15+5)&lt;=$BQ$15,$BP$15,""))))</f>
        <v/>
      </c>
      <c r="CD76" t="str" cm="1">
        <f t="array" ref="CD76">IF(NOT(AND($BN$16&lt;&gt;"",($BM$16+5)&lt;=$BO$16)),"",IF(T76&lt;&gt;"",IF(T76="-","",T76),IF(ISNUMBER(SEARCH(":",$BP$16)),IFERROR(_xlfn.LET(_xlpm.s,_xlfn.TEXTSPLIT($BP$16,","),_xlpm.k,FIND(":",_xlpm.s),INDEX(TRIM(LEFT(_xlpm.s,_xlpm.k-1)),_xlfn.XMATCH(($BM$16+5),_xlfn.SCAN(0,--MID(_xlpm.s,_xlpm.k+1,9),_xlfn.LAMBDA(_xlpm.a,_xlpm.v,_xlpm.a+_xlpm.v)),1))),""),IF(($BM$16+5)&lt;=$BQ$16,$BP$16,""))))</f>
        <v/>
      </c>
    </row>
    <row r="77" spans="2:82" x14ac:dyDescent="0.45">
      <c r="B77" s="6"/>
      <c r="C77" s="9" t="str">
        <f>IF(CA77="","",CA77&amp;"-"&amp;TEXT(0+COUNTIF($CA$72:CA77,CA77),"000"))</f>
        <v/>
      </c>
      <c r="D77" s="9" t="str">
        <f>IF(AND($BN$13&lt;&gt;"",($BM$13+6)&lt;=$BO$13),$BN$13,"")</f>
        <v>-AA</v>
      </c>
      <c r="E77" s="9" t="str">
        <f>IF(AND($BN$13&lt;&gt;"",($BM$13+6)&lt;=$BO$13),TEXT(($BM$13+6),"00"),"")</f>
        <v>06</v>
      </c>
      <c r="F77" s="9" t="str">
        <f>IF(AND($BN$13&lt;&gt;"",($BM$13+6)&lt;=$BO$13),$BN$13&amp;"-"&amp;TEXT(($BM$13+6),"00"),"")</f>
        <v>-AA-06</v>
      </c>
      <c r="H77" s="6"/>
      <c r="I77" s="9" t="str">
        <f>IF(CB77="","",CB77&amp;"-"&amp;TEXT(COUNTIF($CA$72:$CA$95,CB77)+COUNTIF($CB$72:CB77,CB77),"000"))</f>
        <v/>
      </c>
      <c r="J77" s="9" t="str">
        <f>IF(AND($BN$14&lt;&gt;"",($BM$14+6)&lt;=$BO$14),$BN$14,"")</f>
        <v>-AA</v>
      </c>
      <c r="K77" s="9" t="str">
        <f>IF(AND($BN$14&lt;&gt;"",($BM$14+6)&lt;=$BO$14),TEXT(($BM$14+6),"00"),"")</f>
        <v>30</v>
      </c>
      <c r="L77" s="9" t="str">
        <f>IF(AND($BN$14&lt;&gt;"",($BM$14+6)&lt;=$BO$14),$BN$14&amp;"-"&amp;TEXT(($BM$14+6),"00"),"")</f>
        <v>-AA-30</v>
      </c>
      <c r="N77" s="6"/>
      <c r="O77" s="9" t="str">
        <f>IF(CC77="","",CC77&amp;"-"&amp;TEXT(COUNTIF($CA$72:$CA$95,CC77)+COUNTIF($CB$72:$CB$95,CC77)+COUNTIF($CC$72:CC77,CC77),"000"))</f>
        <v/>
      </c>
      <c r="P77" s="9" t="str">
        <f>IF(AND($BN$15&lt;&gt;"",($BM$15+6)&lt;=$BO$15),$BN$15,"")</f>
        <v/>
      </c>
      <c r="Q77" s="9" t="str">
        <f>IF(AND($BN$15&lt;&gt;"",($BM$15+6)&lt;=$BO$15),TEXT(($BM$15+6),"00"),"")</f>
        <v/>
      </c>
      <c r="R77" s="9" t="str">
        <f>IF(AND($BN$15&lt;&gt;"",($BM$15+6)&lt;=$BO$15),$BN$15&amp;"-"&amp;TEXT(($BM$15+6),"00"),"")</f>
        <v/>
      </c>
      <c r="T77" s="6"/>
      <c r="U77" s="9" t="str">
        <f>IF(CD77="","",CD77&amp;"-"&amp;TEXT(COUNTIF($CA$72:$CA$95,CD77)+COUNTIF($CB$72:$CB$95,CD77)+COUNTIF($CC$72:$CC$95,CD77)+COUNTIF($CD$72:CD77,CD77),"000"))</f>
        <v/>
      </c>
      <c r="V77" s="9" t="str">
        <f>IF(AND($BN$16&lt;&gt;"",($BM$16+6)&lt;=$BO$16),$BN$16,"")</f>
        <v/>
      </c>
      <c r="W77" s="9" t="str">
        <f>IF(AND($BN$16&lt;&gt;"",($BM$16+6)&lt;=$BO$16),TEXT(($BM$16+6),"00"),"")</f>
        <v/>
      </c>
      <c r="X77" s="9" t="str">
        <f>IF(AND($BN$16&lt;&gt;"",($BM$16+6)&lt;=$BO$16),$BN$16&amp;"-"&amp;TEXT(($BM$16+6),"00"),"")</f>
        <v/>
      </c>
      <c r="BA77">
        <f>IF(OR(Catalogo!$C77="",Catalogo!$B77="Espacio libre",Catalogo!$B77="Espacio reservado"),0,COUNTIF($C$13:$C$42,Catalogo!$C77)+IF($E$7=Catalogo!$C77,N($K$7),0)+IF($E$8=Catalogo!$C77,N($N$8),0)+IF(Proyecto!$D$12=Catalogo!$C77,$AQ$4,0)+SUMIF($C$49:$C$58,Catalogo!$C77,$K$49:$K$58))</f>
        <v>0</v>
      </c>
      <c r="CA77" t="str" cm="1">
        <f t="array" ref="CA77">IF(NOT(AND($BN$13&lt;&gt;"",($BM$13+6)&lt;=$BO$13)),"",IF(B77&lt;&gt;"",IF(B77="-","",B77),IF(ISNUMBER(SEARCH(":",$BP$13)),IFERROR(_xlfn.LET(_xlpm.s,_xlfn.TEXTSPLIT($BP$13,","),_xlpm.k,FIND(":",_xlpm.s),INDEX(TRIM(LEFT(_xlpm.s,_xlpm.k-1)),_xlfn.XMATCH(($BM$13+6),_xlfn.SCAN(0,--MID(_xlpm.s,_xlpm.k+1,9),_xlfn.LAMBDA(_xlpm.a,_xlpm.v,_xlpm.a+_xlpm.v)),1))),""),IF(($BM$13+6)&lt;=$BQ$13,$BP$13,""))))</f>
        <v/>
      </c>
      <c r="CB77" t="str" cm="1">
        <f t="array" ref="CB77">IF(NOT(AND($BN$14&lt;&gt;"",($BM$14+6)&lt;=$BO$14)),"",IF(H77&lt;&gt;"",IF(H77="-","",H77),IF(ISNUMBER(SEARCH(":",$BP$14)),IFERROR(_xlfn.LET(_xlpm.s,_xlfn.TEXTSPLIT($BP$14,","),_xlpm.k,FIND(":",_xlpm.s),INDEX(TRIM(LEFT(_xlpm.s,_xlpm.k-1)),_xlfn.XMATCH(($BM$14+6),_xlfn.SCAN(0,--MID(_xlpm.s,_xlpm.k+1,9),_xlfn.LAMBDA(_xlpm.a,_xlpm.v,_xlpm.a+_xlpm.v)),1))),""),IF(($BM$14+6)&lt;=$BQ$14,$BP$14,""))))</f>
        <v/>
      </c>
      <c r="CC77" t="str" cm="1">
        <f t="array" ref="CC77">IF(NOT(AND($BN$15&lt;&gt;"",($BM$15+6)&lt;=$BO$15)),"",IF(N77&lt;&gt;"",IF(N77="-","",N77),IF(ISNUMBER(SEARCH(":",$BP$15)),IFERROR(_xlfn.LET(_xlpm.s,_xlfn.TEXTSPLIT($BP$15,","),_xlpm.k,FIND(":",_xlpm.s),INDEX(TRIM(LEFT(_xlpm.s,_xlpm.k-1)),_xlfn.XMATCH(($BM$15+6),_xlfn.SCAN(0,--MID(_xlpm.s,_xlpm.k+1,9),_xlfn.LAMBDA(_xlpm.a,_xlpm.v,_xlpm.a+_xlpm.v)),1))),""),IF(($BM$15+6)&lt;=$BQ$15,$BP$15,""))))</f>
        <v/>
      </c>
      <c r="CD77" t="str" cm="1">
        <f t="array" ref="CD77">IF(NOT(AND($BN$16&lt;&gt;"",($BM$16+6)&lt;=$BO$16)),"",IF(T77&lt;&gt;"",IF(T77="-","",T77),IF(ISNUMBER(SEARCH(":",$BP$16)),IFERROR(_xlfn.LET(_xlpm.s,_xlfn.TEXTSPLIT($BP$16,","),_xlpm.k,FIND(":",_xlpm.s),INDEX(TRIM(LEFT(_xlpm.s,_xlpm.k-1)),_xlfn.XMATCH(($BM$16+6),_xlfn.SCAN(0,--MID(_xlpm.s,_xlpm.k+1,9),_xlfn.LAMBDA(_xlpm.a,_xlpm.v,_xlpm.a+_xlpm.v)),1))),""),IF(($BM$16+6)&lt;=$BQ$16,$BP$16,""))))</f>
        <v/>
      </c>
    </row>
    <row r="78" spans="2:82" x14ac:dyDescent="0.45">
      <c r="B78" s="6"/>
      <c r="C78" s="9" t="str">
        <f>IF(CA78="","",CA78&amp;"-"&amp;TEXT(0+COUNTIF($CA$72:CA78,CA78),"000"))</f>
        <v/>
      </c>
      <c r="D78" s="9" t="str">
        <f>IF(AND($BN$13&lt;&gt;"",($BM$13+7)&lt;=$BO$13),$BN$13,"")</f>
        <v>-AA</v>
      </c>
      <c r="E78" s="9" t="str">
        <f>IF(AND($BN$13&lt;&gt;"",($BM$13+7)&lt;=$BO$13),TEXT(($BM$13+7),"00"),"")</f>
        <v>07</v>
      </c>
      <c r="F78" s="9" t="str">
        <f>IF(AND($BN$13&lt;&gt;"",($BM$13+7)&lt;=$BO$13),$BN$13&amp;"-"&amp;TEXT(($BM$13+7),"00"),"")</f>
        <v>-AA-07</v>
      </c>
      <c r="H78" s="6"/>
      <c r="I78" s="9" t="str">
        <f>IF(CB78="","",CB78&amp;"-"&amp;TEXT(COUNTIF($CA$72:$CA$95,CB78)+COUNTIF($CB$72:CB78,CB78),"000"))</f>
        <v/>
      </c>
      <c r="J78" s="9" t="str">
        <f>IF(AND($BN$14&lt;&gt;"",($BM$14+7)&lt;=$BO$14),$BN$14,"")</f>
        <v>-AA</v>
      </c>
      <c r="K78" s="9" t="str">
        <f>IF(AND($BN$14&lt;&gt;"",($BM$14+7)&lt;=$BO$14),TEXT(($BM$14+7),"00"),"")</f>
        <v>31</v>
      </c>
      <c r="L78" s="9" t="str">
        <f>IF(AND($BN$14&lt;&gt;"",($BM$14+7)&lt;=$BO$14),$BN$14&amp;"-"&amp;TEXT(($BM$14+7),"00"),"")</f>
        <v>-AA-31</v>
      </c>
      <c r="N78" s="6"/>
      <c r="O78" s="9" t="str">
        <f>IF(CC78="","",CC78&amp;"-"&amp;TEXT(COUNTIF($CA$72:$CA$95,CC78)+COUNTIF($CB$72:$CB$95,CC78)+COUNTIF($CC$72:CC78,CC78),"000"))</f>
        <v/>
      </c>
      <c r="P78" s="9" t="str">
        <f>IF(AND($BN$15&lt;&gt;"",($BM$15+7)&lt;=$BO$15),$BN$15,"")</f>
        <v/>
      </c>
      <c r="Q78" s="9" t="str">
        <f>IF(AND($BN$15&lt;&gt;"",($BM$15+7)&lt;=$BO$15),TEXT(($BM$15+7),"00"),"")</f>
        <v/>
      </c>
      <c r="R78" s="9" t="str">
        <f>IF(AND($BN$15&lt;&gt;"",($BM$15+7)&lt;=$BO$15),$BN$15&amp;"-"&amp;TEXT(($BM$15+7),"00"),"")</f>
        <v/>
      </c>
      <c r="T78" s="6"/>
      <c r="U78" s="9" t="str">
        <f>IF(CD78="","",CD78&amp;"-"&amp;TEXT(COUNTIF($CA$72:$CA$95,CD78)+COUNTIF($CB$72:$CB$95,CD78)+COUNTIF($CC$72:$CC$95,CD78)+COUNTIF($CD$72:CD78,CD78),"000"))</f>
        <v/>
      </c>
      <c r="V78" s="9" t="str">
        <f>IF(AND($BN$16&lt;&gt;"",($BM$16+7)&lt;=$BO$16),$BN$16,"")</f>
        <v/>
      </c>
      <c r="W78" s="9" t="str">
        <f>IF(AND($BN$16&lt;&gt;"",($BM$16+7)&lt;=$BO$16),TEXT(($BM$16+7),"00"),"")</f>
        <v/>
      </c>
      <c r="X78" s="9" t="str">
        <f>IF(AND($BN$16&lt;&gt;"",($BM$16+7)&lt;=$BO$16),$BN$16&amp;"-"&amp;TEXT(($BM$16+7),"00"),"")</f>
        <v/>
      </c>
      <c r="BA78">
        <f>IF(OR(Catalogo!$C78="",Catalogo!$B78="Espacio libre",Catalogo!$B78="Espacio reservado"),0,COUNTIF($C$13:$C$42,Catalogo!$C78)+IF($E$7=Catalogo!$C78,N($K$7),0)+IF($E$8=Catalogo!$C78,N($N$8),0)+IF(Proyecto!$D$12=Catalogo!$C78,$AQ$4,0)+SUMIF($C$49:$C$58,Catalogo!$C78,$K$49:$K$58))</f>
        <v>0</v>
      </c>
      <c r="CA78" t="str" cm="1">
        <f t="array" ref="CA78">IF(NOT(AND($BN$13&lt;&gt;"",($BM$13+7)&lt;=$BO$13)),"",IF(B78&lt;&gt;"",IF(B78="-","",B78),IF(ISNUMBER(SEARCH(":",$BP$13)),IFERROR(_xlfn.LET(_xlpm.s,_xlfn.TEXTSPLIT($BP$13,","),_xlpm.k,FIND(":",_xlpm.s),INDEX(TRIM(LEFT(_xlpm.s,_xlpm.k-1)),_xlfn.XMATCH(($BM$13+7),_xlfn.SCAN(0,--MID(_xlpm.s,_xlpm.k+1,9),_xlfn.LAMBDA(_xlpm.a,_xlpm.v,_xlpm.a+_xlpm.v)),1))),""),IF(($BM$13+7)&lt;=$BQ$13,$BP$13,""))))</f>
        <v/>
      </c>
      <c r="CB78" t="str" cm="1">
        <f t="array" ref="CB78">IF(NOT(AND($BN$14&lt;&gt;"",($BM$14+7)&lt;=$BO$14)),"",IF(H78&lt;&gt;"",IF(H78="-","",H78),IF(ISNUMBER(SEARCH(":",$BP$14)),IFERROR(_xlfn.LET(_xlpm.s,_xlfn.TEXTSPLIT($BP$14,","),_xlpm.k,FIND(":",_xlpm.s),INDEX(TRIM(LEFT(_xlpm.s,_xlpm.k-1)),_xlfn.XMATCH(($BM$14+7),_xlfn.SCAN(0,--MID(_xlpm.s,_xlpm.k+1,9),_xlfn.LAMBDA(_xlpm.a,_xlpm.v,_xlpm.a+_xlpm.v)),1))),""),IF(($BM$14+7)&lt;=$BQ$14,$BP$14,""))))</f>
        <v/>
      </c>
      <c r="CC78" t="str" cm="1">
        <f t="array" ref="CC78">IF(NOT(AND($BN$15&lt;&gt;"",($BM$15+7)&lt;=$BO$15)),"",IF(N78&lt;&gt;"",IF(N78="-","",N78),IF(ISNUMBER(SEARCH(":",$BP$15)),IFERROR(_xlfn.LET(_xlpm.s,_xlfn.TEXTSPLIT($BP$15,","),_xlpm.k,FIND(":",_xlpm.s),INDEX(TRIM(LEFT(_xlpm.s,_xlpm.k-1)),_xlfn.XMATCH(($BM$15+7),_xlfn.SCAN(0,--MID(_xlpm.s,_xlpm.k+1,9),_xlfn.LAMBDA(_xlpm.a,_xlpm.v,_xlpm.a+_xlpm.v)),1))),""),IF(($BM$15+7)&lt;=$BQ$15,$BP$15,""))))</f>
        <v/>
      </c>
      <c r="CD78" t="str" cm="1">
        <f t="array" ref="CD78">IF(NOT(AND($BN$16&lt;&gt;"",($BM$16+7)&lt;=$BO$16)),"",IF(T78&lt;&gt;"",IF(T78="-","",T78),IF(ISNUMBER(SEARCH(":",$BP$16)),IFERROR(_xlfn.LET(_xlpm.s,_xlfn.TEXTSPLIT($BP$16,","),_xlpm.k,FIND(":",_xlpm.s),INDEX(TRIM(LEFT(_xlpm.s,_xlpm.k-1)),_xlfn.XMATCH(($BM$16+7),_xlfn.SCAN(0,--MID(_xlpm.s,_xlpm.k+1,9),_xlfn.LAMBDA(_xlpm.a,_xlpm.v,_xlpm.a+_xlpm.v)),1))),""),IF(($BM$16+7)&lt;=$BQ$16,$BP$16,""))))</f>
        <v/>
      </c>
    </row>
    <row r="79" spans="2:82" x14ac:dyDescent="0.45">
      <c r="B79" s="6"/>
      <c r="C79" s="9" t="str">
        <f>IF(CA79="","",CA79&amp;"-"&amp;TEXT(0+COUNTIF($CA$72:CA79,CA79),"000"))</f>
        <v/>
      </c>
      <c r="D79" s="9" t="str">
        <f>IF(AND($BN$13&lt;&gt;"",($BM$13+8)&lt;=$BO$13),$BN$13,"")</f>
        <v>-AA</v>
      </c>
      <c r="E79" s="9" t="str">
        <f>IF(AND($BN$13&lt;&gt;"",($BM$13+8)&lt;=$BO$13),TEXT(($BM$13+8),"00"),"")</f>
        <v>08</v>
      </c>
      <c r="F79" s="9" t="str">
        <f>IF(AND($BN$13&lt;&gt;"",($BM$13+8)&lt;=$BO$13),$BN$13&amp;"-"&amp;TEXT(($BM$13+8),"00"),"")</f>
        <v>-AA-08</v>
      </c>
      <c r="H79" s="6"/>
      <c r="I79" s="9" t="str">
        <f>IF(CB79="","",CB79&amp;"-"&amp;TEXT(COUNTIF($CA$72:$CA$95,CB79)+COUNTIF($CB$72:CB79,CB79),"000"))</f>
        <v/>
      </c>
      <c r="J79" s="9" t="str">
        <f>IF(AND($BN$14&lt;&gt;"",($BM$14+8)&lt;=$BO$14),$BN$14,"")</f>
        <v>-AA</v>
      </c>
      <c r="K79" s="9" t="str">
        <f>IF(AND($BN$14&lt;&gt;"",($BM$14+8)&lt;=$BO$14),TEXT(($BM$14+8),"00"),"")</f>
        <v>32</v>
      </c>
      <c r="L79" s="9" t="str">
        <f>IF(AND($BN$14&lt;&gt;"",($BM$14+8)&lt;=$BO$14),$BN$14&amp;"-"&amp;TEXT(($BM$14+8),"00"),"")</f>
        <v>-AA-32</v>
      </c>
      <c r="N79" s="6"/>
      <c r="O79" s="9" t="str">
        <f>IF(CC79="","",CC79&amp;"-"&amp;TEXT(COUNTIF($CA$72:$CA$95,CC79)+COUNTIF($CB$72:$CB$95,CC79)+COUNTIF($CC$72:CC79,CC79),"000"))</f>
        <v/>
      </c>
      <c r="P79" s="9" t="str">
        <f>IF(AND($BN$15&lt;&gt;"",($BM$15+8)&lt;=$BO$15),$BN$15,"")</f>
        <v/>
      </c>
      <c r="Q79" s="9" t="str">
        <f>IF(AND($BN$15&lt;&gt;"",($BM$15+8)&lt;=$BO$15),TEXT(($BM$15+8),"00"),"")</f>
        <v/>
      </c>
      <c r="R79" s="9" t="str">
        <f>IF(AND($BN$15&lt;&gt;"",($BM$15+8)&lt;=$BO$15),$BN$15&amp;"-"&amp;TEXT(($BM$15+8),"00"),"")</f>
        <v/>
      </c>
      <c r="T79" s="6"/>
      <c r="U79" s="9" t="str">
        <f>IF(CD79="","",CD79&amp;"-"&amp;TEXT(COUNTIF($CA$72:$CA$95,CD79)+COUNTIF($CB$72:$CB$95,CD79)+COUNTIF($CC$72:$CC$95,CD79)+COUNTIF($CD$72:CD79,CD79),"000"))</f>
        <v/>
      </c>
      <c r="V79" s="9" t="str">
        <f>IF(AND($BN$16&lt;&gt;"",($BM$16+8)&lt;=$BO$16),$BN$16,"")</f>
        <v/>
      </c>
      <c r="W79" s="9" t="str">
        <f>IF(AND($BN$16&lt;&gt;"",($BM$16+8)&lt;=$BO$16),TEXT(($BM$16+8),"00"),"")</f>
        <v/>
      </c>
      <c r="X79" s="9" t="str">
        <f>IF(AND($BN$16&lt;&gt;"",($BM$16+8)&lt;=$BO$16),$BN$16&amp;"-"&amp;TEXT(($BM$16+8),"00"),"")</f>
        <v/>
      </c>
      <c r="BA79">
        <f>IF(OR(Catalogo!$C79="",Catalogo!$B79="Espacio libre",Catalogo!$B79="Espacio reservado"),0,COUNTIF($C$13:$C$42,Catalogo!$C79)+IF($E$7=Catalogo!$C79,N($K$7),0)+IF($E$8=Catalogo!$C79,N($N$8),0)+IF(Proyecto!$D$12=Catalogo!$C79,$AQ$4,0)+SUMIF($C$49:$C$58,Catalogo!$C79,$K$49:$K$58))</f>
        <v>0</v>
      </c>
      <c r="CA79" t="str" cm="1">
        <f t="array" ref="CA79">IF(NOT(AND($BN$13&lt;&gt;"",($BM$13+8)&lt;=$BO$13)),"",IF(B79&lt;&gt;"",IF(B79="-","",B79),IF(ISNUMBER(SEARCH(":",$BP$13)),IFERROR(_xlfn.LET(_xlpm.s,_xlfn.TEXTSPLIT($BP$13,","),_xlpm.k,FIND(":",_xlpm.s),INDEX(TRIM(LEFT(_xlpm.s,_xlpm.k-1)),_xlfn.XMATCH(($BM$13+8),_xlfn.SCAN(0,--MID(_xlpm.s,_xlpm.k+1,9),_xlfn.LAMBDA(_xlpm.a,_xlpm.v,_xlpm.a+_xlpm.v)),1))),""),IF(($BM$13+8)&lt;=$BQ$13,$BP$13,""))))</f>
        <v/>
      </c>
      <c r="CB79" t="str" cm="1">
        <f t="array" ref="CB79">IF(NOT(AND($BN$14&lt;&gt;"",($BM$14+8)&lt;=$BO$14)),"",IF(H79&lt;&gt;"",IF(H79="-","",H79),IF(ISNUMBER(SEARCH(":",$BP$14)),IFERROR(_xlfn.LET(_xlpm.s,_xlfn.TEXTSPLIT($BP$14,","),_xlpm.k,FIND(":",_xlpm.s),INDEX(TRIM(LEFT(_xlpm.s,_xlpm.k-1)),_xlfn.XMATCH(($BM$14+8),_xlfn.SCAN(0,--MID(_xlpm.s,_xlpm.k+1,9),_xlfn.LAMBDA(_xlpm.a,_xlpm.v,_xlpm.a+_xlpm.v)),1))),""),IF(($BM$14+8)&lt;=$BQ$14,$BP$14,""))))</f>
        <v/>
      </c>
      <c r="CC79" t="str" cm="1">
        <f t="array" ref="CC79">IF(NOT(AND($BN$15&lt;&gt;"",($BM$15+8)&lt;=$BO$15)),"",IF(N79&lt;&gt;"",IF(N79="-","",N79),IF(ISNUMBER(SEARCH(":",$BP$15)),IFERROR(_xlfn.LET(_xlpm.s,_xlfn.TEXTSPLIT($BP$15,","),_xlpm.k,FIND(":",_xlpm.s),INDEX(TRIM(LEFT(_xlpm.s,_xlpm.k-1)),_xlfn.XMATCH(($BM$15+8),_xlfn.SCAN(0,--MID(_xlpm.s,_xlpm.k+1,9),_xlfn.LAMBDA(_xlpm.a,_xlpm.v,_xlpm.a+_xlpm.v)),1))),""),IF(($BM$15+8)&lt;=$BQ$15,$BP$15,""))))</f>
        <v/>
      </c>
      <c r="CD79" t="str" cm="1">
        <f t="array" ref="CD79">IF(NOT(AND($BN$16&lt;&gt;"",($BM$16+8)&lt;=$BO$16)),"",IF(T79&lt;&gt;"",IF(T79="-","",T79),IF(ISNUMBER(SEARCH(":",$BP$16)),IFERROR(_xlfn.LET(_xlpm.s,_xlfn.TEXTSPLIT($BP$16,","),_xlpm.k,FIND(":",_xlpm.s),INDEX(TRIM(LEFT(_xlpm.s,_xlpm.k-1)),_xlfn.XMATCH(($BM$16+8),_xlfn.SCAN(0,--MID(_xlpm.s,_xlpm.k+1,9),_xlfn.LAMBDA(_xlpm.a,_xlpm.v,_xlpm.a+_xlpm.v)),1))),""),IF(($BM$16+8)&lt;=$BQ$16,$BP$16,""))))</f>
        <v/>
      </c>
    </row>
    <row r="80" spans="2:82" x14ac:dyDescent="0.45">
      <c r="B80" s="6"/>
      <c r="C80" s="9" t="str">
        <f>IF(CA80="","",CA80&amp;"-"&amp;TEXT(0+COUNTIF($CA$72:CA80,CA80),"000"))</f>
        <v/>
      </c>
      <c r="D80" s="9" t="str">
        <f>IF(AND($BN$13&lt;&gt;"",($BM$13+9)&lt;=$BO$13),$BN$13,"")</f>
        <v>-AA</v>
      </c>
      <c r="E80" s="9" t="str">
        <f>IF(AND($BN$13&lt;&gt;"",($BM$13+9)&lt;=$BO$13),TEXT(($BM$13+9),"00"),"")</f>
        <v>09</v>
      </c>
      <c r="F80" s="9" t="str">
        <f>IF(AND($BN$13&lt;&gt;"",($BM$13+9)&lt;=$BO$13),$BN$13&amp;"-"&amp;TEXT(($BM$13+9),"00"),"")</f>
        <v>-AA-09</v>
      </c>
      <c r="H80" s="6"/>
      <c r="I80" s="9" t="str">
        <f>IF(CB80="","",CB80&amp;"-"&amp;TEXT(COUNTIF($CA$72:$CA$95,CB80)+COUNTIF($CB$72:CB80,CB80),"000"))</f>
        <v/>
      </c>
      <c r="J80" s="9" t="str">
        <f>IF(AND($BN$14&lt;&gt;"",($BM$14+9)&lt;=$BO$14),$BN$14,"")</f>
        <v>-AA</v>
      </c>
      <c r="K80" s="9" t="str">
        <f>IF(AND($BN$14&lt;&gt;"",($BM$14+9)&lt;=$BO$14),TEXT(($BM$14+9),"00"),"")</f>
        <v>33</v>
      </c>
      <c r="L80" s="9" t="str">
        <f>IF(AND($BN$14&lt;&gt;"",($BM$14+9)&lt;=$BO$14),$BN$14&amp;"-"&amp;TEXT(($BM$14+9),"00"),"")</f>
        <v>-AA-33</v>
      </c>
      <c r="N80" s="6"/>
      <c r="O80" s="9" t="str">
        <f>IF(CC80="","",CC80&amp;"-"&amp;TEXT(COUNTIF($CA$72:$CA$95,CC80)+COUNTIF($CB$72:$CB$95,CC80)+COUNTIF($CC$72:CC80,CC80),"000"))</f>
        <v/>
      </c>
      <c r="P80" s="9" t="str">
        <f>IF(AND($BN$15&lt;&gt;"",($BM$15+9)&lt;=$BO$15),$BN$15,"")</f>
        <v/>
      </c>
      <c r="Q80" s="9" t="str">
        <f>IF(AND($BN$15&lt;&gt;"",($BM$15+9)&lt;=$BO$15),TEXT(($BM$15+9),"00"),"")</f>
        <v/>
      </c>
      <c r="R80" s="9" t="str">
        <f>IF(AND($BN$15&lt;&gt;"",($BM$15+9)&lt;=$BO$15),$BN$15&amp;"-"&amp;TEXT(($BM$15+9),"00"),"")</f>
        <v/>
      </c>
      <c r="T80" s="6"/>
      <c r="U80" s="9" t="str">
        <f>IF(CD80="","",CD80&amp;"-"&amp;TEXT(COUNTIF($CA$72:$CA$95,CD80)+COUNTIF($CB$72:$CB$95,CD80)+COUNTIF($CC$72:$CC$95,CD80)+COUNTIF($CD$72:CD80,CD80),"000"))</f>
        <v/>
      </c>
      <c r="V80" s="9" t="str">
        <f>IF(AND($BN$16&lt;&gt;"",($BM$16+9)&lt;=$BO$16),$BN$16,"")</f>
        <v/>
      </c>
      <c r="W80" s="9" t="str">
        <f>IF(AND($BN$16&lt;&gt;"",($BM$16+9)&lt;=$BO$16),TEXT(($BM$16+9),"00"),"")</f>
        <v/>
      </c>
      <c r="X80" s="9" t="str">
        <f>IF(AND($BN$16&lt;&gt;"",($BM$16+9)&lt;=$BO$16),$BN$16&amp;"-"&amp;TEXT(($BM$16+9),"00"),"")</f>
        <v/>
      </c>
      <c r="BA80">
        <f>IF(OR(Catalogo!$C80="",Catalogo!$B80="Espacio libre",Catalogo!$B80="Espacio reservado"),0,COUNTIF($C$13:$C$42,Catalogo!$C80)+IF($E$7=Catalogo!$C80,N($K$7),0)+IF($E$8=Catalogo!$C80,N($N$8),0)+IF(Proyecto!$D$12=Catalogo!$C80,$AQ$4,0)+SUMIF($C$49:$C$58,Catalogo!$C80,$K$49:$K$58))</f>
        <v>0</v>
      </c>
      <c r="CA80" t="str" cm="1">
        <f t="array" ref="CA80">IF(NOT(AND($BN$13&lt;&gt;"",($BM$13+9)&lt;=$BO$13)),"",IF(B80&lt;&gt;"",IF(B80="-","",B80),IF(ISNUMBER(SEARCH(":",$BP$13)),IFERROR(_xlfn.LET(_xlpm.s,_xlfn.TEXTSPLIT($BP$13,","),_xlpm.k,FIND(":",_xlpm.s),INDEX(TRIM(LEFT(_xlpm.s,_xlpm.k-1)),_xlfn.XMATCH(($BM$13+9),_xlfn.SCAN(0,--MID(_xlpm.s,_xlpm.k+1,9),_xlfn.LAMBDA(_xlpm.a,_xlpm.v,_xlpm.a+_xlpm.v)),1))),""),IF(($BM$13+9)&lt;=$BQ$13,$BP$13,""))))</f>
        <v/>
      </c>
      <c r="CB80" t="str" cm="1">
        <f t="array" ref="CB80">IF(NOT(AND($BN$14&lt;&gt;"",($BM$14+9)&lt;=$BO$14)),"",IF(H80&lt;&gt;"",IF(H80="-","",H80),IF(ISNUMBER(SEARCH(":",$BP$14)),IFERROR(_xlfn.LET(_xlpm.s,_xlfn.TEXTSPLIT($BP$14,","),_xlpm.k,FIND(":",_xlpm.s),INDEX(TRIM(LEFT(_xlpm.s,_xlpm.k-1)),_xlfn.XMATCH(($BM$14+9),_xlfn.SCAN(0,--MID(_xlpm.s,_xlpm.k+1,9),_xlfn.LAMBDA(_xlpm.a,_xlpm.v,_xlpm.a+_xlpm.v)),1))),""),IF(($BM$14+9)&lt;=$BQ$14,$BP$14,""))))</f>
        <v/>
      </c>
      <c r="CC80" t="str" cm="1">
        <f t="array" ref="CC80">IF(NOT(AND($BN$15&lt;&gt;"",($BM$15+9)&lt;=$BO$15)),"",IF(N80&lt;&gt;"",IF(N80="-","",N80),IF(ISNUMBER(SEARCH(":",$BP$15)),IFERROR(_xlfn.LET(_xlpm.s,_xlfn.TEXTSPLIT($BP$15,","),_xlpm.k,FIND(":",_xlpm.s),INDEX(TRIM(LEFT(_xlpm.s,_xlpm.k-1)),_xlfn.XMATCH(($BM$15+9),_xlfn.SCAN(0,--MID(_xlpm.s,_xlpm.k+1,9),_xlfn.LAMBDA(_xlpm.a,_xlpm.v,_xlpm.a+_xlpm.v)),1))),""),IF(($BM$15+9)&lt;=$BQ$15,$BP$15,""))))</f>
        <v/>
      </c>
      <c r="CD80" t="str" cm="1">
        <f t="array" ref="CD80">IF(NOT(AND($BN$16&lt;&gt;"",($BM$16+9)&lt;=$BO$16)),"",IF(T80&lt;&gt;"",IF(T80="-","",T80),IF(ISNUMBER(SEARCH(":",$BP$16)),IFERROR(_xlfn.LET(_xlpm.s,_xlfn.TEXTSPLIT($BP$16,","),_xlpm.k,FIND(":",_xlpm.s),INDEX(TRIM(LEFT(_xlpm.s,_xlpm.k-1)),_xlfn.XMATCH(($BM$16+9),_xlfn.SCAN(0,--MID(_xlpm.s,_xlpm.k+1,9),_xlfn.LAMBDA(_xlpm.a,_xlpm.v,_xlpm.a+_xlpm.v)),1))),""),IF(($BM$16+9)&lt;=$BQ$16,$BP$16,""))))</f>
        <v/>
      </c>
    </row>
    <row r="81" spans="2:82" x14ac:dyDescent="0.45">
      <c r="B81" s="6"/>
      <c r="C81" s="9" t="str">
        <f>IF(CA81="","",CA81&amp;"-"&amp;TEXT(0+COUNTIF($CA$72:CA81,CA81),"000"))</f>
        <v/>
      </c>
      <c r="D81" s="9" t="str">
        <f>IF(AND($BN$13&lt;&gt;"",($BM$13+10)&lt;=$BO$13),$BN$13,"")</f>
        <v>-AA</v>
      </c>
      <c r="E81" s="9" t="str">
        <f>IF(AND($BN$13&lt;&gt;"",($BM$13+10)&lt;=$BO$13),TEXT(($BM$13+10),"00"),"")</f>
        <v>10</v>
      </c>
      <c r="F81" s="9" t="str">
        <f>IF(AND($BN$13&lt;&gt;"",($BM$13+10)&lt;=$BO$13),$BN$13&amp;"-"&amp;TEXT(($BM$13+10),"00"),"")</f>
        <v>-AA-10</v>
      </c>
      <c r="H81" s="6"/>
      <c r="I81" s="9" t="str">
        <f>IF(CB81="","",CB81&amp;"-"&amp;TEXT(COUNTIF($CA$72:$CA$95,CB81)+COUNTIF($CB$72:CB81,CB81),"000"))</f>
        <v/>
      </c>
      <c r="J81" s="9" t="str">
        <f>IF(AND($BN$14&lt;&gt;"",($BM$14+10)&lt;=$BO$14),$BN$14,"")</f>
        <v>-AA</v>
      </c>
      <c r="K81" s="9" t="str">
        <f>IF(AND($BN$14&lt;&gt;"",($BM$14+10)&lt;=$BO$14),TEXT(($BM$14+10),"00"),"")</f>
        <v>34</v>
      </c>
      <c r="L81" s="9" t="str">
        <f>IF(AND($BN$14&lt;&gt;"",($BM$14+10)&lt;=$BO$14),$BN$14&amp;"-"&amp;TEXT(($BM$14+10),"00"),"")</f>
        <v>-AA-34</v>
      </c>
      <c r="N81" s="6"/>
      <c r="O81" s="9" t="str">
        <f>IF(CC81="","",CC81&amp;"-"&amp;TEXT(COUNTIF($CA$72:$CA$95,CC81)+COUNTIF($CB$72:$CB$95,CC81)+COUNTIF($CC$72:CC81,CC81),"000"))</f>
        <v/>
      </c>
      <c r="P81" s="9" t="str">
        <f>IF(AND($BN$15&lt;&gt;"",($BM$15+10)&lt;=$BO$15),$BN$15,"")</f>
        <v/>
      </c>
      <c r="Q81" s="9" t="str">
        <f>IF(AND($BN$15&lt;&gt;"",($BM$15+10)&lt;=$BO$15),TEXT(($BM$15+10),"00"),"")</f>
        <v/>
      </c>
      <c r="R81" s="9" t="str">
        <f>IF(AND($BN$15&lt;&gt;"",($BM$15+10)&lt;=$BO$15),$BN$15&amp;"-"&amp;TEXT(($BM$15+10),"00"),"")</f>
        <v/>
      </c>
      <c r="T81" s="6"/>
      <c r="U81" s="9" t="str">
        <f>IF(CD81="","",CD81&amp;"-"&amp;TEXT(COUNTIF($CA$72:$CA$95,CD81)+COUNTIF($CB$72:$CB$95,CD81)+COUNTIF($CC$72:$CC$95,CD81)+COUNTIF($CD$72:CD81,CD81),"000"))</f>
        <v/>
      </c>
      <c r="V81" s="9" t="str">
        <f>IF(AND($BN$16&lt;&gt;"",($BM$16+10)&lt;=$BO$16),$BN$16,"")</f>
        <v/>
      </c>
      <c r="W81" s="9" t="str">
        <f>IF(AND($BN$16&lt;&gt;"",($BM$16+10)&lt;=$BO$16),TEXT(($BM$16+10),"00"),"")</f>
        <v/>
      </c>
      <c r="X81" s="9" t="str">
        <f>IF(AND($BN$16&lt;&gt;"",($BM$16+10)&lt;=$BO$16),$BN$16&amp;"-"&amp;TEXT(($BM$16+10),"00"),"")</f>
        <v/>
      </c>
      <c r="BA81">
        <f>IF(OR(Catalogo!$C81="",Catalogo!$B81="Espacio libre",Catalogo!$B81="Espacio reservado"),0,COUNTIF($C$13:$C$42,Catalogo!$C81)+IF($E$7=Catalogo!$C81,N($K$7),0)+IF($E$8=Catalogo!$C81,N($N$8),0)+IF(Proyecto!$D$12=Catalogo!$C81,$AQ$4,0)+SUMIF($C$49:$C$58,Catalogo!$C81,$K$49:$K$58))</f>
        <v>0</v>
      </c>
      <c r="CA81" t="str" cm="1">
        <f t="array" ref="CA81">IF(NOT(AND($BN$13&lt;&gt;"",($BM$13+10)&lt;=$BO$13)),"",IF(B81&lt;&gt;"",IF(B81="-","",B81),IF(ISNUMBER(SEARCH(":",$BP$13)),IFERROR(_xlfn.LET(_xlpm.s,_xlfn.TEXTSPLIT($BP$13,","),_xlpm.k,FIND(":",_xlpm.s),INDEX(TRIM(LEFT(_xlpm.s,_xlpm.k-1)),_xlfn.XMATCH(($BM$13+10),_xlfn.SCAN(0,--MID(_xlpm.s,_xlpm.k+1,9),_xlfn.LAMBDA(_xlpm.a,_xlpm.v,_xlpm.a+_xlpm.v)),1))),""),IF(($BM$13+10)&lt;=$BQ$13,$BP$13,""))))</f>
        <v/>
      </c>
      <c r="CB81" t="str" cm="1">
        <f t="array" ref="CB81">IF(NOT(AND($BN$14&lt;&gt;"",($BM$14+10)&lt;=$BO$14)),"",IF(H81&lt;&gt;"",IF(H81="-","",H81),IF(ISNUMBER(SEARCH(":",$BP$14)),IFERROR(_xlfn.LET(_xlpm.s,_xlfn.TEXTSPLIT($BP$14,","),_xlpm.k,FIND(":",_xlpm.s),INDEX(TRIM(LEFT(_xlpm.s,_xlpm.k-1)),_xlfn.XMATCH(($BM$14+10),_xlfn.SCAN(0,--MID(_xlpm.s,_xlpm.k+1,9),_xlfn.LAMBDA(_xlpm.a,_xlpm.v,_xlpm.a+_xlpm.v)),1))),""),IF(($BM$14+10)&lt;=$BQ$14,$BP$14,""))))</f>
        <v/>
      </c>
      <c r="CC81" t="str" cm="1">
        <f t="array" ref="CC81">IF(NOT(AND($BN$15&lt;&gt;"",($BM$15+10)&lt;=$BO$15)),"",IF(N81&lt;&gt;"",IF(N81="-","",N81),IF(ISNUMBER(SEARCH(":",$BP$15)),IFERROR(_xlfn.LET(_xlpm.s,_xlfn.TEXTSPLIT($BP$15,","),_xlpm.k,FIND(":",_xlpm.s),INDEX(TRIM(LEFT(_xlpm.s,_xlpm.k-1)),_xlfn.XMATCH(($BM$15+10),_xlfn.SCAN(0,--MID(_xlpm.s,_xlpm.k+1,9),_xlfn.LAMBDA(_xlpm.a,_xlpm.v,_xlpm.a+_xlpm.v)),1))),""),IF(($BM$15+10)&lt;=$BQ$15,$BP$15,""))))</f>
        <v/>
      </c>
      <c r="CD81" t="str" cm="1">
        <f t="array" ref="CD81">IF(NOT(AND($BN$16&lt;&gt;"",($BM$16+10)&lt;=$BO$16)),"",IF(T81&lt;&gt;"",IF(T81="-","",T81),IF(ISNUMBER(SEARCH(":",$BP$16)),IFERROR(_xlfn.LET(_xlpm.s,_xlfn.TEXTSPLIT($BP$16,","),_xlpm.k,FIND(":",_xlpm.s),INDEX(TRIM(LEFT(_xlpm.s,_xlpm.k-1)),_xlfn.XMATCH(($BM$16+10),_xlfn.SCAN(0,--MID(_xlpm.s,_xlpm.k+1,9),_xlfn.LAMBDA(_xlpm.a,_xlpm.v,_xlpm.a+_xlpm.v)),1))),""),IF(($BM$16+10)&lt;=$BQ$16,$BP$16,""))))</f>
        <v/>
      </c>
    </row>
    <row r="82" spans="2:82" x14ac:dyDescent="0.45">
      <c r="B82" s="6"/>
      <c r="C82" s="9" t="str">
        <f>IF(CA82="","",CA82&amp;"-"&amp;TEXT(0+COUNTIF($CA$72:CA82,CA82),"000"))</f>
        <v/>
      </c>
      <c r="D82" s="9" t="str">
        <f>IF(AND($BN$13&lt;&gt;"",($BM$13+11)&lt;=$BO$13),$BN$13,"")</f>
        <v>-AA</v>
      </c>
      <c r="E82" s="9" t="str">
        <f>IF(AND($BN$13&lt;&gt;"",($BM$13+11)&lt;=$BO$13),TEXT(($BM$13+11),"00"),"")</f>
        <v>11</v>
      </c>
      <c r="F82" s="9" t="str">
        <f>IF(AND($BN$13&lt;&gt;"",($BM$13+11)&lt;=$BO$13),$BN$13&amp;"-"&amp;TEXT(($BM$13+11),"00"),"")</f>
        <v>-AA-11</v>
      </c>
      <c r="H82" s="6"/>
      <c r="I82" s="9" t="str">
        <f>IF(CB82="","",CB82&amp;"-"&amp;TEXT(COUNTIF($CA$72:$CA$95,CB82)+COUNTIF($CB$72:CB82,CB82),"000"))</f>
        <v/>
      </c>
      <c r="J82" s="9" t="str">
        <f>IF(AND($BN$14&lt;&gt;"",($BM$14+11)&lt;=$BO$14),$BN$14,"")</f>
        <v>-AA</v>
      </c>
      <c r="K82" s="9" t="str">
        <f>IF(AND($BN$14&lt;&gt;"",($BM$14+11)&lt;=$BO$14),TEXT(($BM$14+11),"00"),"")</f>
        <v>35</v>
      </c>
      <c r="L82" s="9" t="str">
        <f>IF(AND($BN$14&lt;&gt;"",($BM$14+11)&lt;=$BO$14),$BN$14&amp;"-"&amp;TEXT(($BM$14+11),"00"),"")</f>
        <v>-AA-35</v>
      </c>
      <c r="N82" s="6"/>
      <c r="O82" s="9" t="str">
        <f>IF(CC82="","",CC82&amp;"-"&amp;TEXT(COUNTIF($CA$72:$CA$95,CC82)+COUNTIF($CB$72:$CB$95,CC82)+COUNTIF($CC$72:CC82,CC82),"000"))</f>
        <v/>
      </c>
      <c r="P82" s="9" t="str">
        <f>IF(AND($BN$15&lt;&gt;"",($BM$15+11)&lt;=$BO$15),$BN$15,"")</f>
        <v/>
      </c>
      <c r="Q82" s="9" t="str">
        <f>IF(AND($BN$15&lt;&gt;"",($BM$15+11)&lt;=$BO$15),TEXT(($BM$15+11),"00"),"")</f>
        <v/>
      </c>
      <c r="R82" s="9" t="str">
        <f>IF(AND($BN$15&lt;&gt;"",($BM$15+11)&lt;=$BO$15),$BN$15&amp;"-"&amp;TEXT(($BM$15+11),"00"),"")</f>
        <v/>
      </c>
      <c r="T82" s="6"/>
      <c r="U82" s="9" t="str">
        <f>IF(CD82="","",CD82&amp;"-"&amp;TEXT(COUNTIF($CA$72:$CA$95,CD82)+COUNTIF($CB$72:$CB$95,CD82)+COUNTIF($CC$72:$CC$95,CD82)+COUNTIF($CD$72:CD82,CD82),"000"))</f>
        <v/>
      </c>
      <c r="V82" s="9" t="str">
        <f>IF(AND($BN$16&lt;&gt;"",($BM$16+11)&lt;=$BO$16),$BN$16,"")</f>
        <v/>
      </c>
      <c r="W82" s="9" t="str">
        <f>IF(AND($BN$16&lt;&gt;"",($BM$16+11)&lt;=$BO$16),TEXT(($BM$16+11),"00"),"")</f>
        <v/>
      </c>
      <c r="X82" s="9" t="str">
        <f>IF(AND($BN$16&lt;&gt;"",($BM$16+11)&lt;=$BO$16),$BN$16&amp;"-"&amp;TEXT(($BM$16+11),"00"),"")</f>
        <v/>
      </c>
      <c r="BA82">
        <f>IF(OR(Catalogo!$C82="",Catalogo!$B82="Espacio libre",Catalogo!$B82="Espacio reservado"),0,COUNTIF($C$13:$C$42,Catalogo!$C82)+IF($E$7=Catalogo!$C82,N($K$7),0)+IF($E$8=Catalogo!$C82,N($N$8),0)+IF(Proyecto!$D$12=Catalogo!$C82,$AQ$4,0)+SUMIF($C$49:$C$58,Catalogo!$C82,$K$49:$K$58))</f>
        <v>0</v>
      </c>
      <c r="CA82" t="str" cm="1">
        <f t="array" ref="CA82">IF(NOT(AND($BN$13&lt;&gt;"",($BM$13+11)&lt;=$BO$13)),"",IF(B82&lt;&gt;"",IF(B82="-","",B82),IF(ISNUMBER(SEARCH(":",$BP$13)),IFERROR(_xlfn.LET(_xlpm.s,_xlfn.TEXTSPLIT($BP$13,","),_xlpm.k,FIND(":",_xlpm.s),INDEX(TRIM(LEFT(_xlpm.s,_xlpm.k-1)),_xlfn.XMATCH(($BM$13+11),_xlfn.SCAN(0,--MID(_xlpm.s,_xlpm.k+1,9),_xlfn.LAMBDA(_xlpm.a,_xlpm.v,_xlpm.a+_xlpm.v)),1))),""),IF(($BM$13+11)&lt;=$BQ$13,$BP$13,""))))</f>
        <v/>
      </c>
      <c r="CB82" t="str" cm="1">
        <f t="array" ref="CB82">IF(NOT(AND($BN$14&lt;&gt;"",($BM$14+11)&lt;=$BO$14)),"",IF(H82&lt;&gt;"",IF(H82="-","",H82),IF(ISNUMBER(SEARCH(":",$BP$14)),IFERROR(_xlfn.LET(_xlpm.s,_xlfn.TEXTSPLIT($BP$14,","),_xlpm.k,FIND(":",_xlpm.s),INDEX(TRIM(LEFT(_xlpm.s,_xlpm.k-1)),_xlfn.XMATCH(($BM$14+11),_xlfn.SCAN(0,--MID(_xlpm.s,_xlpm.k+1,9),_xlfn.LAMBDA(_xlpm.a,_xlpm.v,_xlpm.a+_xlpm.v)),1))),""),IF(($BM$14+11)&lt;=$BQ$14,$BP$14,""))))</f>
        <v/>
      </c>
      <c r="CC82" t="str" cm="1">
        <f t="array" ref="CC82">IF(NOT(AND($BN$15&lt;&gt;"",($BM$15+11)&lt;=$BO$15)),"",IF(N82&lt;&gt;"",IF(N82="-","",N82),IF(ISNUMBER(SEARCH(":",$BP$15)),IFERROR(_xlfn.LET(_xlpm.s,_xlfn.TEXTSPLIT($BP$15,","),_xlpm.k,FIND(":",_xlpm.s),INDEX(TRIM(LEFT(_xlpm.s,_xlpm.k-1)),_xlfn.XMATCH(($BM$15+11),_xlfn.SCAN(0,--MID(_xlpm.s,_xlpm.k+1,9),_xlfn.LAMBDA(_xlpm.a,_xlpm.v,_xlpm.a+_xlpm.v)),1))),""),IF(($BM$15+11)&lt;=$BQ$15,$BP$15,""))))</f>
        <v/>
      </c>
      <c r="CD82" t="str" cm="1">
        <f t="array" ref="CD82">IF(NOT(AND($BN$16&lt;&gt;"",($BM$16+11)&lt;=$BO$16)),"",IF(T82&lt;&gt;"",IF(T82="-","",T82),IF(ISNUMBER(SEARCH(":",$BP$16)),IFERROR(_xlfn.LET(_xlpm.s,_xlfn.TEXTSPLIT($BP$16,","),_xlpm.k,FIND(":",_xlpm.s),INDEX(TRIM(LEFT(_xlpm.s,_xlpm.k-1)),_xlfn.XMATCH(($BM$16+11),_xlfn.SCAN(0,--MID(_xlpm.s,_xlpm.k+1,9),_xlfn.LAMBDA(_xlpm.a,_xlpm.v,_xlpm.a+_xlpm.v)),1))),""),IF(($BM$16+11)&lt;=$BQ$16,$BP$16,""))))</f>
        <v/>
      </c>
    </row>
    <row r="83" spans="2:82" x14ac:dyDescent="0.45">
      <c r="B83" s="6"/>
      <c r="C83" s="9" t="str">
        <f>IF(CA83="","",CA83&amp;"-"&amp;TEXT(0+COUNTIF($CA$72:CA83,CA83),"000"))</f>
        <v/>
      </c>
      <c r="D83" s="9" t="str">
        <f>IF(AND($BN$13&lt;&gt;"",($BM$13+12)&lt;=$BO$13),$BN$13,"")</f>
        <v>-AA</v>
      </c>
      <c r="E83" s="9" t="str">
        <f>IF(AND($BN$13&lt;&gt;"",($BM$13+12)&lt;=$BO$13),TEXT(($BM$13+12),"00"),"")</f>
        <v>12</v>
      </c>
      <c r="F83" s="9" t="str">
        <f>IF(AND($BN$13&lt;&gt;"",($BM$13+12)&lt;=$BO$13),$BN$13&amp;"-"&amp;TEXT(($BM$13+12),"00"),"")</f>
        <v>-AA-12</v>
      </c>
      <c r="H83" s="6"/>
      <c r="I83" s="9" t="str">
        <f>IF(CB83="","",CB83&amp;"-"&amp;TEXT(COUNTIF($CA$72:$CA$95,CB83)+COUNTIF($CB$72:CB83,CB83),"000"))</f>
        <v/>
      </c>
      <c r="J83" s="9" t="str">
        <f>IF(AND($BN$14&lt;&gt;"",($BM$14+12)&lt;=$BO$14),$BN$14,"")</f>
        <v>-AA</v>
      </c>
      <c r="K83" s="9" t="str">
        <f>IF(AND($BN$14&lt;&gt;"",($BM$14+12)&lt;=$BO$14),TEXT(($BM$14+12),"00"),"")</f>
        <v>36</v>
      </c>
      <c r="L83" s="9" t="str">
        <f>IF(AND($BN$14&lt;&gt;"",($BM$14+12)&lt;=$BO$14),$BN$14&amp;"-"&amp;TEXT(($BM$14+12),"00"),"")</f>
        <v>-AA-36</v>
      </c>
      <c r="N83" s="6"/>
      <c r="O83" s="9" t="str">
        <f>IF(CC83="","",CC83&amp;"-"&amp;TEXT(COUNTIF($CA$72:$CA$95,CC83)+COUNTIF($CB$72:$CB$95,CC83)+COUNTIF($CC$72:CC83,CC83),"000"))</f>
        <v/>
      </c>
      <c r="P83" s="9" t="str">
        <f>IF(AND($BN$15&lt;&gt;"",($BM$15+12)&lt;=$BO$15),$BN$15,"")</f>
        <v/>
      </c>
      <c r="Q83" s="9" t="str">
        <f>IF(AND($BN$15&lt;&gt;"",($BM$15+12)&lt;=$BO$15),TEXT(($BM$15+12),"00"),"")</f>
        <v/>
      </c>
      <c r="R83" s="9" t="str">
        <f>IF(AND($BN$15&lt;&gt;"",($BM$15+12)&lt;=$BO$15),$BN$15&amp;"-"&amp;TEXT(($BM$15+12),"00"),"")</f>
        <v/>
      </c>
      <c r="T83" s="6"/>
      <c r="U83" s="9" t="str">
        <f>IF(CD83="","",CD83&amp;"-"&amp;TEXT(COUNTIF($CA$72:$CA$95,CD83)+COUNTIF($CB$72:$CB$95,CD83)+COUNTIF($CC$72:$CC$95,CD83)+COUNTIF($CD$72:CD83,CD83),"000"))</f>
        <v/>
      </c>
      <c r="V83" s="9" t="str">
        <f>IF(AND($BN$16&lt;&gt;"",($BM$16+12)&lt;=$BO$16),$BN$16,"")</f>
        <v/>
      </c>
      <c r="W83" s="9" t="str">
        <f>IF(AND($BN$16&lt;&gt;"",($BM$16+12)&lt;=$BO$16),TEXT(($BM$16+12),"00"),"")</f>
        <v/>
      </c>
      <c r="X83" s="9" t="str">
        <f>IF(AND($BN$16&lt;&gt;"",($BM$16+12)&lt;=$BO$16),$BN$16&amp;"-"&amp;TEXT(($BM$16+12),"00"),"")</f>
        <v/>
      </c>
      <c r="BA83">
        <f>IF(OR(Catalogo!$C83="",Catalogo!$B83="Espacio libre",Catalogo!$B83="Espacio reservado"),0,COUNTIF($C$13:$C$42,Catalogo!$C83)+IF($E$7=Catalogo!$C83,N($K$7),0)+IF($E$8=Catalogo!$C83,N($N$8),0)+IF(Proyecto!$D$12=Catalogo!$C83,$AQ$4,0)+SUMIF($C$49:$C$58,Catalogo!$C83,$K$49:$K$58))</f>
        <v>0</v>
      </c>
      <c r="CA83" t="str" cm="1">
        <f t="array" ref="CA83">IF(NOT(AND($BN$13&lt;&gt;"",($BM$13+12)&lt;=$BO$13)),"",IF(B83&lt;&gt;"",IF(B83="-","",B83),IF(ISNUMBER(SEARCH(":",$BP$13)),IFERROR(_xlfn.LET(_xlpm.s,_xlfn.TEXTSPLIT($BP$13,","),_xlpm.k,FIND(":",_xlpm.s),INDEX(TRIM(LEFT(_xlpm.s,_xlpm.k-1)),_xlfn.XMATCH(($BM$13+12),_xlfn.SCAN(0,--MID(_xlpm.s,_xlpm.k+1,9),_xlfn.LAMBDA(_xlpm.a,_xlpm.v,_xlpm.a+_xlpm.v)),1))),""),IF(($BM$13+12)&lt;=$BQ$13,$BP$13,""))))</f>
        <v/>
      </c>
      <c r="CB83" t="str" cm="1">
        <f t="array" ref="CB83">IF(NOT(AND($BN$14&lt;&gt;"",($BM$14+12)&lt;=$BO$14)),"",IF(H83&lt;&gt;"",IF(H83="-","",H83),IF(ISNUMBER(SEARCH(":",$BP$14)),IFERROR(_xlfn.LET(_xlpm.s,_xlfn.TEXTSPLIT($BP$14,","),_xlpm.k,FIND(":",_xlpm.s),INDEX(TRIM(LEFT(_xlpm.s,_xlpm.k-1)),_xlfn.XMATCH(($BM$14+12),_xlfn.SCAN(0,--MID(_xlpm.s,_xlpm.k+1,9),_xlfn.LAMBDA(_xlpm.a,_xlpm.v,_xlpm.a+_xlpm.v)),1))),""),IF(($BM$14+12)&lt;=$BQ$14,$BP$14,""))))</f>
        <v/>
      </c>
      <c r="CC83" t="str" cm="1">
        <f t="array" ref="CC83">IF(NOT(AND($BN$15&lt;&gt;"",($BM$15+12)&lt;=$BO$15)),"",IF(N83&lt;&gt;"",IF(N83="-","",N83),IF(ISNUMBER(SEARCH(":",$BP$15)),IFERROR(_xlfn.LET(_xlpm.s,_xlfn.TEXTSPLIT($BP$15,","),_xlpm.k,FIND(":",_xlpm.s),INDEX(TRIM(LEFT(_xlpm.s,_xlpm.k-1)),_xlfn.XMATCH(($BM$15+12),_xlfn.SCAN(0,--MID(_xlpm.s,_xlpm.k+1,9),_xlfn.LAMBDA(_xlpm.a,_xlpm.v,_xlpm.a+_xlpm.v)),1))),""),IF(($BM$15+12)&lt;=$BQ$15,$BP$15,""))))</f>
        <v/>
      </c>
      <c r="CD83" t="str" cm="1">
        <f t="array" ref="CD83">IF(NOT(AND($BN$16&lt;&gt;"",($BM$16+12)&lt;=$BO$16)),"",IF(T83&lt;&gt;"",IF(T83="-","",T83),IF(ISNUMBER(SEARCH(":",$BP$16)),IFERROR(_xlfn.LET(_xlpm.s,_xlfn.TEXTSPLIT($BP$16,","),_xlpm.k,FIND(":",_xlpm.s),INDEX(TRIM(LEFT(_xlpm.s,_xlpm.k-1)),_xlfn.XMATCH(($BM$16+12),_xlfn.SCAN(0,--MID(_xlpm.s,_xlpm.k+1,9),_xlfn.LAMBDA(_xlpm.a,_xlpm.v,_xlpm.a+_xlpm.v)),1))),""),IF(($BM$16+12)&lt;=$BQ$16,$BP$16,""))))</f>
        <v/>
      </c>
    </row>
    <row r="84" spans="2:82" x14ac:dyDescent="0.45">
      <c r="B84" s="6"/>
      <c r="C84" s="9" t="str">
        <f>IF(CA84="","",CA84&amp;"-"&amp;TEXT(0+COUNTIF($CA$72:CA84,CA84),"000"))</f>
        <v/>
      </c>
      <c r="D84" s="9" t="str">
        <f>IF(AND($BN$13&lt;&gt;"",($BM$13+13)&lt;=$BO$13),$BN$13,"")</f>
        <v>-AA</v>
      </c>
      <c r="E84" s="9" t="str">
        <f>IF(AND($BN$13&lt;&gt;"",($BM$13+13)&lt;=$BO$13),TEXT(($BM$13+13),"00"),"")</f>
        <v>13</v>
      </c>
      <c r="F84" s="9" t="str">
        <f>IF(AND($BN$13&lt;&gt;"",($BM$13+13)&lt;=$BO$13),$BN$13&amp;"-"&amp;TEXT(($BM$13+13),"00"),"")</f>
        <v>-AA-13</v>
      </c>
      <c r="H84" s="6"/>
      <c r="I84" s="9" t="str">
        <f>IF(CB84="","",CB84&amp;"-"&amp;TEXT(COUNTIF($CA$72:$CA$95,CB84)+COUNTIF($CB$72:CB84,CB84),"000"))</f>
        <v/>
      </c>
      <c r="J84" s="9" t="str">
        <f>IF(AND($BN$14&lt;&gt;"",($BM$14+13)&lt;=$BO$14),$BN$14,"")</f>
        <v>-AA</v>
      </c>
      <c r="K84" s="9" t="str">
        <f>IF(AND($BN$14&lt;&gt;"",($BM$14+13)&lt;=$BO$14),TEXT(($BM$14+13),"00"),"")</f>
        <v>37</v>
      </c>
      <c r="L84" s="9" t="str">
        <f>IF(AND($BN$14&lt;&gt;"",($BM$14+13)&lt;=$BO$14),$BN$14&amp;"-"&amp;TEXT(($BM$14+13),"00"),"")</f>
        <v>-AA-37</v>
      </c>
      <c r="N84" s="6"/>
      <c r="O84" s="9" t="str">
        <f>IF(CC84="","",CC84&amp;"-"&amp;TEXT(COUNTIF($CA$72:$CA$95,CC84)+COUNTIF($CB$72:$CB$95,CC84)+COUNTIF($CC$72:CC84,CC84),"000"))</f>
        <v/>
      </c>
      <c r="P84" s="9" t="str">
        <f>IF(AND($BN$15&lt;&gt;"",($BM$15+13)&lt;=$BO$15),$BN$15,"")</f>
        <v/>
      </c>
      <c r="Q84" s="9" t="str">
        <f>IF(AND($BN$15&lt;&gt;"",($BM$15+13)&lt;=$BO$15),TEXT(($BM$15+13),"00"),"")</f>
        <v/>
      </c>
      <c r="R84" s="9" t="str">
        <f>IF(AND($BN$15&lt;&gt;"",($BM$15+13)&lt;=$BO$15),$BN$15&amp;"-"&amp;TEXT(($BM$15+13),"00"),"")</f>
        <v/>
      </c>
      <c r="T84" s="6"/>
      <c r="U84" s="9" t="str">
        <f>IF(CD84="","",CD84&amp;"-"&amp;TEXT(COUNTIF($CA$72:$CA$95,CD84)+COUNTIF($CB$72:$CB$95,CD84)+COUNTIF($CC$72:$CC$95,CD84)+COUNTIF($CD$72:CD84,CD84),"000"))</f>
        <v/>
      </c>
      <c r="V84" s="9" t="str">
        <f>IF(AND($BN$16&lt;&gt;"",($BM$16+13)&lt;=$BO$16),$BN$16,"")</f>
        <v/>
      </c>
      <c r="W84" s="9" t="str">
        <f>IF(AND($BN$16&lt;&gt;"",($BM$16+13)&lt;=$BO$16),TEXT(($BM$16+13),"00"),"")</f>
        <v/>
      </c>
      <c r="X84" s="9" t="str">
        <f>IF(AND($BN$16&lt;&gt;"",($BM$16+13)&lt;=$BO$16),$BN$16&amp;"-"&amp;TEXT(($BM$16+13),"00"),"")</f>
        <v/>
      </c>
      <c r="BA84">
        <f>IF(OR(Catalogo!$C84="",Catalogo!$B84="Espacio libre",Catalogo!$B84="Espacio reservado"),0,COUNTIF($C$13:$C$42,Catalogo!$C84)+IF($E$7=Catalogo!$C84,N($K$7),0)+IF($E$8=Catalogo!$C84,N($N$8),0)+IF(Proyecto!$D$12=Catalogo!$C84,$AQ$4,0)+SUMIF($C$49:$C$58,Catalogo!$C84,$K$49:$K$58))</f>
        <v>0</v>
      </c>
      <c r="CA84" t="str" cm="1">
        <f t="array" ref="CA84">IF(NOT(AND($BN$13&lt;&gt;"",($BM$13+13)&lt;=$BO$13)),"",IF(B84&lt;&gt;"",IF(B84="-","",B84),IF(ISNUMBER(SEARCH(":",$BP$13)),IFERROR(_xlfn.LET(_xlpm.s,_xlfn.TEXTSPLIT($BP$13,","),_xlpm.k,FIND(":",_xlpm.s),INDEX(TRIM(LEFT(_xlpm.s,_xlpm.k-1)),_xlfn.XMATCH(($BM$13+13),_xlfn.SCAN(0,--MID(_xlpm.s,_xlpm.k+1,9),_xlfn.LAMBDA(_xlpm.a,_xlpm.v,_xlpm.a+_xlpm.v)),1))),""),IF(($BM$13+13)&lt;=$BQ$13,$BP$13,""))))</f>
        <v/>
      </c>
      <c r="CB84" t="str" cm="1">
        <f t="array" ref="CB84">IF(NOT(AND($BN$14&lt;&gt;"",($BM$14+13)&lt;=$BO$14)),"",IF(H84&lt;&gt;"",IF(H84="-","",H84),IF(ISNUMBER(SEARCH(":",$BP$14)),IFERROR(_xlfn.LET(_xlpm.s,_xlfn.TEXTSPLIT($BP$14,","),_xlpm.k,FIND(":",_xlpm.s),INDEX(TRIM(LEFT(_xlpm.s,_xlpm.k-1)),_xlfn.XMATCH(($BM$14+13),_xlfn.SCAN(0,--MID(_xlpm.s,_xlpm.k+1,9),_xlfn.LAMBDA(_xlpm.a,_xlpm.v,_xlpm.a+_xlpm.v)),1))),""),IF(($BM$14+13)&lt;=$BQ$14,$BP$14,""))))</f>
        <v/>
      </c>
      <c r="CC84" t="str" cm="1">
        <f t="array" ref="CC84">IF(NOT(AND($BN$15&lt;&gt;"",($BM$15+13)&lt;=$BO$15)),"",IF(N84&lt;&gt;"",IF(N84="-","",N84),IF(ISNUMBER(SEARCH(":",$BP$15)),IFERROR(_xlfn.LET(_xlpm.s,_xlfn.TEXTSPLIT($BP$15,","),_xlpm.k,FIND(":",_xlpm.s),INDEX(TRIM(LEFT(_xlpm.s,_xlpm.k-1)),_xlfn.XMATCH(($BM$15+13),_xlfn.SCAN(0,--MID(_xlpm.s,_xlpm.k+1,9),_xlfn.LAMBDA(_xlpm.a,_xlpm.v,_xlpm.a+_xlpm.v)),1))),""),IF(($BM$15+13)&lt;=$BQ$15,$BP$15,""))))</f>
        <v/>
      </c>
      <c r="CD84" t="str" cm="1">
        <f t="array" ref="CD84">IF(NOT(AND($BN$16&lt;&gt;"",($BM$16+13)&lt;=$BO$16)),"",IF(T84&lt;&gt;"",IF(T84="-","",T84),IF(ISNUMBER(SEARCH(":",$BP$16)),IFERROR(_xlfn.LET(_xlpm.s,_xlfn.TEXTSPLIT($BP$16,","),_xlpm.k,FIND(":",_xlpm.s),INDEX(TRIM(LEFT(_xlpm.s,_xlpm.k-1)),_xlfn.XMATCH(($BM$16+13),_xlfn.SCAN(0,--MID(_xlpm.s,_xlpm.k+1,9),_xlfn.LAMBDA(_xlpm.a,_xlpm.v,_xlpm.a+_xlpm.v)),1))),""),IF(($BM$16+13)&lt;=$BQ$16,$BP$16,""))))</f>
        <v/>
      </c>
    </row>
    <row r="85" spans="2:82" x14ac:dyDescent="0.45">
      <c r="B85" s="6"/>
      <c r="C85" s="9" t="str">
        <f>IF(CA85="","",CA85&amp;"-"&amp;TEXT(0+COUNTIF($CA$72:CA85,CA85),"000"))</f>
        <v/>
      </c>
      <c r="D85" s="9" t="str">
        <f>IF(AND($BN$13&lt;&gt;"",($BM$13+14)&lt;=$BO$13),$BN$13,"")</f>
        <v>-AA</v>
      </c>
      <c r="E85" s="9" t="str">
        <f>IF(AND($BN$13&lt;&gt;"",($BM$13+14)&lt;=$BO$13),TEXT(($BM$13+14),"00"),"")</f>
        <v>14</v>
      </c>
      <c r="F85" s="9" t="str">
        <f>IF(AND($BN$13&lt;&gt;"",($BM$13+14)&lt;=$BO$13),$BN$13&amp;"-"&amp;TEXT(($BM$13+14),"00"),"")</f>
        <v>-AA-14</v>
      </c>
      <c r="H85" s="6"/>
      <c r="I85" s="9" t="str">
        <f>IF(CB85="","",CB85&amp;"-"&amp;TEXT(COUNTIF($CA$72:$CA$95,CB85)+COUNTIF($CB$72:CB85,CB85),"000"))</f>
        <v/>
      </c>
      <c r="J85" s="9" t="str">
        <f>IF(AND($BN$14&lt;&gt;"",($BM$14+14)&lt;=$BO$14),$BN$14,"")</f>
        <v>-AA</v>
      </c>
      <c r="K85" s="9" t="str">
        <f>IF(AND($BN$14&lt;&gt;"",($BM$14+14)&lt;=$BO$14),TEXT(($BM$14+14),"00"),"")</f>
        <v>38</v>
      </c>
      <c r="L85" s="9" t="str">
        <f>IF(AND($BN$14&lt;&gt;"",($BM$14+14)&lt;=$BO$14),$BN$14&amp;"-"&amp;TEXT(($BM$14+14),"00"),"")</f>
        <v>-AA-38</v>
      </c>
      <c r="N85" s="6"/>
      <c r="O85" s="9" t="str">
        <f>IF(CC85="","",CC85&amp;"-"&amp;TEXT(COUNTIF($CA$72:$CA$95,CC85)+COUNTIF($CB$72:$CB$95,CC85)+COUNTIF($CC$72:CC85,CC85),"000"))</f>
        <v/>
      </c>
      <c r="P85" s="9" t="str">
        <f>IF(AND($BN$15&lt;&gt;"",($BM$15+14)&lt;=$BO$15),$BN$15,"")</f>
        <v/>
      </c>
      <c r="Q85" s="9" t="str">
        <f>IF(AND($BN$15&lt;&gt;"",($BM$15+14)&lt;=$BO$15),TEXT(($BM$15+14),"00"),"")</f>
        <v/>
      </c>
      <c r="R85" s="9" t="str">
        <f>IF(AND($BN$15&lt;&gt;"",($BM$15+14)&lt;=$BO$15),$BN$15&amp;"-"&amp;TEXT(($BM$15+14),"00"),"")</f>
        <v/>
      </c>
      <c r="T85" s="6"/>
      <c r="U85" s="9" t="str">
        <f>IF(CD85="","",CD85&amp;"-"&amp;TEXT(COUNTIF($CA$72:$CA$95,CD85)+COUNTIF($CB$72:$CB$95,CD85)+COUNTIF($CC$72:$CC$95,CD85)+COUNTIF($CD$72:CD85,CD85),"000"))</f>
        <v/>
      </c>
      <c r="V85" s="9" t="str">
        <f>IF(AND($BN$16&lt;&gt;"",($BM$16+14)&lt;=$BO$16),$BN$16,"")</f>
        <v/>
      </c>
      <c r="W85" s="9" t="str">
        <f>IF(AND($BN$16&lt;&gt;"",($BM$16+14)&lt;=$BO$16),TEXT(($BM$16+14),"00"),"")</f>
        <v/>
      </c>
      <c r="X85" s="9" t="str">
        <f>IF(AND($BN$16&lt;&gt;"",($BM$16+14)&lt;=$BO$16),$BN$16&amp;"-"&amp;TEXT(($BM$16+14),"00"),"")</f>
        <v/>
      </c>
      <c r="BA85">
        <f>IF(OR(Catalogo!$C85="",Catalogo!$B85="Espacio libre",Catalogo!$B85="Espacio reservado"),0,COUNTIF($C$13:$C$42,Catalogo!$C85)+IF($E$7=Catalogo!$C85,N($K$7),0)+IF($E$8=Catalogo!$C85,N($N$8),0)+IF(Proyecto!$D$12=Catalogo!$C85,$AQ$4,0)+SUMIF($C$49:$C$58,Catalogo!$C85,$K$49:$K$58))</f>
        <v>0</v>
      </c>
      <c r="CA85" t="str" cm="1">
        <f t="array" ref="CA85">IF(NOT(AND($BN$13&lt;&gt;"",($BM$13+14)&lt;=$BO$13)),"",IF(B85&lt;&gt;"",IF(B85="-","",B85),IF(ISNUMBER(SEARCH(":",$BP$13)),IFERROR(_xlfn.LET(_xlpm.s,_xlfn.TEXTSPLIT($BP$13,","),_xlpm.k,FIND(":",_xlpm.s),INDEX(TRIM(LEFT(_xlpm.s,_xlpm.k-1)),_xlfn.XMATCH(($BM$13+14),_xlfn.SCAN(0,--MID(_xlpm.s,_xlpm.k+1,9),_xlfn.LAMBDA(_xlpm.a,_xlpm.v,_xlpm.a+_xlpm.v)),1))),""),IF(($BM$13+14)&lt;=$BQ$13,$BP$13,""))))</f>
        <v/>
      </c>
      <c r="CB85" t="str" cm="1">
        <f t="array" ref="CB85">IF(NOT(AND($BN$14&lt;&gt;"",($BM$14+14)&lt;=$BO$14)),"",IF(H85&lt;&gt;"",IF(H85="-","",H85),IF(ISNUMBER(SEARCH(":",$BP$14)),IFERROR(_xlfn.LET(_xlpm.s,_xlfn.TEXTSPLIT($BP$14,","),_xlpm.k,FIND(":",_xlpm.s),INDEX(TRIM(LEFT(_xlpm.s,_xlpm.k-1)),_xlfn.XMATCH(($BM$14+14),_xlfn.SCAN(0,--MID(_xlpm.s,_xlpm.k+1,9),_xlfn.LAMBDA(_xlpm.a,_xlpm.v,_xlpm.a+_xlpm.v)),1))),""),IF(($BM$14+14)&lt;=$BQ$14,$BP$14,""))))</f>
        <v/>
      </c>
      <c r="CC85" t="str" cm="1">
        <f t="array" ref="CC85">IF(NOT(AND($BN$15&lt;&gt;"",($BM$15+14)&lt;=$BO$15)),"",IF(N85&lt;&gt;"",IF(N85="-","",N85),IF(ISNUMBER(SEARCH(":",$BP$15)),IFERROR(_xlfn.LET(_xlpm.s,_xlfn.TEXTSPLIT($BP$15,","),_xlpm.k,FIND(":",_xlpm.s),INDEX(TRIM(LEFT(_xlpm.s,_xlpm.k-1)),_xlfn.XMATCH(($BM$15+14),_xlfn.SCAN(0,--MID(_xlpm.s,_xlpm.k+1,9),_xlfn.LAMBDA(_xlpm.a,_xlpm.v,_xlpm.a+_xlpm.v)),1))),""),IF(($BM$15+14)&lt;=$BQ$15,$BP$15,""))))</f>
        <v/>
      </c>
      <c r="CD85" t="str" cm="1">
        <f t="array" ref="CD85">IF(NOT(AND($BN$16&lt;&gt;"",($BM$16+14)&lt;=$BO$16)),"",IF(T85&lt;&gt;"",IF(T85="-","",T85),IF(ISNUMBER(SEARCH(":",$BP$16)),IFERROR(_xlfn.LET(_xlpm.s,_xlfn.TEXTSPLIT($BP$16,","),_xlpm.k,FIND(":",_xlpm.s),INDEX(TRIM(LEFT(_xlpm.s,_xlpm.k-1)),_xlfn.XMATCH(($BM$16+14),_xlfn.SCAN(0,--MID(_xlpm.s,_xlpm.k+1,9),_xlfn.LAMBDA(_xlpm.a,_xlpm.v,_xlpm.a+_xlpm.v)),1))),""),IF(($BM$16+14)&lt;=$BQ$16,$BP$16,""))))</f>
        <v/>
      </c>
    </row>
    <row r="86" spans="2:82" x14ac:dyDescent="0.45">
      <c r="B86" s="6"/>
      <c r="C86" s="9" t="str">
        <f>IF(CA86="","",CA86&amp;"-"&amp;TEXT(0+COUNTIF($CA$72:CA86,CA86),"000"))</f>
        <v/>
      </c>
      <c r="D86" s="9" t="str">
        <f>IF(AND($BN$13&lt;&gt;"",($BM$13+15)&lt;=$BO$13),$BN$13,"")</f>
        <v>-AA</v>
      </c>
      <c r="E86" s="9" t="str">
        <f>IF(AND($BN$13&lt;&gt;"",($BM$13+15)&lt;=$BO$13),TEXT(($BM$13+15),"00"),"")</f>
        <v>15</v>
      </c>
      <c r="F86" s="9" t="str">
        <f>IF(AND($BN$13&lt;&gt;"",($BM$13+15)&lt;=$BO$13),$BN$13&amp;"-"&amp;TEXT(($BM$13+15),"00"),"")</f>
        <v>-AA-15</v>
      </c>
      <c r="H86" s="6"/>
      <c r="I86" s="9" t="str">
        <f>IF(CB86="","",CB86&amp;"-"&amp;TEXT(COUNTIF($CA$72:$CA$95,CB86)+COUNTIF($CB$72:CB86,CB86),"000"))</f>
        <v/>
      </c>
      <c r="J86" s="9" t="str">
        <f>IF(AND($BN$14&lt;&gt;"",($BM$14+15)&lt;=$BO$14),$BN$14,"")</f>
        <v>-AA</v>
      </c>
      <c r="K86" s="9" t="str">
        <f>IF(AND($BN$14&lt;&gt;"",($BM$14+15)&lt;=$BO$14),TEXT(($BM$14+15),"00"),"")</f>
        <v>39</v>
      </c>
      <c r="L86" s="9" t="str">
        <f>IF(AND($BN$14&lt;&gt;"",($BM$14+15)&lt;=$BO$14),$BN$14&amp;"-"&amp;TEXT(($BM$14+15),"00"),"")</f>
        <v>-AA-39</v>
      </c>
      <c r="N86" s="6"/>
      <c r="O86" s="9" t="str">
        <f>IF(CC86="","",CC86&amp;"-"&amp;TEXT(COUNTIF($CA$72:$CA$95,CC86)+COUNTIF($CB$72:$CB$95,CC86)+COUNTIF($CC$72:CC86,CC86),"000"))</f>
        <v/>
      </c>
      <c r="P86" s="9" t="str">
        <f>IF(AND($BN$15&lt;&gt;"",($BM$15+15)&lt;=$BO$15),$BN$15,"")</f>
        <v/>
      </c>
      <c r="Q86" s="9" t="str">
        <f>IF(AND($BN$15&lt;&gt;"",($BM$15+15)&lt;=$BO$15),TEXT(($BM$15+15),"00"),"")</f>
        <v/>
      </c>
      <c r="R86" s="9" t="str">
        <f>IF(AND($BN$15&lt;&gt;"",($BM$15+15)&lt;=$BO$15),$BN$15&amp;"-"&amp;TEXT(($BM$15+15),"00"),"")</f>
        <v/>
      </c>
      <c r="T86" s="6"/>
      <c r="U86" s="9" t="str">
        <f>IF(CD86="","",CD86&amp;"-"&amp;TEXT(COUNTIF($CA$72:$CA$95,CD86)+COUNTIF($CB$72:$CB$95,CD86)+COUNTIF($CC$72:$CC$95,CD86)+COUNTIF($CD$72:CD86,CD86),"000"))</f>
        <v/>
      </c>
      <c r="V86" s="9" t="str">
        <f>IF(AND($BN$16&lt;&gt;"",($BM$16+15)&lt;=$BO$16),$BN$16,"")</f>
        <v/>
      </c>
      <c r="W86" s="9" t="str">
        <f>IF(AND($BN$16&lt;&gt;"",($BM$16+15)&lt;=$BO$16),TEXT(($BM$16+15),"00"),"")</f>
        <v/>
      </c>
      <c r="X86" s="9" t="str">
        <f>IF(AND($BN$16&lt;&gt;"",($BM$16+15)&lt;=$BO$16),$BN$16&amp;"-"&amp;TEXT(($BM$16+15),"00"),"")</f>
        <v/>
      </c>
      <c r="BA86">
        <f>IF(OR(Catalogo!$C86="",Catalogo!$B86="Espacio libre",Catalogo!$B86="Espacio reservado"),0,COUNTIF($C$13:$C$42,Catalogo!$C86)+IF($E$7=Catalogo!$C86,N($K$7),0)+IF($E$8=Catalogo!$C86,N($N$8),0)+IF(Proyecto!$D$12=Catalogo!$C86,$AQ$4,0)+SUMIF($C$49:$C$58,Catalogo!$C86,$K$49:$K$58))</f>
        <v>0</v>
      </c>
      <c r="CA86" t="str" cm="1">
        <f t="array" ref="CA86">IF(NOT(AND($BN$13&lt;&gt;"",($BM$13+15)&lt;=$BO$13)),"",IF(B86&lt;&gt;"",IF(B86="-","",B86),IF(ISNUMBER(SEARCH(":",$BP$13)),IFERROR(_xlfn.LET(_xlpm.s,_xlfn.TEXTSPLIT($BP$13,","),_xlpm.k,FIND(":",_xlpm.s),INDEX(TRIM(LEFT(_xlpm.s,_xlpm.k-1)),_xlfn.XMATCH(($BM$13+15),_xlfn.SCAN(0,--MID(_xlpm.s,_xlpm.k+1,9),_xlfn.LAMBDA(_xlpm.a,_xlpm.v,_xlpm.a+_xlpm.v)),1))),""),IF(($BM$13+15)&lt;=$BQ$13,$BP$13,""))))</f>
        <v/>
      </c>
      <c r="CB86" t="str" cm="1">
        <f t="array" ref="CB86">IF(NOT(AND($BN$14&lt;&gt;"",($BM$14+15)&lt;=$BO$14)),"",IF(H86&lt;&gt;"",IF(H86="-","",H86),IF(ISNUMBER(SEARCH(":",$BP$14)),IFERROR(_xlfn.LET(_xlpm.s,_xlfn.TEXTSPLIT($BP$14,","),_xlpm.k,FIND(":",_xlpm.s),INDEX(TRIM(LEFT(_xlpm.s,_xlpm.k-1)),_xlfn.XMATCH(($BM$14+15),_xlfn.SCAN(0,--MID(_xlpm.s,_xlpm.k+1,9),_xlfn.LAMBDA(_xlpm.a,_xlpm.v,_xlpm.a+_xlpm.v)),1))),""),IF(($BM$14+15)&lt;=$BQ$14,$BP$14,""))))</f>
        <v/>
      </c>
      <c r="CC86" t="str" cm="1">
        <f t="array" ref="CC86">IF(NOT(AND($BN$15&lt;&gt;"",($BM$15+15)&lt;=$BO$15)),"",IF(N86&lt;&gt;"",IF(N86="-","",N86),IF(ISNUMBER(SEARCH(":",$BP$15)),IFERROR(_xlfn.LET(_xlpm.s,_xlfn.TEXTSPLIT($BP$15,","),_xlpm.k,FIND(":",_xlpm.s),INDEX(TRIM(LEFT(_xlpm.s,_xlpm.k-1)),_xlfn.XMATCH(($BM$15+15),_xlfn.SCAN(0,--MID(_xlpm.s,_xlpm.k+1,9),_xlfn.LAMBDA(_xlpm.a,_xlpm.v,_xlpm.a+_xlpm.v)),1))),""),IF(($BM$15+15)&lt;=$BQ$15,$BP$15,""))))</f>
        <v/>
      </c>
      <c r="CD86" t="str" cm="1">
        <f t="array" ref="CD86">IF(NOT(AND($BN$16&lt;&gt;"",($BM$16+15)&lt;=$BO$16)),"",IF(T86&lt;&gt;"",IF(T86="-","",T86),IF(ISNUMBER(SEARCH(":",$BP$16)),IFERROR(_xlfn.LET(_xlpm.s,_xlfn.TEXTSPLIT($BP$16,","),_xlpm.k,FIND(":",_xlpm.s),INDEX(TRIM(LEFT(_xlpm.s,_xlpm.k-1)),_xlfn.XMATCH(($BM$16+15),_xlfn.SCAN(0,--MID(_xlpm.s,_xlpm.k+1,9),_xlfn.LAMBDA(_xlpm.a,_xlpm.v,_xlpm.a+_xlpm.v)),1))),""),IF(($BM$16+15)&lt;=$BQ$16,$BP$16,""))))</f>
        <v/>
      </c>
    </row>
    <row r="87" spans="2:82" x14ac:dyDescent="0.45">
      <c r="B87" s="6"/>
      <c r="C87" s="9" t="str">
        <f>IF(CA87="","",CA87&amp;"-"&amp;TEXT(0+COUNTIF($CA$72:CA87,CA87),"000"))</f>
        <v/>
      </c>
      <c r="D87" s="9" t="str">
        <f>IF(AND($BN$13&lt;&gt;"",($BM$13+16)&lt;=$BO$13),$BN$13,"")</f>
        <v>-AA</v>
      </c>
      <c r="E87" s="9" t="str">
        <f>IF(AND($BN$13&lt;&gt;"",($BM$13+16)&lt;=$BO$13),TEXT(($BM$13+16),"00"),"")</f>
        <v>16</v>
      </c>
      <c r="F87" s="9" t="str">
        <f>IF(AND($BN$13&lt;&gt;"",($BM$13+16)&lt;=$BO$13),$BN$13&amp;"-"&amp;TEXT(($BM$13+16),"00"),"")</f>
        <v>-AA-16</v>
      </c>
      <c r="H87" s="6"/>
      <c r="I87" s="9" t="str">
        <f>IF(CB87="","",CB87&amp;"-"&amp;TEXT(COUNTIF($CA$72:$CA$95,CB87)+COUNTIF($CB$72:CB87,CB87),"000"))</f>
        <v/>
      </c>
      <c r="J87" s="9" t="str">
        <f>IF(AND($BN$14&lt;&gt;"",($BM$14+16)&lt;=$BO$14),$BN$14,"")</f>
        <v>-AA</v>
      </c>
      <c r="K87" s="9" t="str">
        <f>IF(AND($BN$14&lt;&gt;"",($BM$14+16)&lt;=$BO$14),TEXT(($BM$14+16),"00"),"")</f>
        <v>40</v>
      </c>
      <c r="L87" s="9" t="str">
        <f>IF(AND($BN$14&lt;&gt;"",($BM$14+16)&lt;=$BO$14),$BN$14&amp;"-"&amp;TEXT(($BM$14+16),"00"),"")</f>
        <v>-AA-40</v>
      </c>
      <c r="N87" s="6"/>
      <c r="O87" s="9" t="str">
        <f>IF(CC87="","",CC87&amp;"-"&amp;TEXT(COUNTIF($CA$72:$CA$95,CC87)+COUNTIF($CB$72:$CB$95,CC87)+COUNTIF($CC$72:CC87,CC87),"000"))</f>
        <v/>
      </c>
      <c r="P87" s="9" t="str">
        <f>IF(AND($BN$15&lt;&gt;"",($BM$15+16)&lt;=$BO$15),$BN$15,"")</f>
        <v/>
      </c>
      <c r="Q87" s="9" t="str">
        <f>IF(AND($BN$15&lt;&gt;"",($BM$15+16)&lt;=$BO$15),TEXT(($BM$15+16),"00"),"")</f>
        <v/>
      </c>
      <c r="R87" s="9" t="str">
        <f>IF(AND($BN$15&lt;&gt;"",($BM$15+16)&lt;=$BO$15),$BN$15&amp;"-"&amp;TEXT(($BM$15+16),"00"),"")</f>
        <v/>
      </c>
      <c r="T87" s="6"/>
      <c r="U87" s="9" t="str">
        <f>IF(CD87="","",CD87&amp;"-"&amp;TEXT(COUNTIF($CA$72:$CA$95,CD87)+COUNTIF($CB$72:$CB$95,CD87)+COUNTIF($CC$72:$CC$95,CD87)+COUNTIF($CD$72:CD87,CD87),"000"))</f>
        <v/>
      </c>
      <c r="V87" s="9" t="str">
        <f>IF(AND($BN$16&lt;&gt;"",($BM$16+16)&lt;=$BO$16),$BN$16,"")</f>
        <v/>
      </c>
      <c r="W87" s="9" t="str">
        <f>IF(AND($BN$16&lt;&gt;"",($BM$16+16)&lt;=$BO$16),TEXT(($BM$16+16),"00"),"")</f>
        <v/>
      </c>
      <c r="X87" s="9" t="str">
        <f>IF(AND($BN$16&lt;&gt;"",($BM$16+16)&lt;=$BO$16),$BN$16&amp;"-"&amp;TEXT(($BM$16+16),"00"),"")</f>
        <v/>
      </c>
      <c r="BA87">
        <f>IF(OR(Catalogo!$C87="",Catalogo!$B87="Espacio libre",Catalogo!$B87="Espacio reservado"),0,COUNTIF($C$13:$C$42,Catalogo!$C87)+IF($E$7=Catalogo!$C87,N($K$7),0)+IF($E$8=Catalogo!$C87,N($N$8),0)+IF(Proyecto!$D$12=Catalogo!$C87,$AQ$4,0)+SUMIF($C$49:$C$58,Catalogo!$C87,$K$49:$K$58))</f>
        <v>0</v>
      </c>
      <c r="CA87" t="str" cm="1">
        <f t="array" ref="CA87">IF(NOT(AND($BN$13&lt;&gt;"",($BM$13+16)&lt;=$BO$13)),"",IF(B87&lt;&gt;"",IF(B87="-","",B87),IF(ISNUMBER(SEARCH(":",$BP$13)),IFERROR(_xlfn.LET(_xlpm.s,_xlfn.TEXTSPLIT($BP$13,","),_xlpm.k,FIND(":",_xlpm.s),INDEX(TRIM(LEFT(_xlpm.s,_xlpm.k-1)),_xlfn.XMATCH(($BM$13+16),_xlfn.SCAN(0,--MID(_xlpm.s,_xlpm.k+1,9),_xlfn.LAMBDA(_xlpm.a,_xlpm.v,_xlpm.a+_xlpm.v)),1))),""),IF(($BM$13+16)&lt;=$BQ$13,$BP$13,""))))</f>
        <v/>
      </c>
      <c r="CB87" t="str" cm="1">
        <f t="array" ref="CB87">IF(NOT(AND($BN$14&lt;&gt;"",($BM$14+16)&lt;=$BO$14)),"",IF(H87&lt;&gt;"",IF(H87="-","",H87),IF(ISNUMBER(SEARCH(":",$BP$14)),IFERROR(_xlfn.LET(_xlpm.s,_xlfn.TEXTSPLIT($BP$14,","),_xlpm.k,FIND(":",_xlpm.s),INDEX(TRIM(LEFT(_xlpm.s,_xlpm.k-1)),_xlfn.XMATCH(($BM$14+16),_xlfn.SCAN(0,--MID(_xlpm.s,_xlpm.k+1,9),_xlfn.LAMBDA(_xlpm.a,_xlpm.v,_xlpm.a+_xlpm.v)),1))),""),IF(($BM$14+16)&lt;=$BQ$14,$BP$14,""))))</f>
        <v/>
      </c>
      <c r="CC87" t="str" cm="1">
        <f t="array" ref="CC87">IF(NOT(AND($BN$15&lt;&gt;"",($BM$15+16)&lt;=$BO$15)),"",IF(N87&lt;&gt;"",IF(N87="-","",N87),IF(ISNUMBER(SEARCH(":",$BP$15)),IFERROR(_xlfn.LET(_xlpm.s,_xlfn.TEXTSPLIT($BP$15,","),_xlpm.k,FIND(":",_xlpm.s),INDEX(TRIM(LEFT(_xlpm.s,_xlpm.k-1)),_xlfn.XMATCH(($BM$15+16),_xlfn.SCAN(0,--MID(_xlpm.s,_xlpm.k+1,9),_xlfn.LAMBDA(_xlpm.a,_xlpm.v,_xlpm.a+_xlpm.v)),1))),""),IF(($BM$15+16)&lt;=$BQ$15,$BP$15,""))))</f>
        <v/>
      </c>
      <c r="CD87" t="str" cm="1">
        <f t="array" ref="CD87">IF(NOT(AND($BN$16&lt;&gt;"",($BM$16+16)&lt;=$BO$16)),"",IF(T87&lt;&gt;"",IF(T87="-","",T87),IF(ISNUMBER(SEARCH(":",$BP$16)),IFERROR(_xlfn.LET(_xlpm.s,_xlfn.TEXTSPLIT($BP$16,","),_xlpm.k,FIND(":",_xlpm.s),INDEX(TRIM(LEFT(_xlpm.s,_xlpm.k-1)),_xlfn.XMATCH(($BM$16+16),_xlfn.SCAN(0,--MID(_xlpm.s,_xlpm.k+1,9),_xlfn.LAMBDA(_xlpm.a,_xlpm.v,_xlpm.a+_xlpm.v)),1))),""),IF(($BM$16+16)&lt;=$BQ$16,$BP$16,""))))</f>
        <v/>
      </c>
    </row>
    <row r="88" spans="2:82" x14ac:dyDescent="0.45">
      <c r="B88" s="6"/>
      <c r="C88" s="9" t="str">
        <f>IF(CA88="","",CA88&amp;"-"&amp;TEXT(0+COUNTIF($CA$72:CA88,CA88),"000"))</f>
        <v/>
      </c>
      <c r="D88" s="9" t="str">
        <f>IF(AND($BN$13&lt;&gt;"",($BM$13+17)&lt;=$BO$13),$BN$13,"")</f>
        <v>-AA</v>
      </c>
      <c r="E88" s="9" t="str">
        <f>IF(AND($BN$13&lt;&gt;"",($BM$13+17)&lt;=$BO$13),TEXT(($BM$13+17),"00"),"")</f>
        <v>17</v>
      </c>
      <c r="F88" s="9" t="str">
        <f>IF(AND($BN$13&lt;&gt;"",($BM$13+17)&lt;=$BO$13),$BN$13&amp;"-"&amp;TEXT(($BM$13+17),"00"),"")</f>
        <v>-AA-17</v>
      </c>
      <c r="H88" s="6"/>
      <c r="I88" s="9" t="str">
        <f>IF(CB88="","",CB88&amp;"-"&amp;TEXT(COUNTIF($CA$72:$CA$95,CB88)+COUNTIF($CB$72:CB88,CB88),"000"))</f>
        <v/>
      </c>
      <c r="J88" s="9" t="str">
        <f>IF(AND($BN$14&lt;&gt;"",($BM$14+17)&lt;=$BO$14),$BN$14,"")</f>
        <v>-AA</v>
      </c>
      <c r="K88" s="9" t="str">
        <f>IF(AND($BN$14&lt;&gt;"",($BM$14+17)&lt;=$BO$14),TEXT(($BM$14+17),"00"),"")</f>
        <v>41</v>
      </c>
      <c r="L88" s="9" t="str">
        <f>IF(AND($BN$14&lt;&gt;"",($BM$14+17)&lt;=$BO$14),$BN$14&amp;"-"&amp;TEXT(($BM$14+17),"00"),"")</f>
        <v>-AA-41</v>
      </c>
      <c r="N88" s="6"/>
      <c r="O88" s="9" t="str">
        <f>IF(CC88="","",CC88&amp;"-"&amp;TEXT(COUNTIF($CA$72:$CA$95,CC88)+COUNTIF($CB$72:$CB$95,CC88)+COUNTIF($CC$72:CC88,CC88),"000"))</f>
        <v/>
      </c>
      <c r="P88" s="9" t="str">
        <f>IF(AND($BN$15&lt;&gt;"",($BM$15+17)&lt;=$BO$15),$BN$15,"")</f>
        <v/>
      </c>
      <c r="Q88" s="9" t="str">
        <f>IF(AND($BN$15&lt;&gt;"",($BM$15+17)&lt;=$BO$15),TEXT(($BM$15+17),"00"),"")</f>
        <v/>
      </c>
      <c r="R88" s="9" t="str">
        <f>IF(AND($BN$15&lt;&gt;"",($BM$15+17)&lt;=$BO$15),$BN$15&amp;"-"&amp;TEXT(($BM$15+17),"00"),"")</f>
        <v/>
      </c>
      <c r="T88" s="6"/>
      <c r="U88" s="9" t="str">
        <f>IF(CD88="","",CD88&amp;"-"&amp;TEXT(COUNTIF($CA$72:$CA$95,CD88)+COUNTIF($CB$72:$CB$95,CD88)+COUNTIF($CC$72:$CC$95,CD88)+COUNTIF($CD$72:CD88,CD88),"000"))</f>
        <v/>
      </c>
      <c r="V88" s="9" t="str">
        <f>IF(AND($BN$16&lt;&gt;"",($BM$16+17)&lt;=$BO$16),$BN$16,"")</f>
        <v/>
      </c>
      <c r="W88" s="9" t="str">
        <f>IF(AND($BN$16&lt;&gt;"",($BM$16+17)&lt;=$BO$16),TEXT(($BM$16+17),"00"),"")</f>
        <v/>
      </c>
      <c r="X88" s="9" t="str">
        <f>IF(AND($BN$16&lt;&gt;"",($BM$16+17)&lt;=$BO$16),$BN$16&amp;"-"&amp;TEXT(($BM$16+17),"00"),"")</f>
        <v/>
      </c>
      <c r="BA88">
        <f>IF(OR(Catalogo!$C88="",Catalogo!$B88="Espacio libre",Catalogo!$B88="Espacio reservado"),0,COUNTIF($C$13:$C$42,Catalogo!$C88)+IF($E$7=Catalogo!$C88,N($K$7),0)+IF($E$8=Catalogo!$C88,N($N$8),0)+IF(Proyecto!$D$12=Catalogo!$C88,$AQ$4,0)+SUMIF($C$49:$C$58,Catalogo!$C88,$K$49:$K$58))</f>
        <v>0</v>
      </c>
      <c r="CA88" t="str" cm="1">
        <f t="array" ref="CA88">IF(NOT(AND($BN$13&lt;&gt;"",($BM$13+17)&lt;=$BO$13)),"",IF(B88&lt;&gt;"",IF(B88="-","",B88),IF(ISNUMBER(SEARCH(":",$BP$13)),IFERROR(_xlfn.LET(_xlpm.s,_xlfn.TEXTSPLIT($BP$13,","),_xlpm.k,FIND(":",_xlpm.s),INDEX(TRIM(LEFT(_xlpm.s,_xlpm.k-1)),_xlfn.XMATCH(($BM$13+17),_xlfn.SCAN(0,--MID(_xlpm.s,_xlpm.k+1,9),_xlfn.LAMBDA(_xlpm.a,_xlpm.v,_xlpm.a+_xlpm.v)),1))),""),IF(($BM$13+17)&lt;=$BQ$13,$BP$13,""))))</f>
        <v/>
      </c>
      <c r="CB88" t="str" cm="1">
        <f t="array" ref="CB88">IF(NOT(AND($BN$14&lt;&gt;"",($BM$14+17)&lt;=$BO$14)),"",IF(H88&lt;&gt;"",IF(H88="-","",H88),IF(ISNUMBER(SEARCH(":",$BP$14)),IFERROR(_xlfn.LET(_xlpm.s,_xlfn.TEXTSPLIT($BP$14,","),_xlpm.k,FIND(":",_xlpm.s),INDEX(TRIM(LEFT(_xlpm.s,_xlpm.k-1)),_xlfn.XMATCH(($BM$14+17),_xlfn.SCAN(0,--MID(_xlpm.s,_xlpm.k+1,9),_xlfn.LAMBDA(_xlpm.a,_xlpm.v,_xlpm.a+_xlpm.v)),1))),""),IF(($BM$14+17)&lt;=$BQ$14,$BP$14,""))))</f>
        <v/>
      </c>
      <c r="CC88" t="str" cm="1">
        <f t="array" ref="CC88">IF(NOT(AND($BN$15&lt;&gt;"",($BM$15+17)&lt;=$BO$15)),"",IF(N88&lt;&gt;"",IF(N88="-","",N88),IF(ISNUMBER(SEARCH(":",$BP$15)),IFERROR(_xlfn.LET(_xlpm.s,_xlfn.TEXTSPLIT($BP$15,","),_xlpm.k,FIND(":",_xlpm.s),INDEX(TRIM(LEFT(_xlpm.s,_xlpm.k-1)),_xlfn.XMATCH(($BM$15+17),_xlfn.SCAN(0,--MID(_xlpm.s,_xlpm.k+1,9),_xlfn.LAMBDA(_xlpm.a,_xlpm.v,_xlpm.a+_xlpm.v)),1))),""),IF(($BM$15+17)&lt;=$BQ$15,$BP$15,""))))</f>
        <v/>
      </c>
      <c r="CD88" t="str" cm="1">
        <f t="array" ref="CD88">IF(NOT(AND($BN$16&lt;&gt;"",($BM$16+17)&lt;=$BO$16)),"",IF(T88&lt;&gt;"",IF(T88="-","",T88),IF(ISNUMBER(SEARCH(":",$BP$16)),IFERROR(_xlfn.LET(_xlpm.s,_xlfn.TEXTSPLIT($BP$16,","),_xlpm.k,FIND(":",_xlpm.s),INDEX(TRIM(LEFT(_xlpm.s,_xlpm.k-1)),_xlfn.XMATCH(($BM$16+17),_xlfn.SCAN(0,--MID(_xlpm.s,_xlpm.k+1,9),_xlfn.LAMBDA(_xlpm.a,_xlpm.v,_xlpm.a+_xlpm.v)),1))),""),IF(($BM$16+17)&lt;=$BQ$16,$BP$16,""))))</f>
        <v/>
      </c>
    </row>
    <row r="89" spans="2:82" x14ac:dyDescent="0.45">
      <c r="B89" s="6"/>
      <c r="C89" s="9" t="str">
        <f>IF(CA89="","",CA89&amp;"-"&amp;TEXT(0+COUNTIF($CA$72:CA89,CA89),"000"))</f>
        <v/>
      </c>
      <c r="D89" s="9" t="str">
        <f>IF(AND($BN$13&lt;&gt;"",($BM$13+18)&lt;=$BO$13),$BN$13,"")</f>
        <v>-AA</v>
      </c>
      <c r="E89" s="9" t="str">
        <f>IF(AND($BN$13&lt;&gt;"",($BM$13+18)&lt;=$BO$13),TEXT(($BM$13+18),"00"),"")</f>
        <v>18</v>
      </c>
      <c r="F89" s="9" t="str">
        <f>IF(AND($BN$13&lt;&gt;"",($BM$13+18)&lt;=$BO$13),$BN$13&amp;"-"&amp;TEXT(($BM$13+18),"00"),"")</f>
        <v>-AA-18</v>
      </c>
      <c r="H89" s="6"/>
      <c r="I89" s="9" t="str">
        <f>IF(CB89="","",CB89&amp;"-"&amp;TEXT(COUNTIF($CA$72:$CA$95,CB89)+COUNTIF($CB$72:CB89,CB89),"000"))</f>
        <v/>
      </c>
      <c r="J89" s="9" t="str">
        <f>IF(AND($BN$14&lt;&gt;"",($BM$14+18)&lt;=$BO$14),$BN$14,"")</f>
        <v>-AA</v>
      </c>
      <c r="K89" s="9" t="str">
        <f>IF(AND($BN$14&lt;&gt;"",($BM$14+18)&lt;=$BO$14),TEXT(($BM$14+18),"00"),"")</f>
        <v>42</v>
      </c>
      <c r="L89" s="9" t="str">
        <f>IF(AND($BN$14&lt;&gt;"",($BM$14+18)&lt;=$BO$14),$BN$14&amp;"-"&amp;TEXT(($BM$14+18),"00"),"")</f>
        <v>-AA-42</v>
      </c>
      <c r="N89" s="6"/>
      <c r="O89" s="9" t="str">
        <f>IF(CC89="","",CC89&amp;"-"&amp;TEXT(COUNTIF($CA$72:$CA$95,CC89)+COUNTIF($CB$72:$CB$95,CC89)+COUNTIF($CC$72:CC89,CC89),"000"))</f>
        <v/>
      </c>
      <c r="P89" s="9" t="str">
        <f>IF(AND($BN$15&lt;&gt;"",($BM$15+18)&lt;=$BO$15),$BN$15,"")</f>
        <v/>
      </c>
      <c r="Q89" s="9" t="str">
        <f>IF(AND($BN$15&lt;&gt;"",($BM$15+18)&lt;=$BO$15),TEXT(($BM$15+18),"00"),"")</f>
        <v/>
      </c>
      <c r="R89" s="9" t="str">
        <f>IF(AND($BN$15&lt;&gt;"",($BM$15+18)&lt;=$BO$15),$BN$15&amp;"-"&amp;TEXT(($BM$15+18),"00"),"")</f>
        <v/>
      </c>
      <c r="T89" s="6"/>
      <c r="U89" s="9" t="str">
        <f>IF(CD89="","",CD89&amp;"-"&amp;TEXT(COUNTIF($CA$72:$CA$95,CD89)+COUNTIF($CB$72:$CB$95,CD89)+COUNTIF($CC$72:$CC$95,CD89)+COUNTIF($CD$72:CD89,CD89),"000"))</f>
        <v/>
      </c>
      <c r="V89" s="9" t="str">
        <f>IF(AND($BN$16&lt;&gt;"",($BM$16+18)&lt;=$BO$16),$BN$16,"")</f>
        <v/>
      </c>
      <c r="W89" s="9" t="str">
        <f>IF(AND($BN$16&lt;&gt;"",($BM$16+18)&lt;=$BO$16),TEXT(($BM$16+18),"00"),"")</f>
        <v/>
      </c>
      <c r="X89" s="9" t="str">
        <f>IF(AND($BN$16&lt;&gt;"",($BM$16+18)&lt;=$BO$16),$BN$16&amp;"-"&amp;TEXT(($BM$16+18),"00"),"")</f>
        <v/>
      </c>
      <c r="BA89">
        <f>IF(OR(Catalogo!$C89="",Catalogo!$B89="Espacio libre",Catalogo!$B89="Espacio reservado"),0,COUNTIF($C$13:$C$42,Catalogo!$C89)+IF($E$7=Catalogo!$C89,N($K$7),0)+IF($E$8=Catalogo!$C89,N($N$8),0)+IF(Proyecto!$D$12=Catalogo!$C89,$AQ$4,0)+SUMIF($C$49:$C$58,Catalogo!$C89,$K$49:$K$58))</f>
        <v>0</v>
      </c>
      <c r="CA89" t="str" cm="1">
        <f t="array" ref="CA89">IF(NOT(AND($BN$13&lt;&gt;"",($BM$13+18)&lt;=$BO$13)),"",IF(B89&lt;&gt;"",IF(B89="-","",B89),IF(ISNUMBER(SEARCH(":",$BP$13)),IFERROR(_xlfn.LET(_xlpm.s,_xlfn.TEXTSPLIT($BP$13,","),_xlpm.k,FIND(":",_xlpm.s),INDEX(TRIM(LEFT(_xlpm.s,_xlpm.k-1)),_xlfn.XMATCH(($BM$13+18),_xlfn.SCAN(0,--MID(_xlpm.s,_xlpm.k+1,9),_xlfn.LAMBDA(_xlpm.a,_xlpm.v,_xlpm.a+_xlpm.v)),1))),""),IF(($BM$13+18)&lt;=$BQ$13,$BP$13,""))))</f>
        <v/>
      </c>
      <c r="CB89" t="str" cm="1">
        <f t="array" ref="CB89">IF(NOT(AND($BN$14&lt;&gt;"",($BM$14+18)&lt;=$BO$14)),"",IF(H89&lt;&gt;"",IF(H89="-","",H89),IF(ISNUMBER(SEARCH(":",$BP$14)),IFERROR(_xlfn.LET(_xlpm.s,_xlfn.TEXTSPLIT($BP$14,","),_xlpm.k,FIND(":",_xlpm.s),INDEX(TRIM(LEFT(_xlpm.s,_xlpm.k-1)),_xlfn.XMATCH(($BM$14+18),_xlfn.SCAN(0,--MID(_xlpm.s,_xlpm.k+1,9),_xlfn.LAMBDA(_xlpm.a,_xlpm.v,_xlpm.a+_xlpm.v)),1))),""),IF(($BM$14+18)&lt;=$BQ$14,$BP$14,""))))</f>
        <v/>
      </c>
      <c r="CC89" t="str" cm="1">
        <f t="array" ref="CC89">IF(NOT(AND($BN$15&lt;&gt;"",($BM$15+18)&lt;=$BO$15)),"",IF(N89&lt;&gt;"",IF(N89="-","",N89),IF(ISNUMBER(SEARCH(":",$BP$15)),IFERROR(_xlfn.LET(_xlpm.s,_xlfn.TEXTSPLIT($BP$15,","),_xlpm.k,FIND(":",_xlpm.s),INDEX(TRIM(LEFT(_xlpm.s,_xlpm.k-1)),_xlfn.XMATCH(($BM$15+18),_xlfn.SCAN(0,--MID(_xlpm.s,_xlpm.k+1,9),_xlfn.LAMBDA(_xlpm.a,_xlpm.v,_xlpm.a+_xlpm.v)),1))),""),IF(($BM$15+18)&lt;=$BQ$15,$BP$15,""))))</f>
        <v/>
      </c>
      <c r="CD89" t="str" cm="1">
        <f t="array" ref="CD89">IF(NOT(AND($BN$16&lt;&gt;"",($BM$16+18)&lt;=$BO$16)),"",IF(T89&lt;&gt;"",IF(T89="-","",T89),IF(ISNUMBER(SEARCH(":",$BP$16)),IFERROR(_xlfn.LET(_xlpm.s,_xlfn.TEXTSPLIT($BP$16,","),_xlpm.k,FIND(":",_xlpm.s),INDEX(TRIM(LEFT(_xlpm.s,_xlpm.k-1)),_xlfn.XMATCH(($BM$16+18),_xlfn.SCAN(0,--MID(_xlpm.s,_xlpm.k+1,9),_xlfn.LAMBDA(_xlpm.a,_xlpm.v,_xlpm.a+_xlpm.v)),1))),""),IF(($BM$16+18)&lt;=$BQ$16,$BP$16,""))))</f>
        <v/>
      </c>
    </row>
    <row r="90" spans="2:82" x14ac:dyDescent="0.45">
      <c r="B90" s="6"/>
      <c r="C90" s="9" t="str">
        <f>IF(CA90="","",CA90&amp;"-"&amp;TEXT(0+COUNTIF($CA$72:CA90,CA90),"000"))</f>
        <v/>
      </c>
      <c r="D90" s="9" t="str">
        <f>IF(AND($BN$13&lt;&gt;"",($BM$13+19)&lt;=$BO$13),$BN$13,"")</f>
        <v>-AA</v>
      </c>
      <c r="E90" s="9" t="str">
        <f>IF(AND($BN$13&lt;&gt;"",($BM$13+19)&lt;=$BO$13),TEXT(($BM$13+19),"00"),"")</f>
        <v>19</v>
      </c>
      <c r="F90" s="9" t="str">
        <f>IF(AND($BN$13&lt;&gt;"",($BM$13+19)&lt;=$BO$13),$BN$13&amp;"-"&amp;TEXT(($BM$13+19),"00"),"")</f>
        <v>-AA-19</v>
      </c>
      <c r="H90" s="6"/>
      <c r="I90" s="9" t="str">
        <f>IF(CB90="","",CB90&amp;"-"&amp;TEXT(COUNTIF($CA$72:$CA$95,CB90)+COUNTIF($CB$72:CB90,CB90),"000"))</f>
        <v/>
      </c>
      <c r="J90" s="9" t="str">
        <f>IF(AND($BN$14&lt;&gt;"",($BM$14+19)&lt;=$BO$14),$BN$14,"")</f>
        <v>-AA</v>
      </c>
      <c r="K90" s="9" t="str">
        <f>IF(AND($BN$14&lt;&gt;"",($BM$14+19)&lt;=$BO$14),TEXT(($BM$14+19),"00"),"")</f>
        <v>43</v>
      </c>
      <c r="L90" s="9" t="str">
        <f>IF(AND($BN$14&lt;&gt;"",($BM$14+19)&lt;=$BO$14),$BN$14&amp;"-"&amp;TEXT(($BM$14+19),"00"),"")</f>
        <v>-AA-43</v>
      </c>
      <c r="N90" s="6"/>
      <c r="O90" s="9" t="str">
        <f>IF(CC90="","",CC90&amp;"-"&amp;TEXT(COUNTIF($CA$72:$CA$95,CC90)+COUNTIF($CB$72:$CB$95,CC90)+COUNTIF($CC$72:CC90,CC90),"000"))</f>
        <v/>
      </c>
      <c r="P90" s="9" t="str">
        <f>IF(AND($BN$15&lt;&gt;"",($BM$15+19)&lt;=$BO$15),$BN$15,"")</f>
        <v/>
      </c>
      <c r="Q90" s="9" t="str">
        <f>IF(AND($BN$15&lt;&gt;"",($BM$15+19)&lt;=$BO$15),TEXT(($BM$15+19),"00"),"")</f>
        <v/>
      </c>
      <c r="R90" s="9" t="str">
        <f>IF(AND($BN$15&lt;&gt;"",($BM$15+19)&lt;=$BO$15),$BN$15&amp;"-"&amp;TEXT(($BM$15+19),"00"),"")</f>
        <v/>
      </c>
      <c r="T90" s="6"/>
      <c r="U90" s="9" t="str">
        <f>IF(CD90="","",CD90&amp;"-"&amp;TEXT(COUNTIF($CA$72:$CA$95,CD90)+COUNTIF($CB$72:$CB$95,CD90)+COUNTIF($CC$72:$CC$95,CD90)+COUNTIF($CD$72:CD90,CD90),"000"))</f>
        <v/>
      </c>
      <c r="V90" s="9" t="str">
        <f>IF(AND($BN$16&lt;&gt;"",($BM$16+19)&lt;=$BO$16),$BN$16,"")</f>
        <v/>
      </c>
      <c r="W90" s="9" t="str">
        <f>IF(AND($BN$16&lt;&gt;"",($BM$16+19)&lt;=$BO$16),TEXT(($BM$16+19),"00"),"")</f>
        <v/>
      </c>
      <c r="X90" s="9" t="str">
        <f>IF(AND($BN$16&lt;&gt;"",($BM$16+19)&lt;=$BO$16),$BN$16&amp;"-"&amp;TEXT(($BM$16+19),"00"),"")</f>
        <v/>
      </c>
      <c r="BA90">
        <f>IF(OR(Catalogo!$C90="",Catalogo!$B90="Espacio libre",Catalogo!$B90="Espacio reservado"),0,COUNTIF($C$13:$C$42,Catalogo!$C90)+IF($E$7=Catalogo!$C90,N($K$7),0)+IF($E$8=Catalogo!$C90,N($N$8),0)+IF(Proyecto!$D$12=Catalogo!$C90,$AQ$4,0)+SUMIF($C$49:$C$58,Catalogo!$C90,$K$49:$K$58))</f>
        <v>0</v>
      </c>
      <c r="CA90" t="str" cm="1">
        <f t="array" ref="CA90">IF(NOT(AND($BN$13&lt;&gt;"",($BM$13+19)&lt;=$BO$13)),"",IF(B90&lt;&gt;"",IF(B90="-","",B90),IF(ISNUMBER(SEARCH(":",$BP$13)),IFERROR(_xlfn.LET(_xlpm.s,_xlfn.TEXTSPLIT($BP$13,","),_xlpm.k,FIND(":",_xlpm.s),INDEX(TRIM(LEFT(_xlpm.s,_xlpm.k-1)),_xlfn.XMATCH(($BM$13+19),_xlfn.SCAN(0,--MID(_xlpm.s,_xlpm.k+1,9),_xlfn.LAMBDA(_xlpm.a,_xlpm.v,_xlpm.a+_xlpm.v)),1))),""),IF(($BM$13+19)&lt;=$BQ$13,$BP$13,""))))</f>
        <v/>
      </c>
      <c r="CB90" t="str" cm="1">
        <f t="array" ref="CB90">IF(NOT(AND($BN$14&lt;&gt;"",($BM$14+19)&lt;=$BO$14)),"",IF(H90&lt;&gt;"",IF(H90="-","",H90),IF(ISNUMBER(SEARCH(":",$BP$14)),IFERROR(_xlfn.LET(_xlpm.s,_xlfn.TEXTSPLIT($BP$14,","),_xlpm.k,FIND(":",_xlpm.s),INDEX(TRIM(LEFT(_xlpm.s,_xlpm.k-1)),_xlfn.XMATCH(($BM$14+19),_xlfn.SCAN(0,--MID(_xlpm.s,_xlpm.k+1,9),_xlfn.LAMBDA(_xlpm.a,_xlpm.v,_xlpm.a+_xlpm.v)),1))),""),IF(($BM$14+19)&lt;=$BQ$14,$BP$14,""))))</f>
        <v/>
      </c>
      <c r="CC90" t="str" cm="1">
        <f t="array" ref="CC90">IF(NOT(AND($BN$15&lt;&gt;"",($BM$15+19)&lt;=$BO$15)),"",IF(N90&lt;&gt;"",IF(N90="-","",N90),IF(ISNUMBER(SEARCH(":",$BP$15)),IFERROR(_xlfn.LET(_xlpm.s,_xlfn.TEXTSPLIT($BP$15,","),_xlpm.k,FIND(":",_xlpm.s),INDEX(TRIM(LEFT(_xlpm.s,_xlpm.k-1)),_xlfn.XMATCH(($BM$15+19),_xlfn.SCAN(0,--MID(_xlpm.s,_xlpm.k+1,9),_xlfn.LAMBDA(_xlpm.a,_xlpm.v,_xlpm.a+_xlpm.v)),1))),""),IF(($BM$15+19)&lt;=$BQ$15,$BP$15,""))))</f>
        <v/>
      </c>
      <c r="CD90" t="str" cm="1">
        <f t="array" ref="CD90">IF(NOT(AND($BN$16&lt;&gt;"",($BM$16+19)&lt;=$BO$16)),"",IF(T90&lt;&gt;"",IF(T90="-","",T90),IF(ISNUMBER(SEARCH(":",$BP$16)),IFERROR(_xlfn.LET(_xlpm.s,_xlfn.TEXTSPLIT($BP$16,","),_xlpm.k,FIND(":",_xlpm.s),INDEX(TRIM(LEFT(_xlpm.s,_xlpm.k-1)),_xlfn.XMATCH(($BM$16+19),_xlfn.SCAN(0,--MID(_xlpm.s,_xlpm.k+1,9),_xlfn.LAMBDA(_xlpm.a,_xlpm.v,_xlpm.a+_xlpm.v)),1))),""),IF(($BM$16+19)&lt;=$BQ$16,$BP$16,""))))</f>
        <v/>
      </c>
    </row>
    <row r="91" spans="2:82" x14ac:dyDescent="0.45">
      <c r="B91" s="6"/>
      <c r="C91" s="9" t="str">
        <f>IF(CA91="","",CA91&amp;"-"&amp;TEXT(0+COUNTIF($CA$72:CA91,CA91),"000"))</f>
        <v/>
      </c>
      <c r="D91" s="9" t="str">
        <f>IF(AND($BN$13&lt;&gt;"",($BM$13+20)&lt;=$BO$13),$BN$13,"")</f>
        <v>-AA</v>
      </c>
      <c r="E91" s="9" t="str">
        <f>IF(AND($BN$13&lt;&gt;"",($BM$13+20)&lt;=$BO$13),TEXT(($BM$13+20),"00"),"")</f>
        <v>20</v>
      </c>
      <c r="F91" s="9" t="str">
        <f>IF(AND($BN$13&lt;&gt;"",($BM$13+20)&lt;=$BO$13),$BN$13&amp;"-"&amp;TEXT(($BM$13+20),"00"),"")</f>
        <v>-AA-20</v>
      </c>
      <c r="H91" s="6"/>
      <c r="I91" s="9" t="str">
        <f>IF(CB91="","",CB91&amp;"-"&amp;TEXT(COUNTIF($CA$72:$CA$95,CB91)+COUNTIF($CB$72:CB91,CB91),"000"))</f>
        <v/>
      </c>
      <c r="J91" s="9" t="str">
        <f>IF(AND($BN$14&lt;&gt;"",($BM$14+20)&lt;=$BO$14),$BN$14,"")</f>
        <v>-AA</v>
      </c>
      <c r="K91" s="9" t="str">
        <f>IF(AND($BN$14&lt;&gt;"",($BM$14+20)&lt;=$BO$14),TEXT(($BM$14+20),"00"),"")</f>
        <v>44</v>
      </c>
      <c r="L91" s="9" t="str">
        <f>IF(AND($BN$14&lt;&gt;"",($BM$14+20)&lt;=$BO$14),$BN$14&amp;"-"&amp;TEXT(($BM$14+20),"00"),"")</f>
        <v>-AA-44</v>
      </c>
      <c r="N91" s="6"/>
      <c r="O91" s="9" t="str">
        <f>IF(CC91="","",CC91&amp;"-"&amp;TEXT(COUNTIF($CA$72:$CA$95,CC91)+COUNTIF($CB$72:$CB$95,CC91)+COUNTIF($CC$72:CC91,CC91),"000"))</f>
        <v/>
      </c>
      <c r="P91" s="9" t="str">
        <f>IF(AND($BN$15&lt;&gt;"",($BM$15+20)&lt;=$BO$15),$BN$15,"")</f>
        <v/>
      </c>
      <c r="Q91" s="9" t="str">
        <f>IF(AND($BN$15&lt;&gt;"",($BM$15+20)&lt;=$BO$15),TEXT(($BM$15+20),"00"),"")</f>
        <v/>
      </c>
      <c r="R91" s="9" t="str">
        <f>IF(AND($BN$15&lt;&gt;"",($BM$15+20)&lt;=$BO$15),$BN$15&amp;"-"&amp;TEXT(($BM$15+20),"00"),"")</f>
        <v/>
      </c>
      <c r="T91" s="6"/>
      <c r="U91" s="9" t="str">
        <f>IF(CD91="","",CD91&amp;"-"&amp;TEXT(COUNTIF($CA$72:$CA$95,CD91)+COUNTIF($CB$72:$CB$95,CD91)+COUNTIF($CC$72:$CC$95,CD91)+COUNTIF($CD$72:CD91,CD91),"000"))</f>
        <v/>
      </c>
      <c r="V91" s="9" t="str">
        <f>IF(AND($BN$16&lt;&gt;"",($BM$16+20)&lt;=$BO$16),$BN$16,"")</f>
        <v/>
      </c>
      <c r="W91" s="9" t="str">
        <f>IF(AND($BN$16&lt;&gt;"",($BM$16+20)&lt;=$BO$16),TEXT(($BM$16+20),"00"),"")</f>
        <v/>
      </c>
      <c r="X91" s="9" t="str">
        <f>IF(AND($BN$16&lt;&gt;"",($BM$16+20)&lt;=$BO$16),$BN$16&amp;"-"&amp;TEXT(($BM$16+20),"00"),"")</f>
        <v/>
      </c>
      <c r="BA91">
        <f>IF(OR(Catalogo!$C91="",Catalogo!$B91="Espacio libre",Catalogo!$B91="Espacio reservado"),0,COUNTIF($C$13:$C$42,Catalogo!$C91)+IF($E$7=Catalogo!$C91,N($K$7),0)+IF($E$8=Catalogo!$C91,N($N$8),0)+IF(Proyecto!$D$12=Catalogo!$C91,$AQ$4,0)+SUMIF($C$49:$C$58,Catalogo!$C91,$K$49:$K$58))</f>
        <v>0</v>
      </c>
      <c r="CA91" t="str" cm="1">
        <f t="array" ref="CA91">IF(NOT(AND($BN$13&lt;&gt;"",($BM$13+20)&lt;=$BO$13)),"",IF(B91&lt;&gt;"",IF(B91="-","",B91),IF(ISNUMBER(SEARCH(":",$BP$13)),IFERROR(_xlfn.LET(_xlpm.s,_xlfn.TEXTSPLIT($BP$13,","),_xlpm.k,FIND(":",_xlpm.s),INDEX(TRIM(LEFT(_xlpm.s,_xlpm.k-1)),_xlfn.XMATCH(($BM$13+20),_xlfn.SCAN(0,--MID(_xlpm.s,_xlpm.k+1,9),_xlfn.LAMBDA(_xlpm.a,_xlpm.v,_xlpm.a+_xlpm.v)),1))),""),IF(($BM$13+20)&lt;=$BQ$13,$BP$13,""))))</f>
        <v/>
      </c>
      <c r="CB91" t="str" cm="1">
        <f t="array" ref="CB91">IF(NOT(AND($BN$14&lt;&gt;"",($BM$14+20)&lt;=$BO$14)),"",IF(H91&lt;&gt;"",IF(H91="-","",H91),IF(ISNUMBER(SEARCH(":",$BP$14)),IFERROR(_xlfn.LET(_xlpm.s,_xlfn.TEXTSPLIT($BP$14,","),_xlpm.k,FIND(":",_xlpm.s),INDEX(TRIM(LEFT(_xlpm.s,_xlpm.k-1)),_xlfn.XMATCH(($BM$14+20),_xlfn.SCAN(0,--MID(_xlpm.s,_xlpm.k+1,9),_xlfn.LAMBDA(_xlpm.a,_xlpm.v,_xlpm.a+_xlpm.v)),1))),""),IF(($BM$14+20)&lt;=$BQ$14,$BP$14,""))))</f>
        <v/>
      </c>
      <c r="CC91" t="str" cm="1">
        <f t="array" ref="CC91">IF(NOT(AND($BN$15&lt;&gt;"",($BM$15+20)&lt;=$BO$15)),"",IF(N91&lt;&gt;"",IF(N91="-","",N91),IF(ISNUMBER(SEARCH(":",$BP$15)),IFERROR(_xlfn.LET(_xlpm.s,_xlfn.TEXTSPLIT($BP$15,","),_xlpm.k,FIND(":",_xlpm.s),INDEX(TRIM(LEFT(_xlpm.s,_xlpm.k-1)),_xlfn.XMATCH(($BM$15+20),_xlfn.SCAN(0,--MID(_xlpm.s,_xlpm.k+1,9),_xlfn.LAMBDA(_xlpm.a,_xlpm.v,_xlpm.a+_xlpm.v)),1))),""),IF(($BM$15+20)&lt;=$BQ$15,$BP$15,""))))</f>
        <v/>
      </c>
      <c r="CD91" t="str" cm="1">
        <f t="array" ref="CD91">IF(NOT(AND($BN$16&lt;&gt;"",($BM$16+20)&lt;=$BO$16)),"",IF(T91&lt;&gt;"",IF(T91="-","",T91),IF(ISNUMBER(SEARCH(":",$BP$16)),IFERROR(_xlfn.LET(_xlpm.s,_xlfn.TEXTSPLIT($BP$16,","),_xlpm.k,FIND(":",_xlpm.s),INDEX(TRIM(LEFT(_xlpm.s,_xlpm.k-1)),_xlfn.XMATCH(($BM$16+20),_xlfn.SCAN(0,--MID(_xlpm.s,_xlpm.k+1,9),_xlfn.LAMBDA(_xlpm.a,_xlpm.v,_xlpm.a+_xlpm.v)),1))),""),IF(($BM$16+20)&lt;=$BQ$16,$BP$16,""))))</f>
        <v/>
      </c>
    </row>
    <row r="92" spans="2:82" x14ac:dyDescent="0.45">
      <c r="B92" s="6"/>
      <c r="C92" s="9" t="str">
        <f>IF(CA92="","",CA92&amp;"-"&amp;TEXT(0+COUNTIF($CA$72:CA92,CA92),"000"))</f>
        <v/>
      </c>
      <c r="D92" s="9" t="str">
        <f>IF(AND($BN$13&lt;&gt;"",($BM$13+21)&lt;=$BO$13),$BN$13,"")</f>
        <v>-AA</v>
      </c>
      <c r="E92" s="9" t="str">
        <f>IF(AND($BN$13&lt;&gt;"",($BM$13+21)&lt;=$BO$13),TEXT(($BM$13+21),"00"),"")</f>
        <v>21</v>
      </c>
      <c r="F92" s="9" t="str">
        <f>IF(AND($BN$13&lt;&gt;"",($BM$13+21)&lt;=$BO$13),$BN$13&amp;"-"&amp;TEXT(($BM$13+21),"00"),"")</f>
        <v>-AA-21</v>
      </c>
      <c r="H92" s="6"/>
      <c r="I92" s="9" t="str">
        <f>IF(CB92="","",CB92&amp;"-"&amp;TEXT(COUNTIF($CA$72:$CA$95,CB92)+COUNTIF($CB$72:CB92,CB92),"000"))</f>
        <v/>
      </c>
      <c r="J92" s="9" t="str">
        <f>IF(AND($BN$14&lt;&gt;"",($BM$14+21)&lt;=$BO$14),$BN$14,"")</f>
        <v>-AA</v>
      </c>
      <c r="K92" s="9" t="str">
        <f>IF(AND($BN$14&lt;&gt;"",($BM$14+21)&lt;=$BO$14),TEXT(($BM$14+21),"00"),"")</f>
        <v>45</v>
      </c>
      <c r="L92" s="9" t="str">
        <f>IF(AND($BN$14&lt;&gt;"",($BM$14+21)&lt;=$BO$14),$BN$14&amp;"-"&amp;TEXT(($BM$14+21),"00"),"")</f>
        <v>-AA-45</v>
      </c>
      <c r="N92" s="6"/>
      <c r="O92" s="9" t="str">
        <f>IF(CC92="","",CC92&amp;"-"&amp;TEXT(COUNTIF($CA$72:$CA$95,CC92)+COUNTIF($CB$72:$CB$95,CC92)+COUNTIF($CC$72:CC92,CC92),"000"))</f>
        <v/>
      </c>
      <c r="P92" s="9" t="str">
        <f>IF(AND($BN$15&lt;&gt;"",($BM$15+21)&lt;=$BO$15),$BN$15,"")</f>
        <v/>
      </c>
      <c r="Q92" s="9" t="str">
        <f>IF(AND($BN$15&lt;&gt;"",($BM$15+21)&lt;=$BO$15),TEXT(($BM$15+21),"00"),"")</f>
        <v/>
      </c>
      <c r="R92" s="9" t="str">
        <f>IF(AND($BN$15&lt;&gt;"",($BM$15+21)&lt;=$BO$15),$BN$15&amp;"-"&amp;TEXT(($BM$15+21),"00"),"")</f>
        <v/>
      </c>
      <c r="T92" s="6"/>
      <c r="U92" s="9" t="str">
        <f>IF(CD92="","",CD92&amp;"-"&amp;TEXT(COUNTIF($CA$72:$CA$95,CD92)+COUNTIF($CB$72:$CB$95,CD92)+COUNTIF($CC$72:$CC$95,CD92)+COUNTIF($CD$72:CD92,CD92),"000"))</f>
        <v/>
      </c>
      <c r="V92" s="9" t="str">
        <f>IF(AND($BN$16&lt;&gt;"",($BM$16+21)&lt;=$BO$16),$BN$16,"")</f>
        <v/>
      </c>
      <c r="W92" s="9" t="str">
        <f>IF(AND($BN$16&lt;&gt;"",($BM$16+21)&lt;=$BO$16),TEXT(($BM$16+21),"00"),"")</f>
        <v/>
      </c>
      <c r="X92" s="9" t="str">
        <f>IF(AND($BN$16&lt;&gt;"",($BM$16+21)&lt;=$BO$16),$BN$16&amp;"-"&amp;TEXT(($BM$16+21),"00"),"")</f>
        <v/>
      </c>
      <c r="BA92">
        <f>IF(OR(Catalogo!$C92="",Catalogo!$B92="Espacio libre",Catalogo!$B92="Espacio reservado"),0,COUNTIF($C$13:$C$42,Catalogo!$C92)+IF($E$7=Catalogo!$C92,N($K$7),0)+IF($E$8=Catalogo!$C92,N($N$8),0)+IF(Proyecto!$D$12=Catalogo!$C92,$AQ$4,0)+SUMIF($C$49:$C$58,Catalogo!$C92,$K$49:$K$58))</f>
        <v>0</v>
      </c>
      <c r="CA92" t="str" cm="1">
        <f t="array" ref="CA92">IF(NOT(AND($BN$13&lt;&gt;"",($BM$13+21)&lt;=$BO$13)),"",IF(B92&lt;&gt;"",IF(B92="-","",B92),IF(ISNUMBER(SEARCH(":",$BP$13)),IFERROR(_xlfn.LET(_xlpm.s,_xlfn.TEXTSPLIT($BP$13,","),_xlpm.k,FIND(":",_xlpm.s),INDEX(TRIM(LEFT(_xlpm.s,_xlpm.k-1)),_xlfn.XMATCH(($BM$13+21),_xlfn.SCAN(0,--MID(_xlpm.s,_xlpm.k+1,9),_xlfn.LAMBDA(_xlpm.a,_xlpm.v,_xlpm.a+_xlpm.v)),1))),""),IF(($BM$13+21)&lt;=$BQ$13,$BP$13,""))))</f>
        <v/>
      </c>
      <c r="CB92" t="str" cm="1">
        <f t="array" ref="CB92">IF(NOT(AND($BN$14&lt;&gt;"",($BM$14+21)&lt;=$BO$14)),"",IF(H92&lt;&gt;"",IF(H92="-","",H92),IF(ISNUMBER(SEARCH(":",$BP$14)),IFERROR(_xlfn.LET(_xlpm.s,_xlfn.TEXTSPLIT($BP$14,","),_xlpm.k,FIND(":",_xlpm.s),INDEX(TRIM(LEFT(_xlpm.s,_xlpm.k-1)),_xlfn.XMATCH(($BM$14+21),_xlfn.SCAN(0,--MID(_xlpm.s,_xlpm.k+1,9),_xlfn.LAMBDA(_xlpm.a,_xlpm.v,_xlpm.a+_xlpm.v)),1))),""),IF(($BM$14+21)&lt;=$BQ$14,$BP$14,""))))</f>
        <v/>
      </c>
      <c r="CC92" t="str" cm="1">
        <f t="array" ref="CC92">IF(NOT(AND($BN$15&lt;&gt;"",($BM$15+21)&lt;=$BO$15)),"",IF(N92&lt;&gt;"",IF(N92="-","",N92),IF(ISNUMBER(SEARCH(":",$BP$15)),IFERROR(_xlfn.LET(_xlpm.s,_xlfn.TEXTSPLIT($BP$15,","),_xlpm.k,FIND(":",_xlpm.s),INDEX(TRIM(LEFT(_xlpm.s,_xlpm.k-1)),_xlfn.XMATCH(($BM$15+21),_xlfn.SCAN(0,--MID(_xlpm.s,_xlpm.k+1,9),_xlfn.LAMBDA(_xlpm.a,_xlpm.v,_xlpm.a+_xlpm.v)),1))),""),IF(($BM$15+21)&lt;=$BQ$15,$BP$15,""))))</f>
        <v/>
      </c>
      <c r="CD92" t="str" cm="1">
        <f t="array" ref="CD92">IF(NOT(AND($BN$16&lt;&gt;"",($BM$16+21)&lt;=$BO$16)),"",IF(T92&lt;&gt;"",IF(T92="-","",T92),IF(ISNUMBER(SEARCH(":",$BP$16)),IFERROR(_xlfn.LET(_xlpm.s,_xlfn.TEXTSPLIT($BP$16,","),_xlpm.k,FIND(":",_xlpm.s),INDEX(TRIM(LEFT(_xlpm.s,_xlpm.k-1)),_xlfn.XMATCH(($BM$16+21),_xlfn.SCAN(0,--MID(_xlpm.s,_xlpm.k+1,9),_xlfn.LAMBDA(_xlpm.a,_xlpm.v,_xlpm.a+_xlpm.v)),1))),""),IF(($BM$16+21)&lt;=$BQ$16,$BP$16,""))))</f>
        <v/>
      </c>
    </row>
    <row r="93" spans="2:82" x14ac:dyDescent="0.45">
      <c r="B93" s="6"/>
      <c r="C93" s="9" t="str">
        <f>IF(CA93="","",CA93&amp;"-"&amp;TEXT(0+COUNTIF($CA$72:CA93,CA93),"000"))</f>
        <v/>
      </c>
      <c r="D93" s="9" t="str">
        <f>IF(AND($BN$13&lt;&gt;"",($BM$13+22)&lt;=$BO$13),$BN$13,"")</f>
        <v>-AA</v>
      </c>
      <c r="E93" s="9" t="str">
        <f>IF(AND($BN$13&lt;&gt;"",($BM$13+22)&lt;=$BO$13),TEXT(($BM$13+22),"00"),"")</f>
        <v>22</v>
      </c>
      <c r="F93" s="9" t="str">
        <f>IF(AND($BN$13&lt;&gt;"",($BM$13+22)&lt;=$BO$13),$BN$13&amp;"-"&amp;TEXT(($BM$13+22),"00"),"")</f>
        <v>-AA-22</v>
      </c>
      <c r="H93" s="6"/>
      <c r="I93" s="9" t="str">
        <f>IF(CB93="","",CB93&amp;"-"&amp;TEXT(COUNTIF($CA$72:$CA$95,CB93)+COUNTIF($CB$72:CB93,CB93),"000"))</f>
        <v/>
      </c>
      <c r="J93" s="9" t="str">
        <f>IF(AND($BN$14&lt;&gt;"",($BM$14+22)&lt;=$BO$14),$BN$14,"")</f>
        <v>-AA</v>
      </c>
      <c r="K93" s="9" t="str">
        <f>IF(AND($BN$14&lt;&gt;"",($BM$14+22)&lt;=$BO$14),TEXT(($BM$14+22),"00"),"")</f>
        <v>46</v>
      </c>
      <c r="L93" s="9" t="str">
        <f>IF(AND($BN$14&lt;&gt;"",($BM$14+22)&lt;=$BO$14),$BN$14&amp;"-"&amp;TEXT(($BM$14+22),"00"),"")</f>
        <v>-AA-46</v>
      </c>
      <c r="N93" s="6"/>
      <c r="O93" s="9" t="str">
        <f>IF(CC93="","",CC93&amp;"-"&amp;TEXT(COUNTIF($CA$72:$CA$95,CC93)+COUNTIF($CB$72:$CB$95,CC93)+COUNTIF($CC$72:CC93,CC93),"000"))</f>
        <v/>
      </c>
      <c r="P93" s="9" t="str">
        <f>IF(AND($BN$15&lt;&gt;"",($BM$15+22)&lt;=$BO$15),$BN$15,"")</f>
        <v/>
      </c>
      <c r="Q93" s="9" t="str">
        <f>IF(AND($BN$15&lt;&gt;"",($BM$15+22)&lt;=$BO$15),TEXT(($BM$15+22),"00"),"")</f>
        <v/>
      </c>
      <c r="R93" s="9" t="str">
        <f>IF(AND($BN$15&lt;&gt;"",($BM$15+22)&lt;=$BO$15),$BN$15&amp;"-"&amp;TEXT(($BM$15+22),"00"),"")</f>
        <v/>
      </c>
      <c r="T93" s="6"/>
      <c r="U93" s="9" t="str">
        <f>IF(CD93="","",CD93&amp;"-"&amp;TEXT(COUNTIF($CA$72:$CA$95,CD93)+COUNTIF($CB$72:$CB$95,CD93)+COUNTIF($CC$72:$CC$95,CD93)+COUNTIF($CD$72:CD93,CD93),"000"))</f>
        <v/>
      </c>
      <c r="V93" s="9" t="str">
        <f>IF(AND($BN$16&lt;&gt;"",($BM$16+22)&lt;=$BO$16),$BN$16,"")</f>
        <v/>
      </c>
      <c r="W93" s="9" t="str">
        <f>IF(AND($BN$16&lt;&gt;"",($BM$16+22)&lt;=$BO$16),TEXT(($BM$16+22),"00"),"")</f>
        <v/>
      </c>
      <c r="X93" s="9" t="str">
        <f>IF(AND($BN$16&lt;&gt;"",($BM$16+22)&lt;=$BO$16),$BN$16&amp;"-"&amp;TEXT(($BM$16+22),"00"),"")</f>
        <v/>
      </c>
      <c r="BA93">
        <f>IF(OR(Catalogo!$C93="",Catalogo!$B93="Espacio libre",Catalogo!$B93="Espacio reservado"),0,COUNTIF($C$13:$C$42,Catalogo!$C93)+IF($E$7=Catalogo!$C93,N($K$7),0)+IF($E$8=Catalogo!$C93,N($N$8),0)+IF(Proyecto!$D$12=Catalogo!$C93,$AQ$4,0)+SUMIF($C$49:$C$58,Catalogo!$C93,$K$49:$K$58))</f>
        <v>0</v>
      </c>
      <c r="CA93" t="str" cm="1">
        <f t="array" ref="CA93">IF(NOT(AND($BN$13&lt;&gt;"",($BM$13+22)&lt;=$BO$13)),"",IF(B93&lt;&gt;"",IF(B93="-","",B93),IF(ISNUMBER(SEARCH(":",$BP$13)),IFERROR(_xlfn.LET(_xlpm.s,_xlfn.TEXTSPLIT($BP$13,","),_xlpm.k,FIND(":",_xlpm.s),INDEX(TRIM(LEFT(_xlpm.s,_xlpm.k-1)),_xlfn.XMATCH(($BM$13+22),_xlfn.SCAN(0,--MID(_xlpm.s,_xlpm.k+1,9),_xlfn.LAMBDA(_xlpm.a,_xlpm.v,_xlpm.a+_xlpm.v)),1))),""),IF(($BM$13+22)&lt;=$BQ$13,$BP$13,""))))</f>
        <v/>
      </c>
      <c r="CB93" t="str" cm="1">
        <f t="array" ref="CB93">IF(NOT(AND($BN$14&lt;&gt;"",($BM$14+22)&lt;=$BO$14)),"",IF(H93&lt;&gt;"",IF(H93="-","",H93),IF(ISNUMBER(SEARCH(":",$BP$14)),IFERROR(_xlfn.LET(_xlpm.s,_xlfn.TEXTSPLIT($BP$14,","),_xlpm.k,FIND(":",_xlpm.s),INDEX(TRIM(LEFT(_xlpm.s,_xlpm.k-1)),_xlfn.XMATCH(($BM$14+22),_xlfn.SCAN(0,--MID(_xlpm.s,_xlpm.k+1,9),_xlfn.LAMBDA(_xlpm.a,_xlpm.v,_xlpm.a+_xlpm.v)),1))),""),IF(($BM$14+22)&lt;=$BQ$14,$BP$14,""))))</f>
        <v/>
      </c>
      <c r="CC93" t="str" cm="1">
        <f t="array" ref="CC93">IF(NOT(AND($BN$15&lt;&gt;"",($BM$15+22)&lt;=$BO$15)),"",IF(N93&lt;&gt;"",IF(N93="-","",N93),IF(ISNUMBER(SEARCH(":",$BP$15)),IFERROR(_xlfn.LET(_xlpm.s,_xlfn.TEXTSPLIT($BP$15,","),_xlpm.k,FIND(":",_xlpm.s),INDEX(TRIM(LEFT(_xlpm.s,_xlpm.k-1)),_xlfn.XMATCH(($BM$15+22),_xlfn.SCAN(0,--MID(_xlpm.s,_xlpm.k+1,9),_xlfn.LAMBDA(_xlpm.a,_xlpm.v,_xlpm.a+_xlpm.v)),1))),""),IF(($BM$15+22)&lt;=$BQ$15,$BP$15,""))))</f>
        <v/>
      </c>
      <c r="CD93" t="str" cm="1">
        <f t="array" ref="CD93">IF(NOT(AND($BN$16&lt;&gt;"",($BM$16+22)&lt;=$BO$16)),"",IF(T93&lt;&gt;"",IF(T93="-","",T93),IF(ISNUMBER(SEARCH(":",$BP$16)),IFERROR(_xlfn.LET(_xlpm.s,_xlfn.TEXTSPLIT($BP$16,","),_xlpm.k,FIND(":",_xlpm.s),INDEX(TRIM(LEFT(_xlpm.s,_xlpm.k-1)),_xlfn.XMATCH(($BM$16+22),_xlfn.SCAN(0,--MID(_xlpm.s,_xlpm.k+1,9),_xlfn.LAMBDA(_xlpm.a,_xlpm.v,_xlpm.a+_xlpm.v)),1))),""),IF(($BM$16+22)&lt;=$BQ$16,$BP$16,""))))</f>
        <v/>
      </c>
    </row>
    <row r="94" spans="2:82" x14ac:dyDescent="0.45">
      <c r="B94" s="6"/>
      <c r="C94" s="9" t="str">
        <f>IF(CA94="","",CA94&amp;"-"&amp;TEXT(0+COUNTIF($CA$72:CA94,CA94),"000"))</f>
        <v/>
      </c>
      <c r="D94" s="9" t="str">
        <f>IF(AND($BN$13&lt;&gt;"",($BM$13+23)&lt;=$BO$13),$BN$13,"")</f>
        <v>-AA</v>
      </c>
      <c r="E94" s="9" t="str">
        <f>IF(AND($BN$13&lt;&gt;"",($BM$13+23)&lt;=$BO$13),TEXT(($BM$13+23),"00"),"")</f>
        <v>23</v>
      </c>
      <c r="F94" s="9" t="str">
        <f>IF(AND($BN$13&lt;&gt;"",($BM$13+23)&lt;=$BO$13),$BN$13&amp;"-"&amp;TEXT(($BM$13+23),"00"),"")</f>
        <v>-AA-23</v>
      </c>
      <c r="H94" s="6"/>
      <c r="I94" s="9" t="str">
        <f>IF(CB94="","",CB94&amp;"-"&amp;TEXT(COUNTIF($CA$72:$CA$95,CB94)+COUNTIF($CB$72:CB94,CB94),"000"))</f>
        <v/>
      </c>
      <c r="J94" s="9" t="str">
        <f>IF(AND($BN$14&lt;&gt;"",($BM$14+23)&lt;=$BO$14),$BN$14,"")</f>
        <v>-AA</v>
      </c>
      <c r="K94" s="9" t="str">
        <f>IF(AND($BN$14&lt;&gt;"",($BM$14+23)&lt;=$BO$14),TEXT(($BM$14+23),"00"),"")</f>
        <v>47</v>
      </c>
      <c r="L94" s="9" t="str">
        <f>IF(AND($BN$14&lt;&gt;"",($BM$14+23)&lt;=$BO$14),$BN$14&amp;"-"&amp;TEXT(($BM$14+23),"00"),"")</f>
        <v>-AA-47</v>
      </c>
      <c r="N94" s="6"/>
      <c r="O94" s="9" t="str">
        <f>IF(CC94="","",CC94&amp;"-"&amp;TEXT(COUNTIF($CA$72:$CA$95,CC94)+COUNTIF($CB$72:$CB$95,CC94)+COUNTIF($CC$72:CC94,CC94),"000"))</f>
        <v/>
      </c>
      <c r="P94" s="9" t="str">
        <f>IF(AND($BN$15&lt;&gt;"",($BM$15+23)&lt;=$BO$15),$BN$15,"")</f>
        <v/>
      </c>
      <c r="Q94" s="9" t="str">
        <f>IF(AND($BN$15&lt;&gt;"",($BM$15+23)&lt;=$BO$15),TEXT(($BM$15+23),"00"),"")</f>
        <v/>
      </c>
      <c r="R94" s="9" t="str">
        <f>IF(AND($BN$15&lt;&gt;"",($BM$15+23)&lt;=$BO$15),$BN$15&amp;"-"&amp;TEXT(($BM$15+23),"00"),"")</f>
        <v/>
      </c>
      <c r="T94" s="6"/>
      <c r="U94" s="9" t="str">
        <f>IF(CD94="","",CD94&amp;"-"&amp;TEXT(COUNTIF($CA$72:$CA$95,CD94)+COUNTIF($CB$72:$CB$95,CD94)+COUNTIF($CC$72:$CC$95,CD94)+COUNTIF($CD$72:CD94,CD94),"000"))</f>
        <v/>
      </c>
      <c r="V94" s="9" t="str">
        <f>IF(AND($BN$16&lt;&gt;"",($BM$16+23)&lt;=$BO$16),$BN$16,"")</f>
        <v/>
      </c>
      <c r="W94" s="9" t="str">
        <f>IF(AND($BN$16&lt;&gt;"",($BM$16+23)&lt;=$BO$16),TEXT(($BM$16+23),"00"),"")</f>
        <v/>
      </c>
      <c r="X94" s="9" t="str">
        <f>IF(AND($BN$16&lt;&gt;"",($BM$16+23)&lt;=$BO$16),$BN$16&amp;"-"&amp;TEXT(($BM$16+23),"00"),"")</f>
        <v/>
      </c>
      <c r="BA94">
        <f>IF(OR(Catalogo!$C94="",Catalogo!$B94="Espacio libre",Catalogo!$B94="Espacio reservado"),0,COUNTIF($C$13:$C$42,Catalogo!$C94)+IF($E$7=Catalogo!$C94,N($K$7),0)+IF($E$8=Catalogo!$C94,N($N$8),0)+IF(Proyecto!$D$12=Catalogo!$C94,$AQ$4,0)+SUMIF($C$49:$C$58,Catalogo!$C94,$K$49:$K$58))</f>
        <v>0</v>
      </c>
      <c r="CA94" t="str" cm="1">
        <f t="array" ref="CA94">IF(NOT(AND($BN$13&lt;&gt;"",($BM$13+23)&lt;=$BO$13)),"",IF(B94&lt;&gt;"",IF(B94="-","",B94),IF(ISNUMBER(SEARCH(":",$BP$13)),IFERROR(_xlfn.LET(_xlpm.s,_xlfn.TEXTSPLIT($BP$13,","),_xlpm.k,FIND(":",_xlpm.s),INDEX(TRIM(LEFT(_xlpm.s,_xlpm.k-1)),_xlfn.XMATCH(($BM$13+23),_xlfn.SCAN(0,--MID(_xlpm.s,_xlpm.k+1,9),_xlfn.LAMBDA(_xlpm.a,_xlpm.v,_xlpm.a+_xlpm.v)),1))),""),IF(($BM$13+23)&lt;=$BQ$13,$BP$13,""))))</f>
        <v/>
      </c>
      <c r="CB94" t="str" cm="1">
        <f t="array" ref="CB94">IF(NOT(AND($BN$14&lt;&gt;"",($BM$14+23)&lt;=$BO$14)),"",IF(H94&lt;&gt;"",IF(H94="-","",H94),IF(ISNUMBER(SEARCH(":",$BP$14)),IFERROR(_xlfn.LET(_xlpm.s,_xlfn.TEXTSPLIT($BP$14,","),_xlpm.k,FIND(":",_xlpm.s),INDEX(TRIM(LEFT(_xlpm.s,_xlpm.k-1)),_xlfn.XMATCH(($BM$14+23),_xlfn.SCAN(0,--MID(_xlpm.s,_xlpm.k+1,9),_xlfn.LAMBDA(_xlpm.a,_xlpm.v,_xlpm.a+_xlpm.v)),1))),""),IF(($BM$14+23)&lt;=$BQ$14,$BP$14,""))))</f>
        <v/>
      </c>
      <c r="CC94" t="str" cm="1">
        <f t="array" ref="CC94">IF(NOT(AND($BN$15&lt;&gt;"",($BM$15+23)&lt;=$BO$15)),"",IF(N94&lt;&gt;"",IF(N94="-","",N94),IF(ISNUMBER(SEARCH(":",$BP$15)),IFERROR(_xlfn.LET(_xlpm.s,_xlfn.TEXTSPLIT($BP$15,","),_xlpm.k,FIND(":",_xlpm.s),INDEX(TRIM(LEFT(_xlpm.s,_xlpm.k-1)),_xlfn.XMATCH(($BM$15+23),_xlfn.SCAN(0,--MID(_xlpm.s,_xlpm.k+1,9),_xlfn.LAMBDA(_xlpm.a,_xlpm.v,_xlpm.a+_xlpm.v)),1))),""),IF(($BM$15+23)&lt;=$BQ$15,$BP$15,""))))</f>
        <v/>
      </c>
      <c r="CD94" t="str" cm="1">
        <f t="array" ref="CD94">IF(NOT(AND($BN$16&lt;&gt;"",($BM$16+23)&lt;=$BO$16)),"",IF(T94&lt;&gt;"",IF(T94="-","",T94),IF(ISNUMBER(SEARCH(":",$BP$16)),IFERROR(_xlfn.LET(_xlpm.s,_xlfn.TEXTSPLIT($BP$16,","),_xlpm.k,FIND(":",_xlpm.s),INDEX(TRIM(LEFT(_xlpm.s,_xlpm.k-1)),_xlfn.XMATCH(($BM$16+23),_xlfn.SCAN(0,--MID(_xlpm.s,_xlpm.k+1,9),_xlfn.LAMBDA(_xlpm.a,_xlpm.v,_xlpm.a+_xlpm.v)),1))),""),IF(($BM$16+23)&lt;=$BQ$16,$BP$16,""))))</f>
        <v/>
      </c>
    </row>
    <row r="95" spans="2:82" x14ac:dyDescent="0.45">
      <c r="B95" s="6"/>
      <c r="C95" s="9" t="str">
        <f>IF(CA95="","",CA95&amp;"-"&amp;TEXT(0+COUNTIF($CA$72:CA95,CA95),"000"))</f>
        <v/>
      </c>
      <c r="D95" s="9" t="str">
        <f>IF(AND($BN$13&lt;&gt;"",($BM$13+24)&lt;=$BO$13),$BN$13,"")</f>
        <v>-AA</v>
      </c>
      <c r="E95" s="9" t="str">
        <f>IF(AND($BN$13&lt;&gt;"",($BM$13+24)&lt;=$BO$13),TEXT(($BM$13+24),"00"),"")</f>
        <v>24</v>
      </c>
      <c r="F95" s="9" t="str">
        <f>IF(AND($BN$13&lt;&gt;"",($BM$13+24)&lt;=$BO$13),$BN$13&amp;"-"&amp;TEXT(($BM$13+24),"00"),"")</f>
        <v>-AA-24</v>
      </c>
      <c r="H95" s="6"/>
      <c r="I95" s="9" t="str">
        <f>IF(CB95="","",CB95&amp;"-"&amp;TEXT(COUNTIF($CA$72:$CA$95,CB95)+COUNTIF($CB$72:CB95,CB95),"000"))</f>
        <v/>
      </c>
      <c r="J95" s="9" t="str">
        <f>IF(AND($BN$14&lt;&gt;"",($BM$14+24)&lt;=$BO$14),$BN$14,"")</f>
        <v>-AA</v>
      </c>
      <c r="K95" s="9" t="str">
        <f>IF(AND($BN$14&lt;&gt;"",($BM$14+24)&lt;=$BO$14),TEXT(($BM$14+24),"00"),"")</f>
        <v>48</v>
      </c>
      <c r="L95" s="9" t="str">
        <f>IF(AND($BN$14&lt;&gt;"",($BM$14+24)&lt;=$BO$14),$BN$14&amp;"-"&amp;TEXT(($BM$14+24),"00"),"")</f>
        <v>-AA-48</v>
      </c>
      <c r="N95" s="6"/>
      <c r="O95" s="9" t="str">
        <f>IF(CC95="","",CC95&amp;"-"&amp;TEXT(COUNTIF($CA$72:$CA$95,CC95)+COUNTIF($CB$72:$CB$95,CC95)+COUNTIF($CC$72:CC95,CC95),"000"))</f>
        <v/>
      </c>
      <c r="P95" s="9" t="str">
        <f>IF(AND($BN$15&lt;&gt;"",($BM$15+24)&lt;=$BO$15),$BN$15,"")</f>
        <v/>
      </c>
      <c r="Q95" s="9" t="str">
        <f>IF(AND($BN$15&lt;&gt;"",($BM$15+24)&lt;=$BO$15),TEXT(($BM$15+24),"00"),"")</f>
        <v/>
      </c>
      <c r="R95" s="9" t="str">
        <f>IF(AND($BN$15&lt;&gt;"",($BM$15+24)&lt;=$BO$15),$BN$15&amp;"-"&amp;TEXT(($BM$15+24),"00"),"")</f>
        <v/>
      </c>
      <c r="T95" s="6"/>
      <c r="U95" s="9" t="str">
        <f>IF(CD95="","",CD95&amp;"-"&amp;TEXT(COUNTIF($CA$72:$CA$95,CD95)+COUNTIF($CB$72:$CB$95,CD95)+COUNTIF($CC$72:$CC$95,CD95)+COUNTIF($CD$72:CD95,CD95),"000"))</f>
        <v/>
      </c>
      <c r="V95" s="9" t="str">
        <f>IF(AND($BN$16&lt;&gt;"",($BM$16+24)&lt;=$BO$16),$BN$16,"")</f>
        <v/>
      </c>
      <c r="W95" s="9" t="str">
        <f>IF(AND($BN$16&lt;&gt;"",($BM$16+24)&lt;=$BO$16),TEXT(($BM$16+24),"00"),"")</f>
        <v/>
      </c>
      <c r="X95" s="9" t="str">
        <f>IF(AND($BN$16&lt;&gt;"",($BM$16+24)&lt;=$BO$16),$BN$16&amp;"-"&amp;TEXT(($BM$16+24),"00"),"")</f>
        <v/>
      </c>
      <c r="BA95">
        <f>IF(OR(Catalogo!$C95="",Catalogo!$B95="Espacio libre",Catalogo!$B95="Espacio reservado"),0,COUNTIF($C$13:$C$42,Catalogo!$C95)+IF($E$7=Catalogo!$C95,N($K$7),0)+IF($E$8=Catalogo!$C95,N($N$8),0)+IF(Proyecto!$D$12=Catalogo!$C95,$AQ$4,0)+SUMIF($C$49:$C$58,Catalogo!$C95,$K$49:$K$58))</f>
        <v>0</v>
      </c>
      <c r="CA95" t="str" cm="1">
        <f t="array" ref="CA95">IF(NOT(AND($BN$13&lt;&gt;"",($BM$13+24)&lt;=$BO$13)),"",IF(B95&lt;&gt;"",IF(B95="-","",B95),IF(ISNUMBER(SEARCH(":",$BP$13)),IFERROR(_xlfn.LET(_xlpm.s,_xlfn.TEXTSPLIT($BP$13,","),_xlpm.k,FIND(":",_xlpm.s),INDEX(TRIM(LEFT(_xlpm.s,_xlpm.k-1)),_xlfn.XMATCH(($BM$13+24),_xlfn.SCAN(0,--MID(_xlpm.s,_xlpm.k+1,9),_xlfn.LAMBDA(_xlpm.a,_xlpm.v,_xlpm.a+_xlpm.v)),1))),""),IF(($BM$13+24)&lt;=$BQ$13,$BP$13,""))))</f>
        <v/>
      </c>
      <c r="CB95" t="str" cm="1">
        <f t="array" ref="CB95">IF(NOT(AND($BN$14&lt;&gt;"",($BM$14+24)&lt;=$BO$14)),"",IF(H95&lt;&gt;"",IF(H95="-","",H95),IF(ISNUMBER(SEARCH(":",$BP$14)),IFERROR(_xlfn.LET(_xlpm.s,_xlfn.TEXTSPLIT($BP$14,","),_xlpm.k,FIND(":",_xlpm.s),INDEX(TRIM(LEFT(_xlpm.s,_xlpm.k-1)),_xlfn.XMATCH(($BM$14+24),_xlfn.SCAN(0,--MID(_xlpm.s,_xlpm.k+1,9),_xlfn.LAMBDA(_xlpm.a,_xlpm.v,_xlpm.a+_xlpm.v)),1))),""),IF(($BM$14+24)&lt;=$BQ$14,$BP$14,""))))</f>
        <v/>
      </c>
      <c r="CC95" t="str" cm="1">
        <f t="array" ref="CC95">IF(NOT(AND($BN$15&lt;&gt;"",($BM$15+24)&lt;=$BO$15)),"",IF(N95&lt;&gt;"",IF(N95="-","",N95),IF(ISNUMBER(SEARCH(":",$BP$15)),IFERROR(_xlfn.LET(_xlpm.s,_xlfn.TEXTSPLIT($BP$15,","),_xlpm.k,FIND(":",_xlpm.s),INDEX(TRIM(LEFT(_xlpm.s,_xlpm.k-1)),_xlfn.XMATCH(($BM$15+24),_xlfn.SCAN(0,--MID(_xlpm.s,_xlpm.k+1,9),_xlfn.LAMBDA(_xlpm.a,_xlpm.v,_xlpm.a+_xlpm.v)),1))),""),IF(($BM$15+24)&lt;=$BQ$15,$BP$15,""))))</f>
        <v/>
      </c>
      <c r="CD95" t="str" cm="1">
        <f t="array" ref="CD95">IF(NOT(AND($BN$16&lt;&gt;"",($BM$16+24)&lt;=$BO$16)),"",IF(T95&lt;&gt;"",IF(T95="-","",T95),IF(ISNUMBER(SEARCH(":",$BP$16)),IFERROR(_xlfn.LET(_xlpm.s,_xlfn.TEXTSPLIT($BP$16,","),_xlpm.k,FIND(":",_xlpm.s),INDEX(TRIM(LEFT(_xlpm.s,_xlpm.k-1)),_xlfn.XMATCH(($BM$16+24),_xlfn.SCAN(0,--MID(_xlpm.s,_xlpm.k+1,9),_xlfn.LAMBDA(_xlpm.a,_xlpm.v,_xlpm.a+_xlpm.v)),1))),""),IF(($BM$16+24)&lt;=$BQ$16,$BP$16,""))))</f>
        <v/>
      </c>
    </row>
    <row r="96" spans="2:82" x14ac:dyDescent="0.45">
      <c r="BA96">
        <f>IF(OR(Catalogo!$C96="",Catalogo!$B96="Espacio libre",Catalogo!$B96="Espacio reservado"),0,COUNTIF($C$13:$C$42,Catalogo!$C96)+IF($E$7=Catalogo!$C96,N($K$7),0)+IF($E$8=Catalogo!$C96,N($N$8),0)+IF(Proyecto!$D$12=Catalogo!$C96,$AQ$4,0)+SUMIF($C$49:$C$58,Catalogo!$C96,$K$49:$K$58))</f>
        <v>0</v>
      </c>
    </row>
    <row r="97" spans="2:82" x14ac:dyDescent="0.45">
      <c r="BA97">
        <f>IF(OR(Catalogo!$C97="",Catalogo!$B97="Espacio libre",Catalogo!$B97="Espacio reservado"),0,COUNTIF($C$13:$C$42,Catalogo!$C97)+IF($E$7=Catalogo!$C97,N($K$7),0)+IF($E$8=Catalogo!$C97,N($N$8),0)+IF(Proyecto!$D$12=Catalogo!$C97,$AQ$4,0)+SUMIF($C$49:$C$58,Catalogo!$C97,$K$49:$K$58))</f>
        <v>0</v>
      </c>
    </row>
    <row r="98" spans="2:82" x14ac:dyDescent="0.45">
      <c r="B98" s="51" t="str">
        <f>IF($BN$17="","Bloque 5 — sin panel","Panel "&amp;$BN$17&amp;"  (puertos "&amp;($BM$17+1)&amp;"-"&amp;MIN($BM$17+24,$BO$17)&amp;")"&amp;IF($BP$17&lt;&gt;"","  · "&amp;$BP$17,"")&amp;"  · "&amp;TEXT(IFERROR(INDEX($BS$13:$BS$28,$BL$17)/$BO$17,0),"0%"))</f>
        <v>Bloque 5 — sin panel</v>
      </c>
      <c r="C98" s="40"/>
      <c r="D98" s="40"/>
      <c r="E98" s="40"/>
      <c r="F98" s="40"/>
      <c r="H98" s="51" t="str">
        <f>IF($BN$18="","Bloque 6 — sin panel","Panel "&amp;$BN$18&amp;"  (puertos "&amp;($BM$18+1)&amp;"-"&amp;MIN($BM$18+24,$BO$18)&amp;")"&amp;IF($BP$18&lt;&gt;"","  · "&amp;$BP$18,"")&amp;"  · "&amp;TEXT(IFERROR(INDEX($BS$13:$BS$28,$BL$18)/$BO$18,0),"0%"))</f>
        <v>Bloque 6 — sin panel</v>
      </c>
      <c r="I98" s="40"/>
      <c r="J98" s="40"/>
      <c r="K98" s="40"/>
      <c r="L98" s="40"/>
      <c r="N98" s="51" t="str">
        <f>IF($BN$19="","Bloque 7 — sin panel","Panel "&amp;$BN$19&amp;"  (puertos "&amp;($BM$19+1)&amp;"-"&amp;MIN($BM$19+24,$BO$19)&amp;")"&amp;IF($BP$19&lt;&gt;"","  · "&amp;$BP$19,"")&amp;"  · "&amp;TEXT(IFERROR(INDEX($BS$13:$BS$28,$BL$19)/$BO$19,0),"0%"))</f>
        <v>Bloque 7 — sin panel</v>
      </c>
      <c r="O98" s="40"/>
      <c r="P98" s="40"/>
      <c r="Q98" s="40"/>
      <c r="R98" s="40"/>
      <c r="T98" s="51" t="str">
        <f>IF($BN$20="","Bloque 8 — sin panel","Panel "&amp;$BN$20&amp;"  (puertos "&amp;($BM$20+1)&amp;"-"&amp;MIN($BM$20+24,$BO$20)&amp;")"&amp;IF($BP$20&lt;&gt;"","  · "&amp;$BP$20,"")&amp;"  · "&amp;TEXT(IFERROR(INDEX($BS$13:$BS$28,$BL$20)/$BO$20,0),"0%"))</f>
        <v>Bloque 8 — sin panel</v>
      </c>
      <c r="U98" s="40"/>
      <c r="V98" s="40"/>
      <c r="W98" s="40"/>
      <c r="X98" s="40"/>
      <c r="BA98">
        <f>IF(OR(Catalogo!$C98="",Catalogo!$B98="Espacio libre",Catalogo!$B98="Espacio reservado"),0,COUNTIF($C$13:$C$42,Catalogo!$C98)+IF($E$7=Catalogo!$C98,N($K$7),0)+IF($E$8=Catalogo!$C98,N($N$8),0)+IF(Proyecto!$D$12=Catalogo!$C98,$AQ$4,0)+SUMIF($C$49:$C$58,Catalogo!$C98,$K$49:$K$58))</f>
        <v>0</v>
      </c>
    </row>
    <row r="99" spans="2:82" x14ac:dyDescent="0.45">
      <c r="B99" s="5" t="s">
        <v>410</v>
      </c>
      <c r="C99" s="5" t="s">
        <v>411</v>
      </c>
      <c r="D99" s="5" t="s">
        <v>389</v>
      </c>
      <c r="E99" s="5" t="s">
        <v>412</v>
      </c>
      <c r="F99" s="5" t="s">
        <v>413</v>
      </c>
      <c r="H99" s="5" t="s">
        <v>410</v>
      </c>
      <c r="I99" s="5" t="s">
        <v>411</v>
      </c>
      <c r="J99" s="5" t="s">
        <v>389</v>
      </c>
      <c r="K99" s="5" t="s">
        <v>412</v>
      </c>
      <c r="L99" s="5" t="s">
        <v>413</v>
      </c>
      <c r="N99" s="5" t="s">
        <v>410</v>
      </c>
      <c r="O99" s="5" t="s">
        <v>411</v>
      </c>
      <c r="P99" s="5" t="s">
        <v>389</v>
      </c>
      <c r="Q99" s="5" t="s">
        <v>412</v>
      </c>
      <c r="R99" s="5" t="s">
        <v>413</v>
      </c>
      <c r="T99" s="5" t="s">
        <v>410</v>
      </c>
      <c r="U99" s="5" t="s">
        <v>411</v>
      </c>
      <c r="V99" s="5" t="s">
        <v>389</v>
      </c>
      <c r="W99" s="5" t="s">
        <v>412</v>
      </c>
      <c r="X99" s="5" t="s">
        <v>413</v>
      </c>
      <c r="BA99">
        <f>IF(OR(Catalogo!$C99="",Catalogo!$B99="Espacio libre",Catalogo!$B99="Espacio reservado"),0,COUNTIF($C$13:$C$42,Catalogo!$C99)+IF($E$7=Catalogo!$C99,N($K$7),0)+IF($E$8=Catalogo!$C99,N($N$8),0)+IF(Proyecto!$D$12=Catalogo!$C99,$AQ$4,0)+SUMIF($C$49:$C$58,Catalogo!$C99,$K$49:$K$58))</f>
        <v>0</v>
      </c>
    </row>
    <row r="100" spans="2:82" x14ac:dyDescent="0.45">
      <c r="B100" s="6"/>
      <c r="C100" s="9" t="str">
        <f>IF(CA100="","",CA100&amp;"-"&amp;TEXT(COUNTIF($CA$72:$CA$95,CA100)+COUNTIF($CB$72:$CB$95,CA100)+COUNTIF($CC$72:$CC$95,CA100)+COUNTIF($CD$72:$CD$95,CA100)+COUNTIF($CA$100:CA100,CA100),"000"))</f>
        <v/>
      </c>
      <c r="D100" s="9" t="str">
        <f>IF(AND($BN$17&lt;&gt;"",($BM$17+1)&lt;=$BO$17),$BN$17,"")</f>
        <v/>
      </c>
      <c r="E100" s="9" t="str">
        <f>IF(AND($BN$17&lt;&gt;"",($BM$17+1)&lt;=$BO$17),TEXT(($BM$17+1),"00"),"")</f>
        <v/>
      </c>
      <c r="F100" s="9" t="str">
        <f>IF(AND($BN$17&lt;&gt;"",($BM$17+1)&lt;=$BO$17),$BN$17&amp;"-"&amp;TEXT(($BM$17+1),"00"),"")</f>
        <v/>
      </c>
      <c r="H100" s="6"/>
      <c r="I100" s="9" t="str">
        <f>IF(CB100="","",CB100&amp;"-"&amp;TEXT(COUNTIF($CA$72:$CA$95,CB100)+COUNTIF($CB$72:$CB$95,CB100)+COUNTIF($CC$72:$CC$95,CB100)+COUNTIF($CD$72:$CD$95,CB100)+COUNTIF($CA$100:$CA$123,CB100)+COUNTIF($CB$100:CB100,CB100),"000"))</f>
        <v/>
      </c>
      <c r="J100" s="9" t="str">
        <f>IF(AND($BN$18&lt;&gt;"",($BM$18+1)&lt;=$BO$18),$BN$18,"")</f>
        <v/>
      </c>
      <c r="K100" s="9" t="str">
        <f>IF(AND($BN$18&lt;&gt;"",($BM$18+1)&lt;=$BO$18),TEXT(($BM$18+1),"00"),"")</f>
        <v/>
      </c>
      <c r="L100" s="9" t="str">
        <f>IF(AND($BN$18&lt;&gt;"",($BM$18+1)&lt;=$BO$18),$BN$18&amp;"-"&amp;TEXT(($BM$18+1),"00"),"")</f>
        <v/>
      </c>
      <c r="N100" s="6"/>
      <c r="O100" s="9" t="str">
        <f>IF(CC100="","",CC100&amp;"-"&amp;TEXT(COUNTIF($CA$72:$CA$95,CC100)+COUNTIF($CB$72:$CB$95,CC100)+COUNTIF($CC$72:$CC$95,CC100)+COUNTIF($CD$72:$CD$95,CC100)+COUNTIF($CA$100:$CA$123,CC100)+COUNTIF($CB$100:$CB$123,CC100)+COUNTIF($CC$100:CC100,CC100),"000"))</f>
        <v/>
      </c>
      <c r="P100" s="9" t="str">
        <f>IF(AND($BN$19&lt;&gt;"",($BM$19+1)&lt;=$BO$19),$BN$19,"")</f>
        <v/>
      </c>
      <c r="Q100" s="9" t="str">
        <f>IF(AND($BN$19&lt;&gt;"",($BM$19+1)&lt;=$BO$19),TEXT(($BM$19+1),"00"),"")</f>
        <v/>
      </c>
      <c r="R100" s="9" t="str">
        <f>IF(AND($BN$19&lt;&gt;"",($BM$19+1)&lt;=$BO$19),$BN$19&amp;"-"&amp;TEXT(($BM$19+1),"00"),"")</f>
        <v/>
      </c>
      <c r="T100" s="6"/>
      <c r="U100" s="9" t="str">
        <f>IF(CD100="","",CD100&amp;"-"&amp;TEXT(COUNTIF($CA$72:$CA$95,CD100)+COUNTIF($CB$72:$CB$95,CD100)+COUNTIF($CC$72:$CC$95,CD100)+COUNTIF($CD$72:$CD$95,CD100)+COUNTIF($CA$100:$CA$123,CD100)+COUNTIF($CB$100:$CB$123,CD100)+COUNTIF($CC$100:$CC$123,CD100)+COUNTIF($CD$100:CD100,CD100),"000"))</f>
        <v/>
      </c>
      <c r="V100" s="9" t="str">
        <f>IF(AND($BN$20&lt;&gt;"",($BM$20+1)&lt;=$BO$20),$BN$20,"")</f>
        <v/>
      </c>
      <c r="W100" s="9" t="str">
        <f>IF(AND($BN$20&lt;&gt;"",($BM$20+1)&lt;=$BO$20),TEXT(($BM$20+1),"00"),"")</f>
        <v/>
      </c>
      <c r="X100" s="9" t="str">
        <f>IF(AND($BN$20&lt;&gt;"",($BM$20+1)&lt;=$BO$20),$BN$20&amp;"-"&amp;TEXT(($BM$20+1),"00"),"")</f>
        <v/>
      </c>
      <c r="BA100">
        <f>IF(OR(Catalogo!$C100="",Catalogo!$B100="Espacio libre",Catalogo!$B100="Espacio reservado"),0,COUNTIF($C$13:$C$42,Catalogo!$C100)+IF($E$7=Catalogo!$C100,N($K$7),0)+IF($E$8=Catalogo!$C100,N($N$8),0)+IF(Proyecto!$D$12=Catalogo!$C100,$AQ$4,0)+SUMIF($C$49:$C$58,Catalogo!$C100,$K$49:$K$58))</f>
        <v>0</v>
      </c>
      <c r="CA100" t="str" cm="1">
        <f t="array" ref="CA100">IF(NOT(AND($BN$17&lt;&gt;"",($BM$17+1)&lt;=$BO$17)),"",IF(B100&lt;&gt;"",IF(B100="-","",B100),IF(ISNUMBER(SEARCH(":",$BP$17)),IFERROR(_xlfn.LET(_xlpm.s,_xlfn.TEXTSPLIT($BP$17,","),_xlpm.k,FIND(":",_xlpm.s),INDEX(TRIM(LEFT(_xlpm.s,_xlpm.k-1)),_xlfn.XMATCH(($BM$17+1),_xlfn.SCAN(0,--MID(_xlpm.s,_xlpm.k+1,9),_xlfn.LAMBDA(_xlpm.a,_xlpm.v,_xlpm.a+_xlpm.v)),1))),""),IF(($BM$17+1)&lt;=$BQ$17,$BP$17,""))))</f>
        <v/>
      </c>
      <c r="CB100" t="str" cm="1">
        <f t="array" ref="CB100">IF(NOT(AND($BN$18&lt;&gt;"",($BM$18+1)&lt;=$BO$18)),"",IF(H100&lt;&gt;"",IF(H100="-","",H100),IF(ISNUMBER(SEARCH(":",$BP$18)),IFERROR(_xlfn.LET(_xlpm.s,_xlfn.TEXTSPLIT($BP$18,","),_xlpm.k,FIND(":",_xlpm.s),INDEX(TRIM(LEFT(_xlpm.s,_xlpm.k-1)),_xlfn.XMATCH(($BM$18+1),_xlfn.SCAN(0,--MID(_xlpm.s,_xlpm.k+1,9),_xlfn.LAMBDA(_xlpm.a,_xlpm.v,_xlpm.a+_xlpm.v)),1))),""),IF(($BM$18+1)&lt;=$BQ$18,$BP$18,""))))</f>
        <v/>
      </c>
      <c r="CC100" t="str" cm="1">
        <f t="array" ref="CC100">IF(NOT(AND($BN$19&lt;&gt;"",($BM$19+1)&lt;=$BO$19)),"",IF(N100&lt;&gt;"",IF(N100="-","",N100),IF(ISNUMBER(SEARCH(":",$BP$19)),IFERROR(_xlfn.LET(_xlpm.s,_xlfn.TEXTSPLIT($BP$19,","),_xlpm.k,FIND(":",_xlpm.s),INDEX(TRIM(LEFT(_xlpm.s,_xlpm.k-1)),_xlfn.XMATCH(($BM$19+1),_xlfn.SCAN(0,--MID(_xlpm.s,_xlpm.k+1,9),_xlfn.LAMBDA(_xlpm.a,_xlpm.v,_xlpm.a+_xlpm.v)),1))),""),IF(($BM$19+1)&lt;=$BQ$19,$BP$19,""))))</f>
        <v/>
      </c>
      <c r="CD100" t="str" cm="1">
        <f t="array" ref="CD100">IF(NOT(AND($BN$20&lt;&gt;"",($BM$20+1)&lt;=$BO$20)),"",IF(T100&lt;&gt;"",IF(T100="-","",T100),IF(ISNUMBER(SEARCH(":",$BP$20)),IFERROR(_xlfn.LET(_xlpm.s,_xlfn.TEXTSPLIT($BP$20,","),_xlpm.k,FIND(":",_xlpm.s),INDEX(TRIM(LEFT(_xlpm.s,_xlpm.k-1)),_xlfn.XMATCH(($BM$20+1),_xlfn.SCAN(0,--MID(_xlpm.s,_xlpm.k+1,9),_xlfn.LAMBDA(_xlpm.a,_xlpm.v,_xlpm.a+_xlpm.v)),1))),""),IF(($BM$20+1)&lt;=$BQ$20,$BP$20,""))))</f>
        <v/>
      </c>
    </row>
    <row r="101" spans="2:82" x14ac:dyDescent="0.45">
      <c r="B101" s="6"/>
      <c r="C101" s="9" t="str">
        <f>IF(CA101="","",CA101&amp;"-"&amp;TEXT(COUNTIF($CA$72:$CA$95,CA101)+COUNTIF($CB$72:$CB$95,CA101)+COUNTIF($CC$72:$CC$95,CA101)+COUNTIF($CD$72:$CD$95,CA101)+COUNTIF($CA$100:CA101,CA101),"000"))</f>
        <v/>
      </c>
      <c r="D101" s="9" t="str">
        <f>IF(AND($BN$17&lt;&gt;"",($BM$17+2)&lt;=$BO$17),$BN$17,"")</f>
        <v/>
      </c>
      <c r="E101" s="9" t="str">
        <f>IF(AND($BN$17&lt;&gt;"",($BM$17+2)&lt;=$BO$17),TEXT(($BM$17+2),"00"),"")</f>
        <v/>
      </c>
      <c r="F101" s="9" t="str">
        <f>IF(AND($BN$17&lt;&gt;"",($BM$17+2)&lt;=$BO$17),$BN$17&amp;"-"&amp;TEXT(($BM$17+2),"00"),"")</f>
        <v/>
      </c>
      <c r="H101" s="6"/>
      <c r="I101" s="9" t="str">
        <f>IF(CB101="","",CB101&amp;"-"&amp;TEXT(COUNTIF($CA$72:$CA$95,CB101)+COUNTIF($CB$72:$CB$95,CB101)+COUNTIF($CC$72:$CC$95,CB101)+COUNTIF($CD$72:$CD$95,CB101)+COUNTIF($CA$100:$CA$123,CB101)+COUNTIF($CB$100:CB101,CB101),"000"))</f>
        <v/>
      </c>
      <c r="J101" s="9" t="str">
        <f>IF(AND($BN$18&lt;&gt;"",($BM$18+2)&lt;=$BO$18),$BN$18,"")</f>
        <v/>
      </c>
      <c r="K101" s="9" t="str">
        <f>IF(AND($BN$18&lt;&gt;"",($BM$18+2)&lt;=$BO$18),TEXT(($BM$18+2),"00"),"")</f>
        <v/>
      </c>
      <c r="L101" s="9" t="str">
        <f>IF(AND($BN$18&lt;&gt;"",($BM$18+2)&lt;=$BO$18),$BN$18&amp;"-"&amp;TEXT(($BM$18+2),"00"),"")</f>
        <v/>
      </c>
      <c r="N101" s="6"/>
      <c r="O101" s="9" t="str">
        <f>IF(CC101="","",CC101&amp;"-"&amp;TEXT(COUNTIF($CA$72:$CA$95,CC101)+COUNTIF($CB$72:$CB$95,CC101)+COUNTIF($CC$72:$CC$95,CC101)+COUNTIF($CD$72:$CD$95,CC101)+COUNTIF($CA$100:$CA$123,CC101)+COUNTIF($CB$100:$CB$123,CC101)+COUNTIF($CC$100:CC101,CC101),"000"))</f>
        <v/>
      </c>
      <c r="P101" s="9" t="str">
        <f>IF(AND($BN$19&lt;&gt;"",($BM$19+2)&lt;=$BO$19),$BN$19,"")</f>
        <v/>
      </c>
      <c r="Q101" s="9" t="str">
        <f>IF(AND($BN$19&lt;&gt;"",($BM$19+2)&lt;=$BO$19),TEXT(($BM$19+2),"00"),"")</f>
        <v/>
      </c>
      <c r="R101" s="9" t="str">
        <f>IF(AND($BN$19&lt;&gt;"",($BM$19+2)&lt;=$BO$19),$BN$19&amp;"-"&amp;TEXT(($BM$19+2),"00"),"")</f>
        <v/>
      </c>
      <c r="T101" s="6"/>
      <c r="U101" s="9" t="str">
        <f>IF(CD101="","",CD101&amp;"-"&amp;TEXT(COUNTIF($CA$72:$CA$95,CD101)+COUNTIF($CB$72:$CB$95,CD101)+COUNTIF($CC$72:$CC$95,CD101)+COUNTIF($CD$72:$CD$95,CD101)+COUNTIF($CA$100:$CA$123,CD101)+COUNTIF($CB$100:$CB$123,CD101)+COUNTIF($CC$100:$CC$123,CD101)+COUNTIF($CD$100:CD101,CD101),"000"))</f>
        <v/>
      </c>
      <c r="V101" s="9" t="str">
        <f>IF(AND($BN$20&lt;&gt;"",($BM$20+2)&lt;=$BO$20),$BN$20,"")</f>
        <v/>
      </c>
      <c r="W101" s="9" t="str">
        <f>IF(AND($BN$20&lt;&gt;"",($BM$20+2)&lt;=$BO$20),TEXT(($BM$20+2),"00"),"")</f>
        <v/>
      </c>
      <c r="X101" s="9" t="str">
        <f>IF(AND($BN$20&lt;&gt;"",($BM$20+2)&lt;=$BO$20),$BN$20&amp;"-"&amp;TEXT(($BM$20+2),"00"),"")</f>
        <v/>
      </c>
      <c r="BA101">
        <f>IF(OR(Catalogo!$C101="",Catalogo!$B101="Espacio libre",Catalogo!$B101="Espacio reservado"),0,COUNTIF($C$13:$C$42,Catalogo!$C101)+IF($E$7=Catalogo!$C101,N($K$7),0)+IF($E$8=Catalogo!$C101,N($N$8),0)+IF(Proyecto!$D$12=Catalogo!$C101,$AQ$4,0)+SUMIF($C$49:$C$58,Catalogo!$C101,$K$49:$K$58))</f>
        <v>0</v>
      </c>
      <c r="CA101" t="str" cm="1">
        <f t="array" ref="CA101">IF(NOT(AND($BN$17&lt;&gt;"",($BM$17+2)&lt;=$BO$17)),"",IF(B101&lt;&gt;"",IF(B101="-","",B101),IF(ISNUMBER(SEARCH(":",$BP$17)),IFERROR(_xlfn.LET(_xlpm.s,_xlfn.TEXTSPLIT($BP$17,","),_xlpm.k,FIND(":",_xlpm.s),INDEX(TRIM(LEFT(_xlpm.s,_xlpm.k-1)),_xlfn.XMATCH(($BM$17+2),_xlfn.SCAN(0,--MID(_xlpm.s,_xlpm.k+1,9),_xlfn.LAMBDA(_xlpm.a,_xlpm.v,_xlpm.a+_xlpm.v)),1))),""),IF(($BM$17+2)&lt;=$BQ$17,$BP$17,""))))</f>
        <v/>
      </c>
      <c r="CB101" t="str" cm="1">
        <f t="array" ref="CB101">IF(NOT(AND($BN$18&lt;&gt;"",($BM$18+2)&lt;=$BO$18)),"",IF(H101&lt;&gt;"",IF(H101="-","",H101),IF(ISNUMBER(SEARCH(":",$BP$18)),IFERROR(_xlfn.LET(_xlpm.s,_xlfn.TEXTSPLIT($BP$18,","),_xlpm.k,FIND(":",_xlpm.s),INDEX(TRIM(LEFT(_xlpm.s,_xlpm.k-1)),_xlfn.XMATCH(($BM$18+2),_xlfn.SCAN(0,--MID(_xlpm.s,_xlpm.k+1,9),_xlfn.LAMBDA(_xlpm.a,_xlpm.v,_xlpm.a+_xlpm.v)),1))),""),IF(($BM$18+2)&lt;=$BQ$18,$BP$18,""))))</f>
        <v/>
      </c>
      <c r="CC101" t="str" cm="1">
        <f t="array" ref="CC101">IF(NOT(AND($BN$19&lt;&gt;"",($BM$19+2)&lt;=$BO$19)),"",IF(N101&lt;&gt;"",IF(N101="-","",N101),IF(ISNUMBER(SEARCH(":",$BP$19)),IFERROR(_xlfn.LET(_xlpm.s,_xlfn.TEXTSPLIT($BP$19,","),_xlpm.k,FIND(":",_xlpm.s),INDEX(TRIM(LEFT(_xlpm.s,_xlpm.k-1)),_xlfn.XMATCH(($BM$19+2),_xlfn.SCAN(0,--MID(_xlpm.s,_xlpm.k+1,9),_xlfn.LAMBDA(_xlpm.a,_xlpm.v,_xlpm.a+_xlpm.v)),1))),""),IF(($BM$19+2)&lt;=$BQ$19,$BP$19,""))))</f>
        <v/>
      </c>
      <c r="CD101" t="str" cm="1">
        <f t="array" ref="CD101">IF(NOT(AND($BN$20&lt;&gt;"",($BM$20+2)&lt;=$BO$20)),"",IF(T101&lt;&gt;"",IF(T101="-","",T101),IF(ISNUMBER(SEARCH(":",$BP$20)),IFERROR(_xlfn.LET(_xlpm.s,_xlfn.TEXTSPLIT($BP$20,","),_xlpm.k,FIND(":",_xlpm.s),INDEX(TRIM(LEFT(_xlpm.s,_xlpm.k-1)),_xlfn.XMATCH(($BM$20+2),_xlfn.SCAN(0,--MID(_xlpm.s,_xlpm.k+1,9),_xlfn.LAMBDA(_xlpm.a,_xlpm.v,_xlpm.a+_xlpm.v)),1))),""),IF(($BM$20+2)&lt;=$BQ$20,$BP$20,""))))</f>
        <v/>
      </c>
    </row>
    <row r="102" spans="2:82" x14ac:dyDescent="0.45">
      <c r="B102" s="6"/>
      <c r="C102" s="9" t="str">
        <f>IF(CA102="","",CA102&amp;"-"&amp;TEXT(COUNTIF($CA$72:$CA$95,CA102)+COUNTIF($CB$72:$CB$95,CA102)+COUNTIF($CC$72:$CC$95,CA102)+COUNTIF($CD$72:$CD$95,CA102)+COUNTIF($CA$100:CA102,CA102),"000"))</f>
        <v/>
      </c>
      <c r="D102" s="9" t="str">
        <f>IF(AND($BN$17&lt;&gt;"",($BM$17+3)&lt;=$BO$17),$BN$17,"")</f>
        <v/>
      </c>
      <c r="E102" s="9" t="str">
        <f>IF(AND($BN$17&lt;&gt;"",($BM$17+3)&lt;=$BO$17),TEXT(($BM$17+3),"00"),"")</f>
        <v/>
      </c>
      <c r="F102" s="9" t="str">
        <f>IF(AND($BN$17&lt;&gt;"",($BM$17+3)&lt;=$BO$17),$BN$17&amp;"-"&amp;TEXT(($BM$17+3),"00"),"")</f>
        <v/>
      </c>
      <c r="H102" s="6"/>
      <c r="I102" s="9" t="str">
        <f>IF(CB102="","",CB102&amp;"-"&amp;TEXT(COUNTIF($CA$72:$CA$95,CB102)+COUNTIF($CB$72:$CB$95,CB102)+COUNTIF($CC$72:$CC$95,CB102)+COUNTIF($CD$72:$CD$95,CB102)+COUNTIF($CA$100:$CA$123,CB102)+COUNTIF($CB$100:CB102,CB102),"000"))</f>
        <v/>
      </c>
      <c r="J102" s="9" t="str">
        <f>IF(AND($BN$18&lt;&gt;"",($BM$18+3)&lt;=$BO$18),$BN$18,"")</f>
        <v/>
      </c>
      <c r="K102" s="9" t="str">
        <f>IF(AND($BN$18&lt;&gt;"",($BM$18+3)&lt;=$BO$18),TEXT(($BM$18+3),"00"),"")</f>
        <v/>
      </c>
      <c r="L102" s="9" t="str">
        <f>IF(AND($BN$18&lt;&gt;"",($BM$18+3)&lt;=$BO$18),$BN$18&amp;"-"&amp;TEXT(($BM$18+3),"00"),"")</f>
        <v/>
      </c>
      <c r="N102" s="6"/>
      <c r="O102" s="9" t="str">
        <f>IF(CC102="","",CC102&amp;"-"&amp;TEXT(COUNTIF($CA$72:$CA$95,CC102)+COUNTIF($CB$72:$CB$95,CC102)+COUNTIF($CC$72:$CC$95,CC102)+COUNTIF($CD$72:$CD$95,CC102)+COUNTIF($CA$100:$CA$123,CC102)+COUNTIF($CB$100:$CB$123,CC102)+COUNTIF($CC$100:CC102,CC102),"000"))</f>
        <v/>
      </c>
      <c r="P102" s="9" t="str">
        <f>IF(AND($BN$19&lt;&gt;"",($BM$19+3)&lt;=$BO$19),$BN$19,"")</f>
        <v/>
      </c>
      <c r="Q102" s="9" t="str">
        <f>IF(AND($BN$19&lt;&gt;"",($BM$19+3)&lt;=$BO$19),TEXT(($BM$19+3),"00"),"")</f>
        <v/>
      </c>
      <c r="R102" s="9" t="str">
        <f>IF(AND($BN$19&lt;&gt;"",($BM$19+3)&lt;=$BO$19),$BN$19&amp;"-"&amp;TEXT(($BM$19+3),"00"),"")</f>
        <v/>
      </c>
      <c r="T102" s="6"/>
      <c r="U102" s="9" t="str">
        <f>IF(CD102="","",CD102&amp;"-"&amp;TEXT(COUNTIF($CA$72:$CA$95,CD102)+COUNTIF($CB$72:$CB$95,CD102)+COUNTIF($CC$72:$CC$95,CD102)+COUNTIF($CD$72:$CD$95,CD102)+COUNTIF($CA$100:$CA$123,CD102)+COUNTIF($CB$100:$CB$123,CD102)+COUNTIF($CC$100:$CC$123,CD102)+COUNTIF($CD$100:CD102,CD102),"000"))</f>
        <v/>
      </c>
      <c r="V102" s="9" t="str">
        <f>IF(AND($BN$20&lt;&gt;"",($BM$20+3)&lt;=$BO$20),$BN$20,"")</f>
        <v/>
      </c>
      <c r="W102" s="9" t="str">
        <f>IF(AND($BN$20&lt;&gt;"",($BM$20+3)&lt;=$BO$20),TEXT(($BM$20+3),"00"),"")</f>
        <v/>
      </c>
      <c r="X102" s="9" t="str">
        <f>IF(AND($BN$20&lt;&gt;"",($BM$20+3)&lt;=$BO$20),$BN$20&amp;"-"&amp;TEXT(($BM$20+3),"00"),"")</f>
        <v/>
      </c>
      <c r="BA102">
        <f>IF(OR(Catalogo!$C102="",Catalogo!$B102="Espacio libre",Catalogo!$B102="Espacio reservado"),0,COUNTIF($C$13:$C$42,Catalogo!$C102)+IF($E$7=Catalogo!$C102,N($K$7),0)+IF($E$8=Catalogo!$C102,N($N$8),0)+IF(Proyecto!$D$12=Catalogo!$C102,$AQ$4,0)+SUMIF($C$49:$C$58,Catalogo!$C102,$K$49:$K$58))</f>
        <v>0</v>
      </c>
      <c r="CA102" t="str" cm="1">
        <f t="array" ref="CA102">IF(NOT(AND($BN$17&lt;&gt;"",($BM$17+3)&lt;=$BO$17)),"",IF(B102&lt;&gt;"",IF(B102="-","",B102),IF(ISNUMBER(SEARCH(":",$BP$17)),IFERROR(_xlfn.LET(_xlpm.s,_xlfn.TEXTSPLIT($BP$17,","),_xlpm.k,FIND(":",_xlpm.s),INDEX(TRIM(LEFT(_xlpm.s,_xlpm.k-1)),_xlfn.XMATCH(($BM$17+3),_xlfn.SCAN(0,--MID(_xlpm.s,_xlpm.k+1,9),_xlfn.LAMBDA(_xlpm.a,_xlpm.v,_xlpm.a+_xlpm.v)),1))),""),IF(($BM$17+3)&lt;=$BQ$17,$BP$17,""))))</f>
        <v/>
      </c>
      <c r="CB102" t="str" cm="1">
        <f t="array" ref="CB102">IF(NOT(AND($BN$18&lt;&gt;"",($BM$18+3)&lt;=$BO$18)),"",IF(H102&lt;&gt;"",IF(H102="-","",H102),IF(ISNUMBER(SEARCH(":",$BP$18)),IFERROR(_xlfn.LET(_xlpm.s,_xlfn.TEXTSPLIT($BP$18,","),_xlpm.k,FIND(":",_xlpm.s),INDEX(TRIM(LEFT(_xlpm.s,_xlpm.k-1)),_xlfn.XMATCH(($BM$18+3),_xlfn.SCAN(0,--MID(_xlpm.s,_xlpm.k+1,9),_xlfn.LAMBDA(_xlpm.a,_xlpm.v,_xlpm.a+_xlpm.v)),1))),""),IF(($BM$18+3)&lt;=$BQ$18,$BP$18,""))))</f>
        <v/>
      </c>
      <c r="CC102" t="str" cm="1">
        <f t="array" ref="CC102">IF(NOT(AND($BN$19&lt;&gt;"",($BM$19+3)&lt;=$BO$19)),"",IF(N102&lt;&gt;"",IF(N102="-","",N102),IF(ISNUMBER(SEARCH(":",$BP$19)),IFERROR(_xlfn.LET(_xlpm.s,_xlfn.TEXTSPLIT($BP$19,","),_xlpm.k,FIND(":",_xlpm.s),INDEX(TRIM(LEFT(_xlpm.s,_xlpm.k-1)),_xlfn.XMATCH(($BM$19+3),_xlfn.SCAN(0,--MID(_xlpm.s,_xlpm.k+1,9),_xlfn.LAMBDA(_xlpm.a,_xlpm.v,_xlpm.a+_xlpm.v)),1))),""),IF(($BM$19+3)&lt;=$BQ$19,$BP$19,""))))</f>
        <v/>
      </c>
      <c r="CD102" t="str" cm="1">
        <f t="array" ref="CD102">IF(NOT(AND($BN$20&lt;&gt;"",($BM$20+3)&lt;=$BO$20)),"",IF(T102&lt;&gt;"",IF(T102="-","",T102),IF(ISNUMBER(SEARCH(":",$BP$20)),IFERROR(_xlfn.LET(_xlpm.s,_xlfn.TEXTSPLIT($BP$20,","),_xlpm.k,FIND(":",_xlpm.s),INDEX(TRIM(LEFT(_xlpm.s,_xlpm.k-1)),_xlfn.XMATCH(($BM$20+3),_xlfn.SCAN(0,--MID(_xlpm.s,_xlpm.k+1,9),_xlfn.LAMBDA(_xlpm.a,_xlpm.v,_xlpm.a+_xlpm.v)),1))),""),IF(($BM$20+3)&lt;=$BQ$20,$BP$20,""))))</f>
        <v/>
      </c>
    </row>
    <row r="103" spans="2:82" x14ac:dyDescent="0.45">
      <c r="B103" s="6"/>
      <c r="C103" s="9" t="str">
        <f>IF(CA103="","",CA103&amp;"-"&amp;TEXT(COUNTIF($CA$72:$CA$95,CA103)+COUNTIF($CB$72:$CB$95,CA103)+COUNTIF($CC$72:$CC$95,CA103)+COUNTIF($CD$72:$CD$95,CA103)+COUNTIF($CA$100:CA103,CA103),"000"))</f>
        <v/>
      </c>
      <c r="D103" s="9" t="str">
        <f>IF(AND($BN$17&lt;&gt;"",($BM$17+4)&lt;=$BO$17),$BN$17,"")</f>
        <v/>
      </c>
      <c r="E103" s="9" t="str">
        <f>IF(AND($BN$17&lt;&gt;"",($BM$17+4)&lt;=$BO$17),TEXT(($BM$17+4),"00"),"")</f>
        <v/>
      </c>
      <c r="F103" s="9" t="str">
        <f>IF(AND($BN$17&lt;&gt;"",($BM$17+4)&lt;=$BO$17),$BN$17&amp;"-"&amp;TEXT(($BM$17+4),"00"),"")</f>
        <v/>
      </c>
      <c r="H103" s="6"/>
      <c r="I103" s="9" t="str">
        <f>IF(CB103="","",CB103&amp;"-"&amp;TEXT(COUNTIF($CA$72:$CA$95,CB103)+COUNTIF($CB$72:$CB$95,CB103)+COUNTIF($CC$72:$CC$95,CB103)+COUNTIF($CD$72:$CD$95,CB103)+COUNTIF($CA$100:$CA$123,CB103)+COUNTIF($CB$100:CB103,CB103),"000"))</f>
        <v/>
      </c>
      <c r="J103" s="9" t="str">
        <f>IF(AND($BN$18&lt;&gt;"",($BM$18+4)&lt;=$BO$18),$BN$18,"")</f>
        <v/>
      </c>
      <c r="K103" s="9" t="str">
        <f>IF(AND($BN$18&lt;&gt;"",($BM$18+4)&lt;=$BO$18),TEXT(($BM$18+4),"00"),"")</f>
        <v/>
      </c>
      <c r="L103" s="9" t="str">
        <f>IF(AND($BN$18&lt;&gt;"",($BM$18+4)&lt;=$BO$18),$BN$18&amp;"-"&amp;TEXT(($BM$18+4),"00"),"")</f>
        <v/>
      </c>
      <c r="N103" s="6"/>
      <c r="O103" s="9" t="str">
        <f>IF(CC103="","",CC103&amp;"-"&amp;TEXT(COUNTIF($CA$72:$CA$95,CC103)+COUNTIF($CB$72:$CB$95,CC103)+COUNTIF($CC$72:$CC$95,CC103)+COUNTIF($CD$72:$CD$95,CC103)+COUNTIF($CA$100:$CA$123,CC103)+COUNTIF($CB$100:$CB$123,CC103)+COUNTIF($CC$100:CC103,CC103),"000"))</f>
        <v/>
      </c>
      <c r="P103" s="9" t="str">
        <f>IF(AND($BN$19&lt;&gt;"",($BM$19+4)&lt;=$BO$19),$BN$19,"")</f>
        <v/>
      </c>
      <c r="Q103" s="9" t="str">
        <f>IF(AND($BN$19&lt;&gt;"",($BM$19+4)&lt;=$BO$19),TEXT(($BM$19+4),"00"),"")</f>
        <v/>
      </c>
      <c r="R103" s="9" t="str">
        <f>IF(AND($BN$19&lt;&gt;"",($BM$19+4)&lt;=$BO$19),$BN$19&amp;"-"&amp;TEXT(($BM$19+4),"00"),"")</f>
        <v/>
      </c>
      <c r="T103" s="6"/>
      <c r="U103" s="9" t="str">
        <f>IF(CD103="","",CD103&amp;"-"&amp;TEXT(COUNTIF($CA$72:$CA$95,CD103)+COUNTIF($CB$72:$CB$95,CD103)+COUNTIF($CC$72:$CC$95,CD103)+COUNTIF($CD$72:$CD$95,CD103)+COUNTIF($CA$100:$CA$123,CD103)+COUNTIF($CB$100:$CB$123,CD103)+COUNTIF($CC$100:$CC$123,CD103)+COUNTIF($CD$100:CD103,CD103),"000"))</f>
        <v/>
      </c>
      <c r="V103" s="9" t="str">
        <f>IF(AND($BN$20&lt;&gt;"",($BM$20+4)&lt;=$BO$20),$BN$20,"")</f>
        <v/>
      </c>
      <c r="W103" s="9" t="str">
        <f>IF(AND($BN$20&lt;&gt;"",($BM$20+4)&lt;=$BO$20),TEXT(($BM$20+4),"00"),"")</f>
        <v/>
      </c>
      <c r="X103" s="9" t="str">
        <f>IF(AND($BN$20&lt;&gt;"",($BM$20+4)&lt;=$BO$20),$BN$20&amp;"-"&amp;TEXT(($BM$20+4),"00"),"")</f>
        <v/>
      </c>
      <c r="BA103">
        <f>IF(OR(Catalogo!$C103="",Catalogo!$B103="Espacio libre",Catalogo!$B103="Espacio reservado"),0,COUNTIF($C$13:$C$42,Catalogo!$C103)+IF($E$7=Catalogo!$C103,N($K$7),0)+IF($E$8=Catalogo!$C103,N($N$8),0)+IF(Proyecto!$D$12=Catalogo!$C103,$AQ$4,0)+SUMIF($C$49:$C$58,Catalogo!$C103,$K$49:$K$58))</f>
        <v>0</v>
      </c>
      <c r="CA103" t="str" cm="1">
        <f t="array" ref="CA103">IF(NOT(AND($BN$17&lt;&gt;"",($BM$17+4)&lt;=$BO$17)),"",IF(B103&lt;&gt;"",IF(B103="-","",B103),IF(ISNUMBER(SEARCH(":",$BP$17)),IFERROR(_xlfn.LET(_xlpm.s,_xlfn.TEXTSPLIT($BP$17,","),_xlpm.k,FIND(":",_xlpm.s),INDEX(TRIM(LEFT(_xlpm.s,_xlpm.k-1)),_xlfn.XMATCH(($BM$17+4),_xlfn.SCAN(0,--MID(_xlpm.s,_xlpm.k+1,9),_xlfn.LAMBDA(_xlpm.a,_xlpm.v,_xlpm.a+_xlpm.v)),1))),""),IF(($BM$17+4)&lt;=$BQ$17,$BP$17,""))))</f>
        <v/>
      </c>
      <c r="CB103" t="str" cm="1">
        <f t="array" ref="CB103">IF(NOT(AND($BN$18&lt;&gt;"",($BM$18+4)&lt;=$BO$18)),"",IF(H103&lt;&gt;"",IF(H103="-","",H103),IF(ISNUMBER(SEARCH(":",$BP$18)),IFERROR(_xlfn.LET(_xlpm.s,_xlfn.TEXTSPLIT($BP$18,","),_xlpm.k,FIND(":",_xlpm.s),INDEX(TRIM(LEFT(_xlpm.s,_xlpm.k-1)),_xlfn.XMATCH(($BM$18+4),_xlfn.SCAN(0,--MID(_xlpm.s,_xlpm.k+1,9),_xlfn.LAMBDA(_xlpm.a,_xlpm.v,_xlpm.a+_xlpm.v)),1))),""),IF(($BM$18+4)&lt;=$BQ$18,$BP$18,""))))</f>
        <v/>
      </c>
      <c r="CC103" t="str" cm="1">
        <f t="array" ref="CC103">IF(NOT(AND($BN$19&lt;&gt;"",($BM$19+4)&lt;=$BO$19)),"",IF(N103&lt;&gt;"",IF(N103="-","",N103),IF(ISNUMBER(SEARCH(":",$BP$19)),IFERROR(_xlfn.LET(_xlpm.s,_xlfn.TEXTSPLIT($BP$19,","),_xlpm.k,FIND(":",_xlpm.s),INDEX(TRIM(LEFT(_xlpm.s,_xlpm.k-1)),_xlfn.XMATCH(($BM$19+4),_xlfn.SCAN(0,--MID(_xlpm.s,_xlpm.k+1,9),_xlfn.LAMBDA(_xlpm.a,_xlpm.v,_xlpm.a+_xlpm.v)),1))),""),IF(($BM$19+4)&lt;=$BQ$19,$BP$19,""))))</f>
        <v/>
      </c>
      <c r="CD103" t="str" cm="1">
        <f t="array" ref="CD103">IF(NOT(AND($BN$20&lt;&gt;"",($BM$20+4)&lt;=$BO$20)),"",IF(T103&lt;&gt;"",IF(T103="-","",T103),IF(ISNUMBER(SEARCH(":",$BP$20)),IFERROR(_xlfn.LET(_xlpm.s,_xlfn.TEXTSPLIT($BP$20,","),_xlpm.k,FIND(":",_xlpm.s),INDEX(TRIM(LEFT(_xlpm.s,_xlpm.k-1)),_xlfn.XMATCH(($BM$20+4),_xlfn.SCAN(0,--MID(_xlpm.s,_xlpm.k+1,9),_xlfn.LAMBDA(_xlpm.a,_xlpm.v,_xlpm.a+_xlpm.v)),1))),""),IF(($BM$20+4)&lt;=$BQ$20,$BP$20,""))))</f>
        <v/>
      </c>
    </row>
    <row r="104" spans="2:82" x14ac:dyDescent="0.45">
      <c r="B104" s="6"/>
      <c r="C104" s="9" t="str">
        <f>IF(CA104="","",CA104&amp;"-"&amp;TEXT(COUNTIF($CA$72:$CA$95,CA104)+COUNTIF($CB$72:$CB$95,CA104)+COUNTIF($CC$72:$CC$95,CA104)+COUNTIF($CD$72:$CD$95,CA104)+COUNTIF($CA$100:CA104,CA104),"000"))</f>
        <v/>
      </c>
      <c r="D104" s="9" t="str">
        <f>IF(AND($BN$17&lt;&gt;"",($BM$17+5)&lt;=$BO$17),$BN$17,"")</f>
        <v/>
      </c>
      <c r="E104" s="9" t="str">
        <f>IF(AND($BN$17&lt;&gt;"",($BM$17+5)&lt;=$BO$17),TEXT(($BM$17+5),"00"),"")</f>
        <v/>
      </c>
      <c r="F104" s="9" t="str">
        <f>IF(AND($BN$17&lt;&gt;"",($BM$17+5)&lt;=$BO$17),$BN$17&amp;"-"&amp;TEXT(($BM$17+5),"00"),"")</f>
        <v/>
      </c>
      <c r="H104" s="6"/>
      <c r="I104" s="9" t="str">
        <f>IF(CB104="","",CB104&amp;"-"&amp;TEXT(COUNTIF($CA$72:$CA$95,CB104)+COUNTIF($CB$72:$CB$95,CB104)+COUNTIF($CC$72:$CC$95,CB104)+COUNTIF($CD$72:$CD$95,CB104)+COUNTIF($CA$100:$CA$123,CB104)+COUNTIF($CB$100:CB104,CB104),"000"))</f>
        <v/>
      </c>
      <c r="J104" s="9" t="str">
        <f>IF(AND($BN$18&lt;&gt;"",($BM$18+5)&lt;=$BO$18),$BN$18,"")</f>
        <v/>
      </c>
      <c r="K104" s="9" t="str">
        <f>IF(AND($BN$18&lt;&gt;"",($BM$18+5)&lt;=$BO$18),TEXT(($BM$18+5),"00"),"")</f>
        <v/>
      </c>
      <c r="L104" s="9" t="str">
        <f>IF(AND($BN$18&lt;&gt;"",($BM$18+5)&lt;=$BO$18),$BN$18&amp;"-"&amp;TEXT(($BM$18+5),"00"),"")</f>
        <v/>
      </c>
      <c r="N104" s="6"/>
      <c r="O104" s="9" t="str">
        <f>IF(CC104="","",CC104&amp;"-"&amp;TEXT(COUNTIF($CA$72:$CA$95,CC104)+COUNTIF($CB$72:$CB$95,CC104)+COUNTIF($CC$72:$CC$95,CC104)+COUNTIF($CD$72:$CD$95,CC104)+COUNTIF($CA$100:$CA$123,CC104)+COUNTIF($CB$100:$CB$123,CC104)+COUNTIF($CC$100:CC104,CC104),"000"))</f>
        <v/>
      </c>
      <c r="P104" s="9" t="str">
        <f>IF(AND($BN$19&lt;&gt;"",($BM$19+5)&lt;=$BO$19),$BN$19,"")</f>
        <v/>
      </c>
      <c r="Q104" s="9" t="str">
        <f>IF(AND($BN$19&lt;&gt;"",($BM$19+5)&lt;=$BO$19),TEXT(($BM$19+5),"00"),"")</f>
        <v/>
      </c>
      <c r="R104" s="9" t="str">
        <f>IF(AND($BN$19&lt;&gt;"",($BM$19+5)&lt;=$BO$19),$BN$19&amp;"-"&amp;TEXT(($BM$19+5),"00"),"")</f>
        <v/>
      </c>
      <c r="T104" s="6"/>
      <c r="U104" s="9" t="str">
        <f>IF(CD104="","",CD104&amp;"-"&amp;TEXT(COUNTIF($CA$72:$CA$95,CD104)+COUNTIF($CB$72:$CB$95,CD104)+COUNTIF($CC$72:$CC$95,CD104)+COUNTIF($CD$72:$CD$95,CD104)+COUNTIF($CA$100:$CA$123,CD104)+COUNTIF($CB$100:$CB$123,CD104)+COUNTIF($CC$100:$CC$123,CD104)+COUNTIF($CD$100:CD104,CD104),"000"))</f>
        <v/>
      </c>
      <c r="V104" s="9" t="str">
        <f>IF(AND($BN$20&lt;&gt;"",($BM$20+5)&lt;=$BO$20),$BN$20,"")</f>
        <v/>
      </c>
      <c r="W104" s="9" t="str">
        <f>IF(AND($BN$20&lt;&gt;"",($BM$20+5)&lt;=$BO$20),TEXT(($BM$20+5),"00"),"")</f>
        <v/>
      </c>
      <c r="X104" s="9" t="str">
        <f>IF(AND($BN$20&lt;&gt;"",($BM$20+5)&lt;=$BO$20),$BN$20&amp;"-"&amp;TEXT(($BM$20+5),"00"),"")</f>
        <v/>
      </c>
      <c r="BA104">
        <f>IF(OR(Catalogo!$C104="",Catalogo!$B104="Espacio libre",Catalogo!$B104="Espacio reservado"),0,COUNTIF($C$13:$C$42,Catalogo!$C104)+IF($E$7=Catalogo!$C104,N($K$7),0)+IF($E$8=Catalogo!$C104,N($N$8),0)+IF(Proyecto!$D$12=Catalogo!$C104,$AQ$4,0)+SUMIF($C$49:$C$58,Catalogo!$C104,$K$49:$K$58))</f>
        <v>0</v>
      </c>
      <c r="CA104" t="str" cm="1">
        <f t="array" ref="CA104">IF(NOT(AND($BN$17&lt;&gt;"",($BM$17+5)&lt;=$BO$17)),"",IF(B104&lt;&gt;"",IF(B104="-","",B104),IF(ISNUMBER(SEARCH(":",$BP$17)),IFERROR(_xlfn.LET(_xlpm.s,_xlfn.TEXTSPLIT($BP$17,","),_xlpm.k,FIND(":",_xlpm.s),INDEX(TRIM(LEFT(_xlpm.s,_xlpm.k-1)),_xlfn.XMATCH(($BM$17+5),_xlfn.SCAN(0,--MID(_xlpm.s,_xlpm.k+1,9),_xlfn.LAMBDA(_xlpm.a,_xlpm.v,_xlpm.a+_xlpm.v)),1))),""),IF(($BM$17+5)&lt;=$BQ$17,$BP$17,""))))</f>
        <v/>
      </c>
      <c r="CB104" t="str" cm="1">
        <f t="array" ref="CB104">IF(NOT(AND($BN$18&lt;&gt;"",($BM$18+5)&lt;=$BO$18)),"",IF(H104&lt;&gt;"",IF(H104="-","",H104),IF(ISNUMBER(SEARCH(":",$BP$18)),IFERROR(_xlfn.LET(_xlpm.s,_xlfn.TEXTSPLIT($BP$18,","),_xlpm.k,FIND(":",_xlpm.s),INDEX(TRIM(LEFT(_xlpm.s,_xlpm.k-1)),_xlfn.XMATCH(($BM$18+5),_xlfn.SCAN(0,--MID(_xlpm.s,_xlpm.k+1,9),_xlfn.LAMBDA(_xlpm.a,_xlpm.v,_xlpm.a+_xlpm.v)),1))),""),IF(($BM$18+5)&lt;=$BQ$18,$BP$18,""))))</f>
        <v/>
      </c>
      <c r="CC104" t="str" cm="1">
        <f t="array" ref="CC104">IF(NOT(AND($BN$19&lt;&gt;"",($BM$19+5)&lt;=$BO$19)),"",IF(N104&lt;&gt;"",IF(N104="-","",N104),IF(ISNUMBER(SEARCH(":",$BP$19)),IFERROR(_xlfn.LET(_xlpm.s,_xlfn.TEXTSPLIT($BP$19,","),_xlpm.k,FIND(":",_xlpm.s),INDEX(TRIM(LEFT(_xlpm.s,_xlpm.k-1)),_xlfn.XMATCH(($BM$19+5),_xlfn.SCAN(0,--MID(_xlpm.s,_xlpm.k+1,9),_xlfn.LAMBDA(_xlpm.a,_xlpm.v,_xlpm.a+_xlpm.v)),1))),""),IF(($BM$19+5)&lt;=$BQ$19,$BP$19,""))))</f>
        <v/>
      </c>
      <c r="CD104" t="str" cm="1">
        <f t="array" ref="CD104">IF(NOT(AND($BN$20&lt;&gt;"",($BM$20+5)&lt;=$BO$20)),"",IF(T104&lt;&gt;"",IF(T104="-","",T104),IF(ISNUMBER(SEARCH(":",$BP$20)),IFERROR(_xlfn.LET(_xlpm.s,_xlfn.TEXTSPLIT($BP$20,","),_xlpm.k,FIND(":",_xlpm.s),INDEX(TRIM(LEFT(_xlpm.s,_xlpm.k-1)),_xlfn.XMATCH(($BM$20+5),_xlfn.SCAN(0,--MID(_xlpm.s,_xlpm.k+1,9),_xlfn.LAMBDA(_xlpm.a,_xlpm.v,_xlpm.a+_xlpm.v)),1))),""),IF(($BM$20+5)&lt;=$BQ$20,$BP$20,""))))</f>
        <v/>
      </c>
    </row>
    <row r="105" spans="2:82" x14ac:dyDescent="0.45">
      <c r="B105" s="6"/>
      <c r="C105" s="9" t="str">
        <f>IF(CA105="","",CA105&amp;"-"&amp;TEXT(COUNTIF($CA$72:$CA$95,CA105)+COUNTIF($CB$72:$CB$95,CA105)+COUNTIF($CC$72:$CC$95,CA105)+COUNTIF($CD$72:$CD$95,CA105)+COUNTIF($CA$100:CA105,CA105),"000"))</f>
        <v/>
      </c>
      <c r="D105" s="9" t="str">
        <f>IF(AND($BN$17&lt;&gt;"",($BM$17+6)&lt;=$BO$17),$BN$17,"")</f>
        <v/>
      </c>
      <c r="E105" s="9" t="str">
        <f>IF(AND($BN$17&lt;&gt;"",($BM$17+6)&lt;=$BO$17),TEXT(($BM$17+6),"00"),"")</f>
        <v/>
      </c>
      <c r="F105" s="9" t="str">
        <f>IF(AND($BN$17&lt;&gt;"",($BM$17+6)&lt;=$BO$17),$BN$17&amp;"-"&amp;TEXT(($BM$17+6),"00"),"")</f>
        <v/>
      </c>
      <c r="H105" s="6"/>
      <c r="I105" s="9" t="str">
        <f>IF(CB105="","",CB105&amp;"-"&amp;TEXT(COUNTIF($CA$72:$CA$95,CB105)+COUNTIF($CB$72:$CB$95,CB105)+COUNTIF($CC$72:$CC$95,CB105)+COUNTIF($CD$72:$CD$95,CB105)+COUNTIF($CA$100:$CA$123,CB105)+COUNTIF($CB$100:CB105,CB105),"000"))</f>
        <v/>
      </c>
      <c r="J105" s="9" t="str">
        <f>IF(AND($BN$18&lt;&gt;"",($BM$18+6)&lt;=$BO$18),$BN$18,"")</f>
        <v/>
      </c>
      <c r="K105" s="9" t="str">
        <f>IF(AND($BN$18&lt;&gt;"",($BM$18+6)&lt;=$BO$18),TEXT(($BM$18+6),"00"),"")</f>
        <v/>
      </c>
      <c r="L105" s="9" t="str">
        <f>IF(AND($BN$18&lt;&gt;"",($BM$18+6)&lt;=$BO$18),$BN$18&amp;"-"&amp;TEXT(($BM$18+6),"00"),"")</f>
        <v/>
      </c>
      <c r="N105" s="6"/>
      <c r="O105" s="9" t="str">
        <f>IF(CC105="","",CC105&amp;"-"&amp;TEXT(COUNTIF($CA$72:$CA$95,CC105)+COUNTIF($CB$72:$CB$95,CC105)+COUNTIF($CC$72:$CC$95,CC105)+COUNTIF($CD$72:$CD$95,CC105)+COUNTIF($CA$100:$CA$123,CC105)+COUNTIF($CB$100:$CB$123,CC105)+COUNTIF($CC$100:CC105,CC105),"000"))</f>
        <v/>
      </c>
      <c r="P105" s="9" t="str">
        <f>IF(AND($BN$19&lt;&gt;"",($BM$19+6)&lt;=$BO$19),$BN$19,"")</f>
        <v/>
      </c>
      <c r="Q105" s="9" t="str">
        <f>IF(AND($BN$19&lt;&gt;"",($BM$19+6)&lt;=$BO$19),TEXT(($BM$19+6),"00"),"")</f>
        <v/>
      </c>
      <c r="R105" s="9" t="str">
        <f>IF(AND($BN$19&lt;&gt;"",($BM$19+6)&lt;=$BO$19),$BN$19&amp;"-"&amp;TEXT(($BM$19+6),"00"),"")</f>
        <v/>
      </c>
      <c r="T105" s="6"/>
      <c r="U105" s="9" t="str">
        <f>IF(CD105="","",CD105&amp;"-"&amp;TEXT(COUNTIF($CA$72:$CA$95,CD105)+COUNTIF($CB$72:$CB$95,CD105)+COUNTIF($CC$72:$CC$95,CD105)+COUNTIF($CD$72:$CD$95,CD105)+COUNTIF($CA$100:$CA$123,CD105)+COUNTIF($CB$100:$CB$123,CD105)+COUNTIF($CC$100:$CC$123,CD105)+COUNTIF($CD$100:CD105,CD105),"000"))</f>
        <v/>
      </c>
      <c r="V105" s="9" t="str">
        <f>IF(AND($BN$20&lt;&gt;"",($BM$20+6)&lt;=$BO$20),$BN$20,"")</f>
        <v/>
      </c>
      <c r="W105" s="9" t="str">
        <f>IF(AND($BN$20&lt;&gt;"",($BM$20+6)&lt;=$BO$20),TEXT(($BM$20+6),"00"),"")</f>
        <v/>
      </c>
      <c r="X105" s="9" t="str">
        <f>IF(AND($BN$20&lt;&gt;"",($BM$20+6)&lt;=$BO$20),$BN$20&amp;"-"&amp;TEXT(($BM$20+6),"00"),"")</f>
        <v/>
      </c>
      <c r="BA105">
        <f>IF(OR(Catalogo!$C105="",Catalogo!$B105="Espacio libre",Catalogo!$B105="Espacio reservado"),0,COUNTIF($C$13:$C$42,Catalogo!$C105)+IF($E$7=Catalogo!$C105,N($K$7),0)+IF($E$8=Catalogo!$C105,N($N$8),0)+IF(Proyecto!$D$12=Catalogo!$C105,$AQ$4,0)+SUMIF($C$49:$C$58,Catalogo!$C105,$K$49:$K$58))</f>
        <v>0</v>
      </c>
      <c r="CA105" t="str" cm="1">
        <f t="array" ref="CA105">IF(NOT(AND($BN$17&lt;&gt;"",($BM$17+6)&lt;=$BO$17)),"",IF(B105&lt;&gt;"",IF(B105="-","",B105),IF(ISNUMBER(SEARCH(":",$BP$17)),IFERROR(_xlfn.LET(_xlpm.s,_xlfn.TEXTSPLIT($BP$17,","),_xlpm.k,FIND(":",_xlpm.s),INDEX(TRIM(LEFT(_xlpm.s,_xlpm.k-1)),_xlfn.XMATCH(($BM$17+6),_xlfn.SCAN(0,--MID(_xlpm.s,_xlpm.k+1,9),_xlfn.LAMBDA(_xlpm.a,_xlpm.v,_xlpm.a+_xlpm.v)),1))),""),IF(($BM$17+6)&lt;=$BQ$17,$BP$17,""))))</f>
        <v/>
      </c>
      <c r="CB105" t="str" cm="1">
        <f t="array" ref="CB105">IF(NOT(AND($BN$18&lt;&gt;"",($BM$18+6)&lt;=$BO$18)),"",IF(H105&lt;&gt;"",IF(H105="-","",H105),IF(ISNUMBER(SEARCH(":",$BP$18)),IFERROR(_xlfn.LET(_xlpm.s,_xlfn.TEXTSPLIT($BP$18,","),_xlpm.k,FIND(":",_xlpm.s),INDEX(TRIM(LEFT(_xlpm.s,_xlpm.k-1)),_xlfn.XMATCH(($BM$18+6),_xlfn.SCAN(0,--MID(_xlpm.s,_xlpm.k+1,9),_xlfn.LAMBDA(_xlpm.a,_xlpm.v,_xlpm.a+_xlpm.v)),1))),""),IF(($BM$18+6)&lt;=$BQ$18,$BP$18,""))))</f>
        <v/>
      </c>
      <c r="CC105" t="str" cm="1">
        <f t="array" ref="CC105">IF(NOT(AND($BN$19&lt;&gt;"",($BM$19+6)&lt;=$BO$19)),"",IF(N105&lt;&gt;"",IF(N105="-","",N105),IF(ISNUMBER(SEARCH(":",$BP$19)),IFERROR(_xlfn.LET(_xlpm.s,_xlfn.TEXTSPLIT($BP$19,","),_xlpm.k,FIND(":",_xlpm.s),INDEX(TRIM(LEFT(_xlpm.s,_xlpm.k-1)),_xlfn.XMATCH(($BM$19+6),_xlfn.SCAN(0,--MID(_xlpm.s,_xlpm.k+1,9),_xlfn.LAMBDA(_xlpm.a,_xlpm.v,_xlpm.a+_xlpm.v)),1))),""),IF(($BM$19+6)&lt;=$BQ$19,$BP$19,""))))</f>
        <v/>
      </c>
      <c r="CD105" t="str" cm="1">
        <f t="array" ref="CD105">IF(NOT(AND($BN$20&lt;&gt;"",($BM$20+6)&lt;=$BO$20)),"",IF(T105&lt;&gt;"",IF(T105="-","",T105),IF(ISNUMBER(SEARCH(":",$BP$20)),IFERROR(_xlfn.LET(_xlpm.s,_xlfn.TEXTSPLIT($BP$20,","),_xlpm.k,FIND(":",_xlpm.s),INDEX(TRIM(LEFT(_xlpm.s,_xlpm.k-1)),_xlfn.XMATCH(($BM$20+6),_xlfn.SCAN(0,--MID(_xlpm.s,_xlpm.k+1,9),_xlfn.LAMBDA(_xlpm.a,_xlpm.v,_xlpm.a+_xlpm.v)),1))),""),IF(($BM$20+6)&lt;=$BQ$20,$BP$20,""))))</f>
        <v/>
      </c>
    </row>
    <row r="106" spans="2:82" x14ac:dyDescent="0.45">
      <c r="B106" s="6"/>
      <c r="C106" s="9" t="str">
        <f>IF(CA106="","",CA106&amp;"-"&amp;TEXT(COUNTIF($CA$72:$CA$95,CA106)+COUNTIF($CB$72:$CB$95,CA106)+COUNTIF($CC$72:$CC$95,CA106)+COUNTIF($CD$72:$CD$95,CA106)+COUNTIF($CA$100:CA106,CA106),"000"))</f>
        <v/>
      </c>
      <c r="D106" s="9" t="str">
        <f>IF(AND($BN$17&lt;&gt;"",($BM$17+7)&lt;=$BO$17),$BN$17,"")</f>
        <v/>
      </c>
      <c r="E106" s="9" t="str">
        <f>IF(AND($BN$17&lt;&gt;"",($BM$17+7)&lt;=$BO$17),TEXT(($BM$17+7),"00"),"")</f>
        <v/>
      </c>
      <c r="F106" s="9" t="str">
        <f>IF(AND($BN$17&lt;&gt;"",($BM$17+7)&lt;=$BO$17),$BN$17&amp;"-"&amp;TEXT(($BM$17+7),"00"),"")</f>
        <v/>
      </c>
      <c r="H106" s="6"/>
      <c r="I106" s="9" t="str">
        <f>IF(CB106="","",CB106&amp;"-"&amp;TEXT(COUNTIF($CA$72:$CA$95,CB106)+COUNTIF($CB$72:$CB$95,CB106)+COUNTIF($CC$72:$CC$95,CB106)+COUNTIF($CD$72:$CD$95,CB106)+COUNTIF($CA$100:$CA$123,CB106)+COUNTIF($CB$100:CB106,CB106),"000"))</f>
        <v/>
      </c>
      <c r="J106" s="9" t="str">
        <f>IF(AND($BN$18&lt;&gt;"",($BM$18+7)&lt;=$BO$18),$BN$18,"")</f>
        <v/>
      </c>
      <c r="K106" s="9" t="str">
        <f>IF(AND($BN$18&lt;&gt;"",($BM$18+7)&lt;=$BO$18),TEXT(($BM$18+7),"00"),"")</f>
        <v/>
      </c>
      <c r="L106" s="9" t="str">
        <f>IF(AND($BN$18&lt;&gt;"",($BM$18+7)&lt;=$BO$18),$BN$18&amp;"-"&amp;TEXT(($BM$18+7),"00"),"")</f>
        <v/>
      </c>
      <c r="N106" s="6"/>
      <c r="O106" s="9" t="str">
        <f>IF(CC106="","",CC106&amp;"-"&amp;TEXT(COUNTIF($CA$72:$CA$95,CC106)+COUNTIF($CB$72:$CB$95,CC106)+COUNTIF($CC$72:$CC$95,CC106)+COUNTIF($CD$72:$CD$95,CC106)+COUNTIF($CA$100:$CA$123,CC106)+COUNTIF($CB$100:$CB$123,CC106)+COUNTIF($CC$100:CC106,CC106),"000"))</f>
        <v/>
      </c>
      <c r="P106" s="9" t="str">
        <f>IF(AND($BN$19&lt;&gt;"",($BM$19+7)&lt;=$BO$19),$BN$19,"")</f>
        <v/>
      </c>
      <c r="Q106" s="9" t="str">
        <f>IF(AND($BN$19&lt;&gt;"",($BM$19+7)&lt;=$BO$19),TEXT(($BM$19+7),"00"),"")</f>
        <v/>
      </c>
      <c r="R106" s="9" t="str">
        <f>IF(AND($BN$19&lt;&gt;"",($BM$19+7)&lt;=$BO$19),$BN$19&amp;"-"&amp;TEXT(($BM$19+7),"00"),"")</f>
        <v/>
      </c>
      <c r="T106" s="6"/>
      <c r="U106" s="9" t="str">
        <f>IF(CD106="","",CD106&amp;"-"&amp;TEXT(COUNTIF($CA$72:$CA$95,CD106)+COUNTIF($CB$72:$CB$95,CD106)+COUNTIF($CC$72:$CC$95,CD106)+COUNTIF($CD$72:$CD$95,CD106)+COUNTIF($CA$100:$CA$123,CD106)+COUNTIF($CB$100:$CB$123,CD106)+COUNTIF($CC$100:$CC$123,CD106)+COUNTIF($CD$100:CD106,CD106),"000"))</f>
        <v/>
      </c>
      <c r="V106" s="9" t="str">
        <f>IF(AND($BN$20&lt;&gt;"",($BM$20+7)&lt;=$BO$20),$BN$20,"")</f>
        <v/>
      </c>
      <c r="W106" s="9" t="str">
        <f>IF(AND($BN$20&lt;&gt;"",($BM$20+7)&lt;=$BO$20),TEXT(($BM$20+7),"00"),"")</f>
        <v/>
      </c>
      <c r="X106" s="9" t="str">
        <f>IF(AND($BN$20&lt;&gt;"",($BM$20+7)&lt;=$BO$20),$BN$20&amp;"-"&amp;TEXT(($BM$20+7),"00"),"")</f>
        <v/>
      </c>
      <c r="BA106">
        <f>IF(OR(Catalogo!$C106="",Catalogo!$B106="Espacio libre",Catalogo!$B106="Espacio reservado"),0,COUNTIF($C$13:$C$42,Catalogo!$C106)+IF($E$7=Catalogo!$C106,N($K$7),0)+IF($E$8=Catalogo!$C106,N($N$8),0)+IF(Proyecto!$D$12=Catalogo!$C106,$AQ$4,0)+SUMIF($C$49:$C$58,Catalogo!$C106,$K$49:$K$58))</f>
        <v>0</v>
      </c>
      <c r="CA106" t="str" cm="1">
        <f t="array" ref="CA106">IF(NOT(AND($BN$17&lt;&gt;"",($BM$17+7)&lt;=$BO$17)),"",IF(B106&lt;&gt;"",IF(B106="-","",B106),IF(ISNUMBER(SEARCH(":",$BP$17)),IFERROR(_xlfn.LET(_xlpm.s,_xlfn.TEXTSPLIT($BP$17,","),_xlpm.k,FIND(":",_xlpm.s),INDEX(TRIM(LEFT(_xlpm.s,_xlpm.k-1)),_xlfn.XMATCH(($BM$17+7),_xlfn.SCAN(0,--MID(_xlpm.s,_xlpm.k+1,9),_xlfn.LAMBDA(_xlpm.a,_xlpm.v,_xlpm.a+_xlpm.v)),1))),""),IF(($BM$17+7)&lt;=$BQ$17,$BP$17,""))))</f>
        <v/>
      </c>
      <c r="CB106" t="str" cm="1">
        <f t="array" ref="CB106">IF(NOT(AND($BN$18&lt;&gt;"",($BM$18+7)&lt;=$BO$18)),"",IF(H106&lt;&gt;"",IF(H106="-","",H106),IF(ISNUMBER(SEARCH(":",$BP$18)),IFERROR(_xlfn.LET(_xlpm.s,_xlfn.TEXTSPLIT($BP$18,","),_xlpm.k,FIND(":",_xlpm.s),INDEX(TRIM(LEFT(_xlpm.s,_xlpm.k-1)),_xlfn.XMATCH(($BM$18+7),_xlfn.SCAN(0,--MID(_xlpm.s,_xlpm.k+1,9),_xlfn.LAMBDA(_xlpm.a,_xlpm.v,_xlpm.a+_xlpm.v)),1))),""),IF(($BM$18+7)&lt;=$BQ$18,$BP$18,""))))</f>
        <v/>
      </c>
      <c r="CC106" t="str" cm="1">
        <f t="array" ref="CC106">IF(NOT(AND($BN$19&lt;&gt;"",($BM$19+7)&lt;=$BO$19)),"",IF(N106&lt;&gt;"",IF(N106="-","",N106),IF(ISNUMBER(SEARCH(":",$BP$19)),IFERROR(_xlfn.LET(_xlpm.s,_xlfn.TEXTSPLIT($BP$19,","),_xlpm.k,FIND(":",_xlpm.s),INDEX(TRIM(LEFT(_xlpm.s,_xlpm.k-1)),_xlfn.XMATCH(($BM$19+7),_xlfn.SCAN(0,--MID(_xlpm.s,_xlpm.k+1,9),_xlfn.LAMBDA(_xlpm.a,_xlpm.v,_xlpm.a+_xlpm.v)),1))),""),IF(($BM$19+7)&lt;=$BQ$19,$BP$19,""))))</f>
        <v/>
      </c>
      <c r="CD106" t="str" cm="1">
        <f t="array" ref="CD106">IF(NOT(AND($BN$20&lt;&gt;"",($BM$20+7)&lt;=$BO$20)),"",IF(T106&lt;&gt;"",IF(T106="-","",T106),IF(ISNUMBER(SEARCH(":",$BP$20)),IFERROR(_xlfn.LET(_xlpm.s,_xlfn.TEXTSPLIT($BP$20,","),_xlpm.k,FIND(":",_xlpm.s),INDEX(TRIM(LEFT(_xlpm.s,_xlpm.k-1)),_xlfn.XMATCH(($BM$20+7),_xlfn.SCAN(0,--MID(_xlpm.s,_xlpm.k+1,9),_xlfn.LAMBDA(_xlpm.a,_xlpm.v,_xlpm.a+_xlpm.v)),1))),""),IF(($BM$20+7)&lt;=$BQ$20,$BP$20,""))))</f>
        <v/>
      </c>
    </row>
    <row r="107" spans="2:82" x14ac:dyDescent="0.45">
      <c r="B107" s="6"/>
      <c r="C107" s="9" t="str">
        <f>IF(CA107="","",CA107&amp;"-"&amp;TEXT(COUNTIF($CA$72:$CA$95,CA107)+COUNTIF($CB$72:$CB$95,CA107)+COUNTIF($CC$72:$CC$95,CA107)+COUNTIF($CD$72:$CD$95,CA107)+COUNTIF($CA$100:CA107,CA107),"000"))</f>
        <v/>
      </c>
      <c r="D107" s="9" t="str">
        <f>IF(AND($BN$17&lt;&gt;"",($BM$17+8)&lt;=$BO$17),$BN$17,"")</f>
        <v/>
      </c>
      <c r="E107" s="9" t="str">
        <f>IF(AND($BN$17&lt;&gt;"",($BM$17+8)&lt;=$BO$17),TEXT(($BM$17+8),"00"),"")</f>
        <v/>
      </c>
      <c r="F107" s="9" t="str">
        <f>IF(AND($BN$17&lt;&gt;"",($BM$17+8)&lt;=$BO$17),$BN$17&amp;"-"&amp;TEXT(($BM$17+8),"00"),"")</f>
        <v/>
      </c>
      <c r="H107" s="6"/>
      <c r="I107" s="9" t="str">
        <f>IF(CB107="","",CB107&amp;"-"&amp;TEXT(COUNTIF($CA$72:$CA$95,CB107)+COUNTIF($CB$72:$CB$95,CB107)+COUNTIF($CC$72:$CC$95,CB107)+COUNTIF($CD$72:$CD$95,CB107)+COUNTIF($CA$100:$CA$123,CB107)+COUNTIF($CB$100:CB107,CB107),"000"))</f>
        <v/>
      </c>
      <c r="J107" s="9" t="str">
        <f>IF(AND($BN$18&lt;&gt;"",($BM$18+8)&lt;=$BO$18),$BN$18,"")</f>
        <v/>
      </c>
      <c r="K107" s="9" t="str">
        <f>IF(AND($BN$18&lt;&gt;"",($BM$18+8)&lt;=$BO$18),TEXT(($BM$18+8),"00"),"")</f>
        <v/>
      </c>
      <c r="L107" s="9" t="str">
        <f>IF(AND($BN$18&lt;&gt;"",($BM$18+8)&lt;=$BO$18),$BN$18&amp;"-"&amp;TEXT(($BM$18+8),"00"),"")</f>
        <v/>
      </c>
      <c r="N107" s="6"/>
      <c r="O107" s="9" t="str">
        <f>IF(CC107="","",CC107&amp;"-"&amp;TEXT(COUNTIF($CA$72:$CA$95,CC107)+COUNTIF($CB$72:$CB$95,CC107)+COUNTIF($CC$72:$CC$95,CC107)+COUNTIF($CD$72:$CD$95,CC107)+COUNTIF($CA$100:$CA$123,CC107)+COUNTIF($CB$100:$CB$123,CC107)+COUNTIF($CC$100:CC107,CC107),"000"))</f>
        <v/>
      </c>
      <c r="P107" s="9" t="str">
        <f>IF(AND($BN$19&lt;&gt;"",($BM$19+8)&lt;=$BO$19),$BN$19,"")</f>
        <v/>
      </c>
      <c r="Q107" s="9" t="str">
        <f>IF(AND($BN$19&lt;&gt;"",($BM$19+8)&lt;=$BO$19),TEXT(($BM$19+8),"00"),"")</f>
        <v/>
      </c>
      <c r="R107" s="9" t="str">
        <f>IF(AND($BN$19&lt;&gt;"",($BM$19+8)&lt;=$BO$19),$BN$19&amp;"-"&amp;TEXT(($BM$19+8),"00"),"")</f>
        <v/>
      </c>
      <c r="T107" s="6"/>
      <c r="U107" s="9" t="str">
        <f>IF(CD107="","",CD107&amp;"-"&amp;TEXT(COUNTIF($CA$72:$CA$95,CD107)+COUNTIF($CB$72:$CB$95,CD107)+COUNTIF($CC$72:$CC$95,CD107)+COUNTIF($CD$72:$CD$95,CD107)+COUNTIF($CA$100:$CA$123,CD107)+COUNTIF($CB$100:$CB$123,CD107)+COUNTIF($CC$100:$CC$123,CD107)+COUNTIF($CD$100:CD107,CD107),"000"))</f>
        <v/>
      </c>
      <c r="V107" s="9" t="str">
        <f>IF(AND($BN$20&lt;&gt;"",($BM$20+8)&lt;=$BO$20),$BN$20,"")</f>
        <v/>
      </c>
      <c r="W107" s="9" t="str">
        <f>IF(AND($BN$20&lt;&gt;"",($BM$20+8)&lt;=$BO$20),TEXT(($BM$20+8),"00"),"")</f>
        <v/>
      </c>
      <c r="X107" s="9" t="str">
        <f>IF(AND($BN$20&lt;&gt;"",($BM$20+8)&lt;=$BO$20),$BN$20&amp;"-"&amp;TEXT(($BM$20+8),"00"),"")</f>
        <v/>
      </c>
      <c r="BA107">
        <f>IF(OR(Catalogo!$C107="",Catalogo!$B107="Espacio libre",Catalogo!$B107="Espacio reservado"),0,COUNTIF($C$13:$C$42,Catalogo!$C107)+IF($E$7=Catalogo!$C107,N($K$7),0)+IF($E$8=Catalogo!$C107,N($N$8),0)+IF(Proyecto!$D$12=Catalogo!$C107,$AQ$4,0)+SUMIF($C$49:$C$58,Catalogo!$C107,$K$49:$K$58))</f>
        <v>0</v>
      </c>
      <c r="CA107" t="str" cm="1">
        <f t="array" ref="CA107">IF(NOT(AND($BN$17&lt;&gt;"",($BM$17+8)&lt;=$BO$17)),"",IF(B107&lt;&gt;"",IF(B107="-","",B107),IF(ISNUMBER(SEARCH(":",$BP$17)),IFERROR(_xlfn.LET(_xlpm.s,_xlfn.TEXTSPLIT($BP$17,","),_xlpm.k,FIND(":",_xlpm.s),INDEX(TRIM(LEFT(_xlpm.s,_xlpm.k-1)),_xlfn.XMATCH(($BM$17+8),_xlfn.SCAN(0,--MID(_xlpm.s,_xlpm.k+1,9),_xlfn.LAMBDA(_xlpm.a,_xlpm.v,_xlpm.a+_xlpm.v)),1))),""),IF(($BM$17+8)&lt;=$BQ$17,$BP$17,""))))</f>
        <v/>
      </c>
      <c r="CB107" t="str" cm="1">
        <f t="array" ref="CB107">IF(NOT(AND($BN$18&lt;&gt;"",($BM$18+8)&lt;=$BO$18)),"",IF(H107&lt;&gt;"",IF(H107="-","",H107),IF(ISNUMBER(SEARCH(":",$BP$18)),IFERROR(_xlfn.LET(_xlpm.s,_xlfn.TEXTSPLIT($BP$18,","),_xlpm.k,FIND(":",_xlpm.s),INDEX(TRIM(LEFT(_xlpm.s,_xlpm.k-1)),_xlfn.XMATCH(($BM$18+8),_xlfn.SCAN(0,--MID(_xlpm.s,_xlpm.k+1,9),_xlfn.LAMBDA(_xlpm.a,_xlpm.v,_xlpm.a+_xlpm.v)),1))),""),IF(($BM$18+8)&lt;=$BQ$18,$BP$18,""))))</f>
        <v/>
      </c>
      <c r="CC107" t="str" cm="1">
        <f t="array" ref="CC107">IF(NOT(AND($BN$19&lt;&gt;"",($BM$19+8)&lt;=$BO$19)),"",IF(N107&lt;&gt;"",IF(N107="-","",N107),IF(ISNUMBER(SEARCH(":",$BP$19)),IFERROR(_xlfn.LET(_xlpm.s,_xlfn.TEXTSPLIT($BP$19,","),_xlpm.k,FIND(":",_xlpm.s),INDEX(TRIM(LEFT(_xlpm.s,_xlpm.k-1)),_xlfn.XMATCH(($BM$19+8),_xlfn.SCAN(0,--MID(_xlpm.s,_xlpm.k+1,9),_xlfn.LAMBDA(_xlpm.a,_xlpm.v,_xlpm.a+_xlpm.v)),1))),""),IF(($BM$19+8)&lt;=$BQ$19,$BP$19,""))))</f>
        <v/>
      </c>
      <c r="CD107" t="str" cm="1">
        <f t="array" ref="CD107">IF(NOT(AND($BN$20&lt;&gt;"",($BM$20+8)&lt;=$BO$20)),"",IF(T107&lt;&gt;"",IF(T107="-","",T107),IF(ISNUMBER(SEARCH(":",$BP$20)),IFERROR(_xlfn.LET(_xlpm.s,_xlfn.TEXTSPLIT($BP$20,","),_xlpm.k,FIND(":",_xlpm.s),INDEX(TRIM(LEFT(_xlpm.s,_xlpm.k-1)),_xlfn.XMATCH(($BM$20+8),_xlfn.SCAN(0,--MID(_xlpm.s,_xlpm.k+1,9),_xlfn.LAMBDA(_xlpm.a,_xlpm.v,_xlpm.a+_xlpm.v)),1))),""),IF(($BM$20+8)&lt;=$BQ$20,$BP$20,""))))</f>
        <v/>
      </c>
    </row>
    <row r="108" spans="2:82" x14ac:dyDescent="0.45">
      <c r="B108" s="6"/>
      <c r="C108" s="9" t="str">
        <f>IF(CA108="","",CA108&amp;"-"&amp;TEXT(COUNTIF($CA$72:$CA$95,CA108)+COUNTIF($CB$72:$CB$95,CA108)+COUNTIF($CC$72:$CC$95,CA108)+COUNTIF($CD$72:$CD$95,CA108)+COUNTIF($CA$100:CA108,CA108),"000"))</f>
        <v/>
      </c>
      <c r="D108" s="9" t="str">
        <f>IF(AND($BN$17&lt;&gt;"",($BM$17+9)&lt;=$BO$17),$BN$17,"")</f>
        <v/>
      </c>
      <c r="E108" s="9" t="str">
        <f>IF(AND($BN$17&lt;&gt;"",($BM$17+9)&lt;=$BO$17),TEXT(($BM$17+9),"00"),"")</f>
        <v/>
      </c>
      <c r="F108" s="9" t="str">
        <f>IF(AND($BN$17&lt;&gt;"",($BM$17+9)&lt;=$BO$17),$BN$17&amp;"-"&amp;TEXT(($BM$17+9),"00"),"")</f>
        <v/>
      </c>
      <c r="H108" s="6"/>
      <c r="I108" s="9" t="str">
        <f>IF(CB108="","",CB108&amp;"-"&amp;TEXT(COUNTIF($CA$72:$CA$95,CB108)+COUNTIF($CB$72:$CB$95,CB108)+COUNTIF($CC$72:$CC$95,CB108)+COUNTIF($CD$72:$CD$95,CB108)+COUNTIF($CA$100:$CA$123,CB108)+COUNTIF($CB$100:CB108,CB108),"000"))</f>
        <v/>
      </c>
      <c r="J108" s="9" t="str">
        <f>IF(AND($BN$18&lt;&gt;"",($BM$18+9)&lt;=$BO$18),$BN$18,"")</f>
        <v/>
      </c>
      <c r="K108" s="9" t="str">
        <f>IF(AND($BN$18&lt;&gt;"",($BM$18+9)&lt;=$BO$18),TEXT(($BM$18+9),"00"),"")</f>
        <v/>
      </c>
      <c r="L108" s="9" t="str">
        <f>IF(AND($BN$18&lt;&gt;"",($BM$18+9)&lt;=$BO$18),$BN$18&amp;"-"&amp;TEXT(($BM$18+9),"00"),"")</f>
        <v/>
      </c>
      <c r="N108" s="6"/>
      <c r="O108" s="9" t="str">
        <f>IF(CC108="","",CC108&amp;"-"&amp;TEXT(COUNTIF($CA$72:$CA$95,CC108)+COUNTIF($CB$72:$CB$95,CC108)+COUNTIF($CC$72:$CC$95,CC108)+COUNTIF($CD$72:$CD$95,CC108)+COUNTIF($CA$100:$CA$123,CC108)+COUNTIF($CB$100:$CB$123,CC108)+COUNTIF($CC$100:CC108,CC108),"000"))</f>
        <v/>
      </c>
      <c r="P108" s="9" t="str">
        <f>IF(AND($BN$19&lt;&gt;"",($BM$19+9)&lt;=$BO$19),$BN$19,"")</f>
        <v/>
      </c>
      <c r="Q108" s="9" t="str">
        <f>IF(AND($BN$19&lt;&gt;"",($BM$19+9)&lt;=$BO$19),TEXT(($BM$19+9),"00"),"")</f>
        <v/>
      </c>
      <c r="R108" s="9" t="str">
        <f>IF(AND($BN$19&lt;&gt;"",($BM$19+9)&lt;=$BO$19),$BN$19&amp;"-"&amp;TEXT(($BM$19+9),"00"),"")</f>
        <v/>
      </c>
      <c r="T108" s="6"/>
      <c r="U108" s="9" t="str">
        <f>IF(CD108="","",CD108&amp;"-"&amp;TEXT(COUNTIF($CA$72:$CA$95,CD108)+COUNTIF($CB$72:$CB$95,CD108)+COUNTIF($CC$72:$CC$95,CD108)+COUNTIF($CD$72:$CD$95,CD108)+COUNTIF($CA$100:$CA$123,CD108)+COUNTIF($CB$100:$CB$123,CD108)+COUNTIF($CC$100:$CC$123,CD108)+COUNTIF($CD$100:CD108,CD108),"000"))</f>
        <v/>
      </c>
      <c r="V108" s="9" t="str">
        <f>IF(AND($BN$20&lt;&gt;"",($BM$20+9)&lt;=$BO$20),$BN$20,"")</f>
        <v/>
      </c>
      <c r="W108" s="9" t="str">
        <f>IF(AND($BN$20&lt;&gt;"",($BM$20+9)&lt;=$BO$20),TEXT(($BM$20+9),"00"),"")</f>
        <v/>
      </c>
      <c r="X108" s="9" t="str">
        <f>IF(AND($BN$20&lt;&gt;"",($BM$20+9)&lt;=$BO$20),$BN$20&amp;"-"&amp;TEXT(($BM$20+9),"00"),"")</f>
        <v/>
      </c>
      <c r="BA108">
        <f>IF(OR(Catalogo!$C108="",Catalogo!$B108="Espacio libre",Catalogo!$B108="Espacio reservado"),0,COUNTIF($C$13:$C$42,Catalogo!$C108)+IF($E$7=Catalogo!$C108,N($K$7),0)+IF($E$8=Catalogo!$C108,N($N$8),0)+IF(Proyecto!$D$12=Catalogo!$C108,$AQ$4,0)+SUMIF($C$49:$C$58,Catalogo!$C108,$K$49:$K$58))</f>
        <v>0</v>
      </c>
      <c r="CA108" t="str" cm="1">
        <f t="array" ref="CA108">IF(NOT(AND($BN$17&lt;&gt;"",($BM$17+9)&lt;=$BO$17)),"",IF(B108&lt;&gt;"",IF(B108="-","",B108),IF(ISNUMBER(SEARCH(":",$BP$17)),IFERROR(_xlfn.LET(_xlpm.s,_xlfn.TEXTSPLIT($BP$17,","),_xlpm.k,FIND(":",_xlpm.s),INDEX(TRIM(LEFT(_xlpm.s,_xlpm.k-1)),_xlfn.XMATCH(($BM$17+9),_xlfn.SCAN(0,--MID(_xlpm.s,_xlpm.k+1,9),_xlfn.LAMBDA(_xlpm.a,_xlpm.v,_xlpm.a+_xlpm.v)),1))),""),IF(($BM$17+9)&lt;=$BQ$17,$BP$17,""))))</f>
        <v/>
      </c>
      <c r="CB108" t="str" cm="1">
        <f t="array" ref="CB108">IF(NOT(AND($BN$18&lt;&gt;"",($BM$18+9)&lt;=$BO$18)),"",IF(H108&lt;&gt;"",IF(H108="-","",H108),IF(ISNUMBER(SEARCH(":",$BP$18)),IFERROR(_xlfn.LET(_xlpm.s,_xlfn.TEXTSPLIT($BP$18,","),_xlpm.k,FIND(":",_xlpm.s),INDEX(TRIM(LEFT(_xlpm.s,_xlpm.k-1)),_xlfn.XMATCH(($BM$18+9),_xlfn.SCAN(0,--MID(_xlpm.s,_xlpm.k+1,9),_xlfn.LAMBDA(_xlpm.a,_xlpm.v,_xlpm.a+_xlpm.v)),1))),""),IF(($BM$18+9)&lt;=$BQ$18,$BP$18,""))))</f>
        <v/>
      </c>
      <c r="CC108" t="str" cm="1">
        <f t="array" ref="CC108">IF(NOT(AND($BN$19&lt;&gt;"",($BM$19+9)&lt;=$BO$19)),"",IF(N108&lt;&gt;"",IF(N108="-","",N108),IF(ISNUMBER(SEARCH(":",$BP$19)),IFERROR(_xlfn.LET(_xlpm.s,_xlfn.TEXTSPLIT($BP$19,","),_xlpm.k,FIND(":",_xlpm.s),INDEX(TRIM(LEFT(_xlpm.s,_xlpm.k-1)),_xlfn.XMATCH(($BM$19+9),_xlfn.SCAN(0,--MID(_xlpm.s,_xlpm.k+1,9),_xlfn.LAMBDA(_xlpm.a,_xlpm.v,_xlpm.a+_xlpm.v)),1))),""),IF(($BM$19+9)&lt;=$BQ$19,$BP$19,""))))</f>
        <v/>
      </c>
      <c r="CD108" t="str" cm="1">
        <f t="array" ref="CD108">IF(NOT(AND($BN$20&lt;&gt;"",($BM$20+9)&lt;=$BO$20)),"",IF(T108&lt;&gt;"",IF(T108="-","",T108),IF(ISNUMBER(SEARCH(":",$BP$20)),IFERROR(_xlfn.LET(_xlpm.s,_xlfn.TEXTSPLIT($BP$20,","),_xlpm.k,FIND(":",_xlpm.s),INDEX(TRIM(LEFT(_xlpm.s,_xlpm.k-1)),_xlfn.XMATCH(($BM$20+9),_xlfn.SCAN(0,--MID(_xlpm.s,_xlpm.k+1,9),_xlfn.LAMBDA(_xlpm.a,_xlpm.v,_xlpm.a+_xlpm.v)),1))),""),IF(($BM$20+9)&lt;=$BQ$20,$BP$20,""))))</f>
        <v/>
      </c>
    </row>
    <row r="109" spans="2:82" x14ac:dyDescent="0.45">
      <c r="B109" s="6"/>
      <c r="C109" s="9" t="str">
        <f>IF(CA109="","",CA109&amp;"-"&amp;TEXT(COUNTIF($CA$72:$CA$95,CA109)+COUNTIF($CB$72:$CB$95,CA109)+COUNTIF($CC$72:$CC$95,CA109)+COUNTIF($CD$72:$CD$95,CA109)+COUNTIF($CA$100:CA109,CA109),"000"))</f>
        <v/>
      </c>
      <c r="D109" s="9" t="str">
        <f>IF(AND($BN$17&lt;&gt;"",($BM$17+10)&lt;=$BO$17),$BN$17,"")</f>
        <v/>
      </c>
      <c r="E109" s="9" t="str">
        <f>IF(AND($BN$17&lt;&gt;"",($BM$17+10)&lt;=$BO$17),TEXT(($BM$17+10),"00"),"")</f>
        <v/>
      </c>
      <c r="F109" s="9" t="str">
        <f>IF(AND($BN$17&lt;&gt;"",($BM$17+10)&lt;=$BO$17),$BN$17&amp;"-"&amp;TEXT(($BM$17+10),"00"),"")</f>
        <v/>
      </c>
      <c r="H109" s="6"/>
      <c r="I109" s="9" t="str">
        <f>IF(CB109="","",CB109&amp;"-"&amp;TEXT(COUNTIF($CA$72:$CA$95,CB109)+COUNTIF($CB$72:$CB$95,CB109)+COUNTIF($CC$72:$CC$95,CB109)+COUNTIF($CD$72:$CD$95,CB109)+COUNTIF($CA$100:$CA$123,CB109)+COUNTIF($CB$100:CB109,CB109),"000"))</f>
        <v/>
      </c>
      <c r="J109" s="9" t="str">
        <f>IF(AND($BN$18&lt;&gt;"",($BM$18+10)&lt;=$BO$18),$BN$18,"")</f>
        <v/>
      </c>
      <c r="K109" s="9" t="str">
        <f>IF(AND($BN$18&lt;&gt;"",($BM$18+10)&lt;=$BO$18),TEXT(($BM$18+10),"00"),"")</f>
        <v/>
      </c>
      <c r="L109" s="9" t="str">
        <f>IF(AND($BN$18&lt;&gt;"",($BM$18+10)&lt;=$BO$18),$BN$18&amp;"-"&amp;TEXT(($BM$18+10),"00"),"")</f>
        <v/>
      </c>
      <c r="N109" s="6"/>
      <c r="O109" s="9" t="str">
        <f>IF(CC109="","",CC109&amp;"-"&amp;TEXT(COUNTIF($CA$72:$CA$95,CC109)+COUNTIF($CB$72:$CB$95,CC109)+COUNTIF($CC$72:$CC$95,CC109)+COUNTIF($CD$72:$CD$95,CC109)+COUNTIF($CA$100:$CA$123,CC109)+COUNTIF($CB$100:$CB$123,CC109)+COUNTIF($CC$100:CC109,CC109),"000"))</f>
        <v/>
      </c>
      <c r="P109" s="9" t="str">
        <f>IF(AND($BN$19&lt;&gt;"",($BM$19+10)&lt;=$BO$19),$BN$19,"")</f>
        <v/>
      </c>
      <c r="Q109" s="9" t="str">
        <f>IF(AND($BN$19&lt;&gt;"",($BM$19+10)&lt;=$BO$19),TEXT(($BM$19+10),"00"),"")</f>
        <v/>
      </c>
      <c r="R109" s="9" t="str">
        <f>IF(AND($BN$19&lt;&gt;"",($BM$19+10)&lt;=$BO$19),$BN$19&amp;"-"&amp;TEXT(($BM$19+10),"00"),"")</f>
        <v/>
      </c>
      <c r="T109" s="6"/>
      <c r="U109" s="9" t="str">
        <f>IF(CD109="","",CD109&amp;"-"&amp;TEXT(COUNTIF($CA$72:$CA$95,CD109)+COUNTIF($CB$72:$CB$95,CD109)+COUNTIF($CC$72:$CC$95,CD109)+COUNTIF($CD$72:$CD$95,CD109)+COUNTIF($CA$100:$CA$123,CD109)+COUNTIF($CB$100:$CB$123,CD109)+COUNTIF($CC$100:$CC$123,CD109)+COUNTIF($CD$100:CD109,CD109),"000"))</f>
        <v/>
      </c>
      <c r="V109" s="9" t="str">
        <f>IF(AND($BN$20&lt;&gt;"",($BM$20+10)&lt;=$BO$20),$BN$20,"")</f>
        <v/>
      </c>
      <c r="W109" s="9" t="str">
        <f>IF(AND($BN$20&lt;&gt;"",($BM$20+10)&lt;=$BO$20),TEXT(($BM$20+10),"00"),"")</f>
        <v/>
      </c>
      <c r="X109" s="9" t="str">
        <f>IF(AND($BN$20&lt;&gt;"",($BM$20+10)&lt;=$BO$20),$BN$20&amp;"-"&amp;TEXT(($BM$20+10),"00"),"")</f>
        <v/>
      </c>
      <c r="BA109">
        <f>IF(OR(Catalogo!$C109="",Catalogo!$B109="Espacio libre",Catalogo!$B109="Espacio reservado"),0,COUNTIF($C$13:$C$42,Catalogo!$C109)+IF($E$7=Catalogo!$C109,N($K$7),0)+IF($E$8=Catalogo!$C109,N($N$8),0)+IF(Proyecto!$D$12=Catalogo!$C109,$AQ$4,0)+SUMIF($C$49:$C$58,Catalogo!$C109,$K$49:$K$58))</f>
        <v>0</v>
      </c>
      <c r="CA109" t="str" cm="1">
        <f t="array" ref="CA109">IF(NOT(AND($BN$17&lt;&gt;"",($BM$17+10)&lt;=$BO$17)),"",IF(B109&lt;&gt;"",IF(B109="-","",B109),IF(ISNUMBER(SEARCH(":",$BP$17)),IFERROR(_xlfn.LET(_xlpm.s,_xlfn.TEXTSPLIT($BP$17,","),_xlpm.k,FIND(":",_xlpm.s),INDEX(TRIM(LEFT(_xlpm.s,_xlpm.k-1)),_xlfn.XMATCH(($BM$17+10),_xlfn.SCAN(0,--MID(_xlpm.s,_xlpm.k+1,9),_xlfn.LAMBDA(_xlpm.a,_xlpm.v,_xlpm.a+_xlpm.v)),1))),""),IF(($BM$17+10)&lt;=$BQ$17,$BP$17,""))))</f>
        <v/>
      </c>
      <c r="CB109" t="str" cm="1">
        <f t="array" ref="CB109">IF(NOT(AND($BN$18&lt;&gt;"",($BM$18+10)&lt;=$BO$18)),"",IF(H109&lt;&gt;"",IF(H109="-","",H109),IF(ISNUMBER(SEARCH(":",$BP$18)),IFERROR(_xlfn.LET(_xlpm.s,_xlfn.TEXTSPLIT($BP$18,","),_xlpm.k,FIND(":",_xlpm.s),INDEX(TRIM(LEFT(_xlpm.s,_xlpm.k-1)),_xlfn.XMATCH(($BM$18+10),_xlfn.SCAN(0,--MID(_xlpm.s,_xlpm.k+1,9),_xlfn.LAMBDA(_xlpm.a,_xlpm.v,_xlpm.a+_xlpm.v)),1))),""),IF(($BM$18+10)&lt;=$BQ$18,$BP$18,""))))</f>
        <v/>
      </c>
      <c r="CC109" t="str" cm="1">
        <f t="array" ref="CC109">IF(NOT(AND($BN$19&lt;&gt;"",($BM$19+10)&lt;=$BO$19)),"",IF(N109&lt;&gt;"",IF(N109="-","",N109),IF(ISNUMBER(SEARCH(":",$BP$19)),IFERROR(_xlfn.LET(_xlpm.s,_xlfn.TEXTSPLIT($BP$19,","),_xlpm.k,FIND(":",_xlpm.s),INDEX(TRIM(LEFT(_xlpm.s,_xlpm.k-1)),_xlfn.XMATCH(($BM$19+10),_xlfn.SCAN(0,--MID(_xlpm.s,_xlpm.k+1,9),_xlfn.LAMBDA(_xlpm.a,_xlpm.v,_xlpm.a+_xlpm.v)),1))),""),IF(($BM$19+10)&lt;=$BQ$19,$BP$19,""))))</f>
        <v/>
      </c>
      <c r="CD109" t="str" cm="1">
        <f t="array" ref="CD109">IF(NOT(AND($BN$20&lt;&gt;"",($BM$20+10)&lt;=$BO$20)),"",IF(T109&lt;&gt;"",IF(T109="-","",T109),IF(ISNUMBER(SEARCH(":",$BP$20)),IFERROR(_xlfn.LET(_xlpm.s,_xlfn.TEXTSPLIT($BP$20,","),_xlpm.k,FIND(":",_xlpm.s),INDEX(TRIM(LEFT(_xlpm.s,_xlpm.k-1)),_xlfn.XMATCH(($BM$20+10),_xlfn.SCAN(0,--MID(_xlpm.s,_xlpm.k+1,9),_xlfn.LAMBDA(_xlpm.a,_xlpm.v,_xlpm.a+_xlpm.v)),1))),""),IF(($BM$20+10)&lt;=$BQ$20,$BP$20,""))))</f>
        <v/>
      </c>
    </row>
    <row r="110" spans="2:82" x14ac:dyDescent="0.45">
      <c r="B110" s="6"/>
      <c r="C110" s="9" t="str">
        <f>IF(CA110="","",CA110&amp;"-"&amp;TEXT(COUNTIF($CA$72:$CA$95,CA110)+COUNTIF($CB$72:$CB$95,CA110)+COUNTIF($CC$72:$CC$95,CA110)+COUNTIF($CD$72:$CD$95,CA110)+COUNTIF($CA$100:CA110,CA110),"000"))</f>
        <v/>
      </c>
      <c r="D110" s="9" t="str">
        <f>IF(AND($BN$17&lt;&gt;"",($BM$17+11)&lt;=$BO$17),$BN$17,"")</f>
        <v/>
      </c>
      <c r="E110" s="9" t="str">
        <f>IF(AND($BN$17&lt;&gt;"",($BM$17+11)&lt;=$BO$17),TEXT(($BM$17+11),"00"),"")</f>
        <v/>
      </c>
      <c r="F110" s="9" t="str">
        <f>IF(AND($BN$17&lt;&gt;"",($BM$17+11)&lt;=$BO$17),$BN$17&amp;"-"&amp;TEXT(($BM$17+11),"00"),"")</f>
        <v/>
      </c>
      <c r="H110" s="6"/>
      <c r="I110" s="9" t="str">
        <f>IF(CB110="","",CB110&amp;"-"&amp;TEXT(COUNTIF($CA$72:$CA$95,CB110)+COUNTIF($CB$72:$CB$95,CB110)+COUNTIF($CC$72:$CC$95,CB110)+COUNTIF($CD$72:$CD$95,CB110)+COUNTIF($CA$100:$CA$123,CB110)+COUNTIF($CB$100:CB110,CB110),"000"))</f>
        <v/>
      </c>
      <c r="J110" s="9" t="str">
        <f>IF(AND($BN$18&lt;&gt;"",($BM$18+11)&lt;=$BO$18),$BN$18,"")</f>
        <v/>
      </c>
      <c r="K110" s="9" t="str">
        <f>IF(AND($BN$18&lt;&gt;"",($BM$18+11)&lt;=$BO$18),TEXT(($BM$18+11),"00"),"")</f>
        <v/>
      </c>
      <c r="L110" s="9" t="str">
        <f>IF(AND($BN$18&lt;&gt;"",($BM$18+11)&lt;=$BO$18),$BN$18&amp;"-"&amp;TEXT(($BM$18+11),"00"),"")</f>
        <v/>
      </c>
      <c r="N110" s="6"/>
      <c r="O110" s="9" t="str">
        <f>IF(CC110="","",CC110&amp;"-"&amp;TEXT(COUNTIF($CA$72:$CA$95,CC110)+COUNTIF($CB$72:$CB$95,CC110)+COUNTIF($CC$72:$CC$95,CC110)+COUNTIF($CD$72:$CD$95,CC110)+COUNTIF($CA$100:$CA$123,CC110)+COUNTIF($CB$100:$CB$123,CC110)+COUNTIF($CC$100:CC110,CC110),"000"))</f>
        <v/>
      </c>
      <c r="P110" s="9" t="str">
        <f>IF(AND($BN$19&lt;&gt;"",($BM$19+11)&lt;=$BO$19),$BN$19,"")</f>
        <v/>
      </c>
      <c r="Q110" s="9" t="str">
        <f>IF(AND($BN$19&lt;&gt;"",($BM$19+11)&lt;=$BO$19),TEXT(($BM$19+11),"00"),"")</f>
        <v/>
      </c>
      <c r="R110" s="9" t="str">
        <f>IF(AND($BN$19&lt;&gt;"",($BM$19+11)&lt;=$BO$19),$BN$19&amp;"-"&amp;TEXT(($BM$19+11),"00"),"")</f>
        <v/>
      </c>
      <c r="T110" s="6"/>
      <c r="U110" s="9" t="str">
        <f>IF(CD110="","",CD110&amp;"-"&amp;TEXT(COUNTIF($CA$72:$CA$95,CD110)+COUNTIF($CB$72:$CB$95,CD110)+COUNTIF($CC$72:$CC$95,CD110)+COUNTIF($CD$72:$CD$95,CD110)+COUNTIF($CA$100:$CA$123,CD110)+COUNTIF($CB$100:$CB$123,CD110)+COUNTIF($CC$100:$CC$123,CD110)+COUNTIF($CD$100:CD110,CD110),"000"))</f>
        <v/>
      </c>
      <c r="V110" s="9" t="str">
        <f>IF(AND($BN$20&lt;&gt;"",($BM$20+11)&lt;=$BO$20),$BN$20,"")</f>
        <v/>
      </c>
      <c r="W110" s="9" t="str">
        <f>IF(AND($BN$20&lt;&gt;"",($BM$20+11)&lt;=$BO$20),TEXT(($BM$20+11),"00"),"")</f>
        <v/>
      </c>
      <c r="X110" s="9" t="str">
        <f>IF(AND($BN$20&lt;&gt;"",($BM$20+11)&lt;=$BO$20),$BN$20&amp;"-"&amp;TEXT(($BM$20+11),"00"),"")</f>
        <v/>
      </c>
      <c r="BA110">
        <f>IF(OR(Catalogo!$C110="",Catalogo!$B110="Espacio libre",Catalogo!$B110="Espacio reservado"),0,COUNTIF($C$13:$C$42,Catalogo!$C110)+IF($E$7=Catalogo!$C110,N($K$7),0)+IF($E$8=Catalogo!$C110,N($N$8),0)+IF(Proyecto!$D$12=Catalogo!$C110,$AQ$4,0)+SUMIF($C$49:$C$58,Catalogo!$C110,$K$49:$K$58))</f>
        <v>0</v>
      </c>
      <c r="CA110" t="str" cm="1">
        <f t="array" ref="CA110">IF(NOT(AND($BN$17&lt;&gt;"",($BM$17+11)&lt;=$BO$17)),"",IF(B110&lt;&gt;"",IF(B110="-","",B110),IF(ISNUMBER(SEARCH(":",$BP$17)),IFERROR(_xlfn.LET(_xlpm.s,_xlfn.TEXTSPLIT($BP$17,","),_xlpm.k,FIND(":",_xlpm.s),INDEX(TRIM(LEFT(_xlpm.s,_xlpm.k-1)),_xlfn.XMATCH(($BM$17+11),_xlfn.SCAN(0,--MID(_xlpm.s,_xlpm.k+1,9),_xlfn.LAMBDA(_xlpm.a,_xlpm.v,_xlpm.a+_xlpm.v)),1))),""),IF(($BM$17+11)&lt;=$BQ$17,$BP$17,""))))</f>
        <v/>
      </c>
      <c r="CB110" t="str" cm="1">
        <f t="array" ref="CB110">IF(NOT(AND($BN$18&lt;&gt;"",($BM$18+11)&lt;=$BO$18)),"",IF(H110&lt;&gt;"",IF(H110="-","",H110),IF(ISNUMBER(SEARCH(":",$BP$18)),IFERROR(_xlfn.LET(_xlpm.s,_xlfn.TEXTSPLIT($BP$18,","),_xlpm.k,FIND(":",_xlpm.s),INDEX(TRIM(LEFT(_xlpm.s,_xlpm.k-1)),_xlfn.XMATCH(($BM$18+11),_xlfn.SCAN(0,--MID(_xlpm.s,_xlpm.k+1,9),_xlfn.LAMBDA(_xlpm.a,_xlpm.v,_xlpm.a+_xlpm.v)),1))),""),IF(($BM$18+11)&lt;=$BQ$18,$BP$18,""))))</f>
        <v/>
      </c>
      <c r="CC110" t="str" cm="1">
        <f t="array" ref="CC110">IF(NOT(AND($BN$19&lt;&gt;"",($BM$19+11)&lt;=$BO$19)),"",IF(N110&lt;&gt;"",IF(N110="-","",N110),IF(ISNUMBER(SEARCH(":",$BP$19)),IFERROR(_xlfn.LET(_xlpm.s,_xlfn.TEXTSPLIT($BP$19,","),_xlpm.k,FIND(":",_xlpm.s),INDEX(TRIM(LEFT(_xlpm.s,_xlpm.k-1)),_xlfn.XMATCH(($BM$19+11),_xlfn.SCAN(0,--MID(_xlpm.s,_xlpm.k+1,9),_xlfn.LAMBDA(_xlpm.a,_xlpm.v,_xlpm.a+_xlpm.v)),1))),""),IF(($BM$19+11)&lt;=$BQ$19,$BP$19,""))))</f>
        <v/>
      </c>
      <c r="CD110" t="str" cm="1">
        <f t="array" ref="CD110">IF(NOT(AND($BN$20&lt;&gt;"",($BM$20+11)&lt;=$BO$20)),"",IF(T110&lt;&gt;"",IF(T110="-","",T110),IF(ISNUMBER(SEARCH(":",$BP$20)),IFERROR(_xlfn.LET(_xlpm.s,_xlfn.TEXTSPLIT($BP$20,","),_xlpm.k,FIND(":",_xlpm.s),INDEX(TRIM(LEFT(_xlpm.s,_xlpm.k-1)),_xlfn.XMATCH(($BM$20+11),_xlfn.SCAN(0,--MID(_xlpm.s,_xlpm.k+1,9),_xlfn.LAMBDA(_xlpm.a,_xlpm.v,_xlpm.a+_xlpm.v)),1))),""),IF(($BM$20+11)&lt;=$BQ$20,$BP$20,""))))</f>
        <v/>
      </c>
    </row>
    <row r="111" spans="2:82" x14ac:dyDescent="0.45">
      <c r="B111" s="6"/>
      <c r="C111" s="9" t="str">
        <f>IF(CA111="","",CA111&amp;"-"&amp;TEXT(COUNTIF($CA$72:$CA$95,CA111)+COUNTIF($CB$72:$CB$95,CA111)+COUNTIF($CC$72:$CC$95,CA111)+COUNTIF($CD$72:$CD$95,CA111)+COUNTIF($CA$100:CA111,CA111),"000"))</f>
        <v/>
      </c>
      <c r="D111" s="9" t="str">
        <f>IF(AND($BN$17&lt;&gt;"",($BM$17+12)&lt;=$BO$17),$BN$17,"")</f>
        <v/>
      </c>
      <c r="E111" s="9" t="str">
        <f>IF(AND($BN$17&lt;&gt;"",($BM$17+12)&lt;=$BO$17),TEXT(($BM$17+12),"00"),"")</f>
        <v/>
      </c>
      <c r="F111" s="9" t="str">
        <f>IF(AND($BN$17&lt;&gt;"",($BM$17+12)&lt;=$BO$17),$BN$17&amp;"-"&amp;TEXT(($BM$17+12),"00"),"")</f>
        <v/>
      </c>
      <c r="H111" s="6"/>
      <c r="I111" s="9" t="str">
        <f>IF(CB111="","",CB111&amp;"-"&amp;TEXT(COUNTIF($CA$72:$CA$95,CB111)+COUNTIF($CB$72:$CB$95,CB111)+COUNTIF($CC$72:$CC$95,CB111)+COUNTIF($CD$72:$CD$95,CB111)+COUNTIF($CA$100:$CA$123,CB111)+COUNTIF($CB$100:CB111,CB111),"000"))</f>
        <v/>
      </c>
      <c r="J111" s="9" t="str">
        <f>IF(AND($BN$18&lt;&gt;"",($BM$18+12)&lt;=$BO$18),$BN$18,"")</f>
        <v/>
      </c>
      <c r="K111" s="9" t="str">
        <f>IF(AND($BN$18&lt;&gt;"",($BM$18+12)&lt;=$BO$18),TEXT(($BM$18+12),"00"),"")</f>
        <v/>
      </c>
      <c r="L111" s="9" t="str">
        <f>IF(AND($BN$18&lt;&gt;"",($BM$18+12)&lt;=$BO$18),$BN$18&amp;"-"&amp;TEXT(($BM$18+12),"00"),"")</f>
        <v/>
      </c>
      <c r="N111" s="6"/>
      <c r="O111" s="9" t="str">
        <f>IF(CC111="","",CC111&amp;"-"&amp;TEXT(COUNTIF($CA$72:$CA$95,CC111)+COUNTIF($CB$72:$CB$95,CC111)+COUNTIF($CC$72:$CC$95,CC111)+COUNTIF($CD$72:$CD$95,CC111)+COUNTIF($CA$100:$CA$123,CC111)+COUNTIF($CB$100:$CB$123,CC111)+COUNTIF($CC$100:CC111,CC111),"000"))</f>
        <v/>
      </c>
      <c r="P111" s="9" t="str">
        <f>IF(AND($BN$19&lt;&gt;"",($BM$19+12)&lt;=$BO$19),$BN$19,"")</f>
        <v/>
      </c>
      <c r="Q111" s="9" t="str">
        <f>IF(AND($BN$19&lt;&gt;"",($BM$19+12)&lt;=$BO$19),TEXT(($BM$19+12),"00"),"")</f>
        <v/>
      </c>
      <c r="R111" s="9" t="str">
        <f>IF(AND($BN$19&lt;&gt;"",($BM$19+12)&lt;=$BO$19),$BN$19&amp;"-"&amp;TEXT(($BM$19+12),"00"),"")</f>
        <v/>
      </c>
      <c r="T111" s="6"/>
      <c r="U111" s="9" t="str">
        <f>IF(CD111="","",CD111&amp;"-"&amp;TEXT(COUNTIF($CA$72:$CA$95,CD111)+COUNTIF($CB$72:$CB$95,CD111)+COUNTIF($CC$72:$CC$95,CD111)+COUNTIF($CD$72:$CD$95,CD111)+COUNTIF($CA$100:$CA$123,CD111)+COUNTIF($CB$100:$CB$123,CD111)+COUNTIF($CC$100:$CC$123,CD111)+COUNTIF($CD$100:CD111,CD111),"000"))</f>
        <v/>
      </c>
      <c r="V111" s="9" t="str">
        <f>IF(AND($BN$20&lt;&gt;"",($BM$20+12)&lt;=$BO$20),$BN$20,"")</f>
        <v/>
      </c>
      <c r="W111" s="9" t="str">
        <f>IF(AND($BN$20&lt;&gt;"",($BM$20+12)&lt;=$BO$20),TEXT(($BM$20+12),"00"),"")</f>
        <v/>
      </c>
      <c r="X111" s="9" t="str">
        <f>IF(AND($BN$20&lt;&gt;"",($BM$20+12)&lt;=$BO$20),$BN$20&amp;"-"&amp;TEXT(($BM$20+12),"00"),"")</f>
        <v/>
      </c>
      <c r="BA111">
        <f>IF(OR(Catalogo!$C111="",Catalogo!$B111="Espacio libre",Catalogo!$B111="Espacio reservado"),0,COUNTIF($C$13:$C$42,Catalogo!$C111)+IF($E$7=Catalogo!$C111,N($K$7),0)+IF($E$8=Catalogo!$C111,N($N$8),0)+IF(Proyecto!$D$12=Catalogo!$C111,$AQ$4,0)+SUMIF($C$49:$C$58,Catalogo!$C111,$K$49:$K$58))</f>
        <v>0</v>
      </c>
      <c r="CA111" t="str" cm="1">
        <f t="array" ref="CA111">IF(NOT(AND($BN$17&lt;&gt;"",($BM$17+12)&lt;=$BO$17)),"",IF(B111&lt;&gt;"",IF(B111="-","",B111),IF(ISNUMBER(SEARCH(":",$BP$17)),IFERROR(_xlfn.LET(_xlpm.s,_xlfn.TEXTSPLIT($BP$17,","),_xlpm.k,FIND(":",_xlpm.s),INDEX(TRIM(LEFT(_xlpm.s,_xlpm.k-1)),_xlfn.XMATCH(($BM$17+12),_xlfn.SCAN(0,--MID(_xlpm.s,_xlpm.k+1,9),_xlfn.LAMBDA(_xlpm.a,_xlpm.v,_xlpm.a+_xlpm.v)),1))),""),IF(($BM$17+12)&lt;=$BQ$17,$BP$17,""))))</f>
        <v/>
      </c>
      <c r="CB111" t="str" cm="1">
        <f t="array" ref="CB111">IF(NOT(AND($BN$18&lt;&gt;"",($BM$18+12)&lt;=$BO$18)),"",IF(H111&lt;&gt;"",IF(H111="-","",H111),IF(ISNUMBER(SEARCH(":",$BP$18)),IFERROR(_xlfn.LET(_xlpm.s,_xlfn.TEXTSPLIT($BP$18,","),_xlpm.k,FIND(":",_xlpm.s),INDEX(TRIM(LEFT(_xlpm.s,_xlpm.k-1)),_xlfn.XMATCH(($BM$18+12),_xlfn.SCAN(0,--MID(_xlpm.s,_xlpm.k+1,9),_xlfn.LAMBDA(_xlpm.a,_xlpm.v,_xlpm.a+_xlpm.v)),1))),""),IF(($BM$18+12)&lt;=$BQ$18,$BP$18,""))))</f>
        <v/>
      </c>
      <c r="CC111" t="str" cm="1">
        <f t="array" ref="CC111">IF(NOT(AND($BN$19&lt;&gt;"",($BM$19+12)&lt;=$BO$19)),"",IF(N111&lt;&gt;"",IF(N111="-","",N111),IF(ISNUMBER(SEARCH(":",$BP$19)),IFERROR(_xlfn.LET(_xlpm.s,_xlfn.TEXTSPLIT($BP$19,","),_xlpm.k,FIND(":",_xlpm.s),INDEX(TRIM(LEFT(_xlpm.s,_xlpm.k-1)),_xlfn.XMATCH(($BM$19+12),_xlfn.SCAN(0,--MID(_xlpm.s,_xlpm.k+1,9),_xlfn.LAMBDA(_xlpm.a,_xlpm.v,_xlpm.a+_xlpm.v)),1))),""),IF(($BM$19+12)&lt;=$BQ$19,$BP$19,""))))</f>
        <v/>
      </c>
      <c r="CD111" t="str" cm="1">
        <f t="array" ref="CD111">IF(NOT(AND($BN$20&lt;&gt;"",($BM$20+12)&lt;=$BO$20)),"",IF(T111&lt;&gt;"",IF(T111="-","",T111),IF(ISNUMBER(SEARCH(":",$BP$20)),IFERROR(_xlfn.LET(_xlpm.s,_xlfn.TEXTSPLIT($BP$20,","),_xlpm.k,FIND(":",_xlpm.s),INDEX(TRIM(LEFT(_xlpm.s,_xlpm.k-1)),_xlfn.XMATCH(($BM$20+12),_xlfn.SCAN(0,--MID(_xlpm.s,_xlpm.k+1,9),_xlfn.LAMBDA(_xlpm.a,_xlpm.v,_xlpm.a+_xlpm.v)),1))),""),IF(($BM$20+12)&lt;=$BQ$20,$BP$20,""))))</f>
        <v/>
      </c>
    </row>
    <row r="112" spans="2:82" x14ac:dyDescent="0.45">
      <c r="B112" s="6"/>
      <c r="C112" s="9" t="str">
        <f>IF(CA112="","",CA112&amp;"-"&amp;TEXT(COUNTIF($CA$72:$CA$95,CA112)+COUNTIF($CB$72:$CB$95,CA112)+COUNTIF($CC$72:$CC$95,CA112)+COUNTIF($CD$72:$CD$95,CA112)+COUNTIF($CA$100:CA112,CA112),"000"))</f>
        <v/>
      </c>
      <c r="D112" s="9" t="str">
        <f>IF(AND($BN$17&lt;&gt;"",($BM$17+13)&lt;=$BO$17),$BN$17,"")</f>
        <v/>
      </c>
      <c r="E112" s="9" t="str">
        <f>IF(AND($BN$17&lt;&gt;"",($BM$17+13)&lt;=$BO$17),TEXT(($BM$17+13),"00"),"")</f>
        <v/>
      </c>
      <c r="F112" s="9" t="str">
        <f>IF(AND($BN$17&lt;&gt;"",($BM$17+13)&lt;=$BO$17),$BN$17&amp;"-"&amp;TEXT(($BM$17+13),"00"),"")</f>
        <v/>
      </c>
      <c r="H112" s="6"/>
      <c r="I112" s="9" t="str">
        <f>IF(CB112="","",CB112&amp;"-"&amp;TEXT(COUNTIF($CA$72:$CA$95,CB112)+COUNTIF($CB$72:$CB$95,CB112)+COUNTIF($CC$72:$CC$95,CB112)+COUNTIF($CD$72:$CD$95,CB112)+COUNTIF($CA$100:$CA$123,CB112)+COUNTIF($CB$100:CB112,CB112),"000"))</f>
        <v/>
      </c>
      <c r="J112" s="9" t="str">
        <f>IF(AND($BN$18&lt;&gt;"",($BM$18+13)&lt;=$BO$18),$BN$18,"")</f>
        <v/>
      </c>
      <c r="K112" s="9" t="str">
        <f>IF(AND($BN$18&lt;&gt;"",($BM$18+13)&lt;=$BO$18),TEXT(($BM$18+13),"00"),"")</f>
        <v/>
      </c>
      <c r="L112" s="9" t="str">
        <f>IF(AND($BN$18&lt;&gt;"",($BM$18+13)&lt;=$BO$18),$BN$18&amp;"-"&amp;TEXT(($BM$18+13),"00"),"")</f>
        <v/>
      </c>
      <c r="N112" s="6"/>
      <c r="O112" s="9" t="str">
        <f>IF(CC112="","",CC112&amp;"-"&amp;TEXT(COUNTIF($CA$72:$CA$95,CC112)+COUNTIF($CB$72:$CB$95,CC112)+COUNTIF($CC$72:$CC$95,CC112)+COUNTIF($CD$72:$CD$95,CC112)+COUNTIF($CA$100:$CA$123,CC112)+COUNTIF($CB$100:$CB$123,CC112)+COUNTIF($CC$100:CC112,CC112),"000"))</f>
        <v/>
      </c>
      <c r="P112" s="9" t="str">
        <f>IF(AND($BN$19&lt;&gt;"",($BM$19+13)&lt;=$BO$19),$BN$19,"")</f>
        <v/>
      </c>
      <c r="Q112" s="9" t="str">
        <f>IF(AND($BN$19&lt;&gt;"",($BM$19+13)&lt;=$BO$19),TEXT(($BM$19+13),"00"),"")</f>
        <v/>
      </c>
      <c r="R112" s="9" t="str">
        <f>IF(AND($BN$19&lt;&gt;"",($BM$19+13)&lt;=$BO$19),$BN$19&amp;"-"&amp;TEXT(($BM$19+13),"00"),"")</f>
        <v/>
      </c>
      <c r="T112" s="6"/>
      <c r="U112" s="9" t="str">
        <f>IF(CD112="","",CD112&amp;"-"&amp;TEXT(COUNTIF($CA$72:$CA$95,CD112)+COUNTIF($CB$72:$CB$95,CD112)+COUNTIF($CC$72:$CC$95,CD112)+COUNTIF($CD$72:$CD$95,CD112)+COUNTIF($CA$100:$CA$123,CD112)+COUNTIF($CB$100:$CB$123,CD112)+COUNTIF($CC$100:$CC$123,CD112)+COUNTIF($CD$100:CD112,CD112),"000"))</f>
        <v/>
      </c>
      <c r="V112" s="9" t="str">
        <f>IF(AND($BN$20&lt;&gt;"",($BM$20+13)&lt;=$BO$20),$BN$20,"")</f>
        <v/>
      </c>
      <c r="W112" s="9" t="str">
        <f>IF(AND($BN$20&lt;&gt;"",($BM$20+13)&lt;=$BO$20),TEXT(($BM$20+13),"00"),"")</f>
        <v/>
      </c>
      <c r="X112" s="9" t="str">
        <f>IF(AND($BN$20&lt;&gt;"",($BM$20+13)&lt;=$BO$20),$BN$20&amp;"-"&amp;TEXT(($BM$20+13),"00"),"")</f>
        <v/>
      </c>
      <c r="BA112">
        <f>IF(OR(Catalogo!$C112="",Catalogo!$B112="Espacio libre",Catalogo!$B112="Espacio reservado"),0,COUNTIF($C$13:$C$42,Catalogo!$C112)+IF($E$7=Catalogo!$C112,N($K$7),0)+IF($E$8=Catalogo!$C112,N($N$8),0)+IF(Proyecto!$D$12=Catalogo!$C112,$AQ$4,0)+SUMIF($C$49:$C$58,Catalogo!$C112,$K$49:$K$58))</f>
        <v>2</v>
      </c>
      <c r="CA112" t="str" cm="1">
        <f t="array" ref="CA112">IF(NOT(AND($BN$17&lt;&gt;"",($BM$17+13)&lt;=$BO$17)),"",IF(B112&lt;&gt;"",IF(B112="-","",B112),IF(ISNUMBER(SEARCH(":",$BP$17)),IFERROR(_xlfn.LET(_xlpm.s,_xlfn.TEXTSPLIT($BP$17,","),_xlpm.k,FIND(":",_xlpm.s),INDEX(TRIM(LEFT(_xlpm.s,_xlpm.k-1)),_xlfn.XMATCH(($BM$17+13),_xlfn.SCAN(0,--MID(_xlpm.s,_xlpm.k+1,9),_xlfn.LAMBDA(_xlpm.a,_xlpm.v,_xlpm.a+_xlpm.v)),1))),""),IF(($BM$17+13)&lt;=$BQ$17,$BP$17,""))))</f>
        <v/>
      </c>
      <c r="CB112" t="str" cm="1">
        <f t="array" ref="CB112">IF(NOT(AND($BN$18&lt;&gt;"",($BM$18+13)&lt;=$BO$18)),"",IF(H112&lt;&gt;"",IF(H112="-","",H112),IF(ISNUMBER(SEARCH(":",$BP$18)),IFERROR(_xlfn.LET(_xlpm.s,_xlfn.TEXTSPLIT($BP$18,","),_xlpm.k,FIND(":",_xlpm.s),INDEX(TRIM(LEFT(_xlpm.s,_xlpm.k-1)),_xlfn.XMATCH(($BM$18+13),_xlfn.SCAN(0,--MID(_xlpm.s,_xlpm.k+1,9),_xlfn.LAMBDA(_xlpm.a,_xlpm.v,_xlpm.a+_xlpm.v)),1))),""),IF(($BM$18+13)&lt;=$BQ$18,$BP$18,""))))</f>
        <v/>
      </c>
      <c r="CC112" t="str" cm="1">
        <f t="array" ref="CC112">IF(NOT(AND($BN$19&lt;&gt;"",($BM$19+13)&lt;=$BO$19)),"",IF(N112&lt;&gt;"",IF(N112="-","",N112),IF(ISNUMBER(SEARCH(":",$BP$19)),IFERROR(_xlfn.LET(_xlpm.s,_xlfn.TEXTSPLIT($BP$19,","),_xlpm.k,FIND(":",_xlpm.s),INDEX(TRIM(LEFT(_xlpm.s,_xlpm.k-1)),_xlfn.XMATCH(($BM$19+13),_xlfn.SCAN(0,--MID(_xlpm.s,_xlpm.k+1,9),_xlfn.LAMBDA(_xlpm.a,_xlpm.v,_xlpm.a+_xlpm.v)),1))),""),IF(($BM$19+13)&lt;=$BQ$19,$BP$19,""))))</f>
        <v/>
      </c>
      <c r="CD112" t="str" cm="1">
        <f t="array" ref="CD112">IF(NOT(AND($BN$20&lt;&gt;"",($BM$20+13)&lt;=$BO$20)),"",IF(T112&lt;&gt;"",IF(T112="-","",T112),IF(ISNUMBER(SEARCH(":",$BP$20)),IFERROR(_xlfn.LET(_xlpm.s,_xlfn.TEXTSPLIT($BP$20,","),_xlpm.k,FIND(":",_xlpm.s),INDEX(TRIM(LEFT(_xlpm.s,_xlpm.k-1)),_xlfn.XMATCH(($BM$20+13),_xlfn.SCAN(0,--MID(_xlpm.s,_xlpm.k+1,9),_xlfn.LAMBDA(_xlpm.a,_xlpm.v,_xlpm.a+_xlpm.v)),1))),""),IF(($BM$20+13)&lt;=$BQ$20,$BP$20,""))))</f>
        <v/>
      </c>
    </row>
    <row r="113" spans="2:82" x14ac:dyDescent="0.45">
      <c r="B113" s="6"/>
      <c r="C113" s="9" t="str">
        <f>IF(CA113="","",CA113&amp;"-"&amp;TEXT(COUNTIF($CA$72:$CA$95,CA113)+COUNTIF($CB$72:$CB$95,CA113)+COUNTIF($CC$72:$CC$95,CA113)+COUNTIF($CD$72:$CD$95,CA113)+COUNTIF($CA$100:CA113,CA113),"000"))</f>
        <v/>
      </c>
      <c r="D113" s="9" t="str">
        <f>IF(AND($BN$17&lt;&gt;"",($BM$17+14)&lt;=$BO$17),$BN$17,"")</f>
        <v/>
      </c>
      <c r="E113" s="9" t="str">
        <f>IF(AND($BN$17&lt;&gt;"",($BM$17+14)&lt;=$BO$17),TEXT(($BM$17+14),"00"),"")</f>
        <v/>
      </c>
      <c r="F113" s="9" t="str">
        <f>IF(AND($BN$17&lt;&gt;"",($BM$17+14)&lt;=$BO$17),$BN$17&amp;"-"&amp;TEXT(($BM$17+14),"00"),"")</f>
        <v/>
      </c>
      <c r="H113" s="6"/>
      <c r="I113" s="9" t="str">
        <f>IF(CB113="","",CB113&amp;"-"&amp;TEXT(COUNTIF($CA$72:$CA$95,CB113)+COUNTIF($CB$72:$CB$95,CB113)+COUNTIF($CC$72:$CC$95,CB113)+COUNTIF($CD$72:$CD$95,CB113)+COUNTIF($CA$100:$CA$123,CB113)+COUNTIF($CB$100:CB113,CB113),"000"))</f>
        <v/>
      </c>
      <c r="J113" s="9" t="str">
        <f>IF(AND($BN$18&lt;&gt;"",($BM$18+14)&lt;=$BO$18),$BN$18,"")</f>
        <v/>
      </c>
      <c r="K113" s="9" t="str">
        <f>IF(AND($BN$18&lt;&gt;"",($BM$18+14)&lt;=$BO$18),TEXT(($BM$18+14),"00"),"")</f>
        <v/>
      </c>
      <c r="L113" s="9" t="str">
        <f>IF(AND($BN$18&lt;&gt;"",($BM$18+14)&lt;=$BO$18),$BN$18&amp;"-"&amp;TEXT(($BM$18+14),"00"),"")</f>
        <v/>
      </c>
      <c r="N113" s="6"/>
      <c r="O113" s="9" t="str">
        <f>IF(CC113="","",CC113&amp;"-"&amp;TEXT(COUNTIF($CA$72:$CA$95,CC113)+COUNTIF($CB$72:$CB$95,CC113)+COUNTIF($CC$72:$CC$95,CC113)+COUNTIF($CD$72:$CD$95,CC113)+COUNTIF($CA$100:$CA$123,CC113)+COUNTIF($CB$100:$CB$123,CC113)+COUNTIF($CC$100:CC113,CC113),"000"))</f>
        <v/>
      </c>
      <c r="P113" s="9" t="str">
        <f>IF(AND($BN$19&lt;&gt;"",($BM$19+14)&lt;=$BO$19),$BN$19,"")</f>
        <v/>
      </c>
      <c r="Q113" s="9" t="str">
        <f>IF(AND($BN$19&lt;&gt;"",($BM$19+14)&lt;=$BO$19),TEXT(($BM$19+14),"00"),"")</f>
        <v/>
      </c>
      <c r="R113" s="9" t="str">
        <f>IF(AND($BN$19&lt;&gt;"",($BM$19+14)&lt;=$BO$19),$BN$19&amp;"-"&amp;TEXT(($BM$19+14),"00"),"")</f>
        <v/>
      </c>
      <c r="T113" s="6"/>
      <c r="U113" s="9" t="str">
        <f>IF(CD113="","",CD113&amp;"-"&amp;TEXT(COUNTIF($CA$72:$CA$95,CD113)+COUNTIF($CB$72:$CB$95,CD113)+COUNTIF($CC$72:$CC$95,CD113)+COUNTIF($CD$72:$CD$95,CD113)+COUNTIF($CA$100:$CA$123,CD113)+COUNTIF($CB$100:$CB$123,CD113)+COUNTIF($CC$100:$CC$123,CD113)+COUNTIF($CD$100:CD113,CD113),"000"))</f>
        <v/>
      </c>
      <c r="V113" s="9" t="str">
        <f>IF(AND($BN$20&lt;&gt;"",($BM$20+14)&lt;=$BO$20),$BN$20,"")</f>
        <v/>
      </c>
      <c r="W113" s="9" t="str">
        <f>IF(AND($BN$20&lt;&gt;"",($BM$20+14)&lt;=$BO$20),TEXT(($BM$20+14),"00"),"")</f>
        <v/>
      </c>
      <c r="X113" s="9" t="str">
        <f>IF(AND($BN$20&lt;&gt;"",($BM$20+14)&lt;=$BO$20),$BN$20&amp;"-"&amp;TEXT(($BM$20+14),"00"),"")</f>
        <v/>
      </c>
      <c r="BA113">
        <f>IF(OR(Catalogo!$C113="",Catalogo!$B113="Espacio libre",Catalogo!$B113="Espacio reservado"),0,COUNTIF($C$13:$C$42,Catalogo!$C113)+IF($E$7=Catalogo!$C113,N($K$7),0)+IF($E$8=Catalogo!$C113,N($N$8),0)+IF(Proyecto!$D$12=Catalogo!$C113,$AQ$4,0)+SUMIF($C$49:$C$58,Catalogo!$C113,$K$49:$K$58))</f>
        <v>0</v>
      </c>
      <c r="CA113" t="str" cm="1">
        <f t="array" ref="CA113">IF(NOT(AND($BN$17&lt;&gt;"",($BM$17+14)&lt;=$BO$17)),"",IF(B113&lt;&gt;"",IF(B113="-","",B113),IF(ISNUMBER(SEARCH(":",$BP$17)),IFERROR(_xlfn.LET(_xlpm.s,_xlfn.TEXTSPLIT($BP$17,","),_xlpm.k,FIND(":",_xlpm.s),INDEX(TRIM(LEFT(_xlpm.s,_xlpm.k-1)),_xlfn.XMATCH(($BM$17+14),_xlfn.SCAN(0,--MID(_xlpm.s,_xlpm.k+1,9),_xlfn.LAMBDA(_xlpm.a,_xlpm.v,_xlpm.a+_xlpm.v)),1))),""),IF(($BM$17+14)&lt;=$BQ$17,$BP$17,""))))</f>
        <v/>
      </c>
      <c r="CB113" t="str" cm="1">
        <f t="array" ref="CB113">IF(NOT(AND($BN$18&lt;&gt;"",($BM$18+14)&lt;=$BO$18)),"",IF(H113&lt;&gt;"",IF(H113="-","",H113),IF(ISNUMBER(SEARCH(":",$BP$18)),IFERROR(_xlfn.LET(_xlpm.s,_xlfn.TEXTSPLIT($BP$18,","),_xlpm.k,FIND(":",_xlpm.s),INDEX(TRIM(LEFT(_xlpm.s,_xlpm.k-1)),_xlfn.XMATCH(($BM$18+14),_xlfn.SCAN(0,--MID(_xlpm.s,_xlpm.k+1,9),_xlfn.LAMBDA(_xlpm.a,_xlpm.v,_xlpm.a+_xlpm.v)),1))),""),IF(($BM$18+14)&lt;=$BQ$18,$BP$18,""))))</f>
        <v/>
      </c>
      <c r="CC113" t="str" cm="1">
        <f t="array" ref="CC113">IF(NOT(AND($BN$19&lt;&gt;"",($BM$19+14)&lt;=$BO$19)),"",IF(N113&lt;&gt;"",IF(N113="-","",N113),IF(ISNUMBER(SEARCH(":",$BP$19)),IFERROR(_xlfn.LET(_xlpm.s,_xlfn.TEXTSPLIT($BP$19,","),_xlpm.k,FIND(":",_xlpm.s),INDEX(TRIM(LEFT(_xlpm.s,_xlpm.k-1)),_xlfn.XMATCH(($BM$19+14),_xlfn.SCAN(0,--MID(_xlpm.s,_xlpm.k+1,9),_xlfn.LAMBDA(_xlpm.a,_xlpm.v,_xlpm.a+_xlpm.v)),1))),""),IF(($BM$19+14)&lt;=$BQ$19,$BP$19,""))))</f>
        <v/>
      </c>
      <c r="CD113" t="str" cm="1">
        <f t="array" ref="CD113">IF(NOT(AND($BN$20&lt;&gt;"",($BM$20+14)&lt;=$BO$20)),"",IF(T113&lt;&gt;"",IF(T113="-","",T113),IF(ISNUMBER(SEARCH(":",$BP$20)),IFERROR(_xlfn.LET(_xlpm.s,_xlfn.TEXTSPLIT($BP$20,","),_xlpm.k,FIND(":",_xlpm.s),INDEX(TRIM(LEFT(_xlpm.s,_xlpm.k-1)),_xlfn.XMATCH(($BM$20+14),_xlfn.SCAN(0,--MID(_xlpm.s,_xlpm.k+1,9),_xlfn.LAMBDA(_xlpm.a,_xlpm.v,_xlpm.a+_xlpm.v)),1))),""),IF(($BM$20+14)&lt;=$BQ$20,$BP$20,""))))</f>
        <v/>
      </c>
    </row>
    <row r="114" spans="2:82" x14ac:dyDescent="0.45">
      <c r="B114" s="6"/>
      <c r="C114" s="9" t="str">
        <f>IF(CA114="","",CA114&amp;"-"&amp;TEXT(COUNTIF($CA$72:$CA$95,CA114)+COUNTIF($CB$72:$CB$95,CA114)+COUNTIF($CC$72:$CC$95,CA114)+COUNTIF($CD$72:$CD$95,CA114)+COUNTIF($CA$100:CA114,CA114),"000"))</f>
        <v/>
      </c>
      <c r="D114" s="9" t="str">
        <f>IF(AND($BN$17&lt;&gt;"",($BM$17+15)&lt;=$BO$17),$BN$17,"")</f>
        <v/>
      </c>
      <c r="E114" s="9" t="str">
        <f>IF(AND($BN$17&lt;&gt;"",($BM$17+15)&lt;=$BO$17),TEXT(($BM$17+15),"00"),"")</f>
        <v/>
      </c>
      <c r="F114" s="9" t="str">
        <f>IF(AND($BN$17&lt;&gt;"",($BM$17+15)&lt;=$BO$17),$BN$17&amp;"-"&amp;TEXT(($BM$17+15),"00"),"")</f>
        <v/>
      </c>
      <c r="H114" s="6"/>
      <c r="I114" s="9" t="str">
        <f>IF(CB114="","",CB114&amp;"-"&amp;TEXT(COUNTIF($CA$72:$CA$95,CB114)+COUNTIF($CB$72:$CB$95,CB114)+COUNTIF($CC$72:$CC$95,CB114)+COUNTIF($CD$72:$CD$95,CB114)+COUNTIF($CA$100:$CA$123,CB114)+COUNTIF($CB$100:CB114,CB114),"000"))</f>
        <v/>
      </c>
      <c r="J114" s="9" t="str">
        <f>IF(AND($BN$18&lt;&gt;"",($BM$18+15)&lt;=$BO$18),$BN$18,"")</f>
        <v/>
      </c>
      <c r="K114" s="9" t="str">
        <f>IF(AND($BN$18&lt;&gt;"",($BM$18+15)&lt;=$BO$18),TEXT(($BM$18+15),"00"),"")</f>
        <v/>
      </c>
      <c r="L114" s="9" t="str">
        <f>IF(AND($BN$18&lt;&gt;"",($BM$18+15)&lt;=$BO$18),$BN$18&amp;"-"&amp;TEXT(($BM$18+15),"00"),"")</f>
        <v/>
      </c>
      <c r="N114" s="6"/>
      <c r="O114" s="9" t="str">
        <f>IF(CC114="","",CC114&amp;"-"&amp;TEXT(COUNTIF($CA$72:$CA$95,CC114)+COUNTIF($CB$72:$CB$95,CC114)+COUNTIF($CC$72:$CC$95,CC114)+COUNTIF($CD$72:$CD$95,CC114)+COUNTIF($CA$100:$CA$123,CC114)+COUNTIF($CB$100:$CB$123,CC114)+COUNTIF($CC$100:CC114,CC114),"000"))</f>
        <v/>
      </c>
      <c r="P114" s="9" t="str">
        <f>IF(AND($BN$19&lt;&gt;"",($BM$19+15)&lt;=$BO$19),$BN$19,"")</f>
        <v/>
      </c>
      <c r="Q114" s="9" t="str">
        <f>IF(AND($BN$19&lt;&gt;"",($BM$19+15)&lt;=$BO$19),TEXT(($BM$19+15),"00"),"")</f>
        <v/>
      </c>
      <c r="R114" s="9" t="str">
        <f>IF(AND($BN$19&lt;&gt;"",($BM$19+15)&lt;=$BO$19),$BN$19&amp;"-"&amp;TEXT(($BM$19+15),"00"),"")</f>
        <v/>
      </c>
      <c r="T114" s="6"/>
      <c r="U114" s="9" t="str">
        <f>IF(CD114="","",CD114&amp;"-"&amp;TEXT(COUNTIF($CA$72:$CA$95,CD114)+COUNTIF($CB$72:$CB$95,CD114)+COUNTIF($CC$72:$CC$95,CD114)+COUNTIF($CD$72:$CD$95,CD114)+COUNTIF($CA$100:$CA$123,CD114)+COUNTIF($CB$100:$CB$123,CD114)+COUNTIF($CC$100:$CC$123,CD114)+COUNTIF($CD$100:CD114,CD114),"000"))</f>
        <v/>
      </c>
      <c r="V114" s="9" t="str">
        <f>IF(AND($BN$20&lt;&gt;"",($BM$20+15)&lt;=$BO$20),$BN$20,"")</f>
        <v/>
      </c>
      <c r="W114" s="9" t="str">
        <f>IF(AND($BN$20&lt;&gt;"",($BM$20+15)&lt;=$BO$20),TEXT(($BM$20+15),"00"),"")</f>
        <v/>
      </c>
      <c r="X114" s="9" t="str">
        <f>IF(AND($BN$20&lt;&gt;"",($BM$20+15)&lt;=$BO$20),$BN$20&amp;"-"&amp;TEXT(($BM$20+15),"00"),"")</f>
        <v/>
      </c>
      <c r="BA114">
        <f>IF(OR(Catalogo!$C114="",Catalogo!$B114="Espacio libre",Catalogo!$B114="Espacio reservado"),0,COUNTIF($C$13:$C$42,Catalogo!$C114)+IF($E$7=Catalogo!$C114,N($K$7),0)+IF($E$8=Catalogo!$C114,N($N$8),0)+IF(Proyecto!$D$12=Catalogo!$C114,$AQ$4,0)+SUMIF($C$49:$C$58,Catalogo!$C114,$K$49:$K$58))</f>
        <v>0</v>
      </c>
      <c r="CA114" t="str" cm="1">
        <f t="array" ref="CA114">IF(NOT(AND($BN$17&lt;&gt;"",($BM$17+15)&lt;=$BO$17)),"",IF(B114&lt;&gt;"",IF(B114="-","",B114),IF(ISNUMBER(SEARCH(":",$BP$17)),IFERROR(_xlfn.LET(_xlpm.s,_xlfn.TEXTSPLIT($BP$17,","),_xlpm.k,FIND(":",_xlpm.s),INDEX(TRIM(LEFT(_xlpm.s,_xlpm.k-1)),_xlfn.XMATCH(($BM$17+15),_xlfn.SCAN(0,--MID(_xlpm.s,_xlpm.k+1,9),_xlfn.LAMBDA(_xlpm.a,_xlpm.v,_xlpm.a+_xlpm.v)),1))),""),IF(($BM$17+15)&lt;=$BQ$17,$BP$17,""))))</f>
        <v/>
      </c>
      <c r="CB114" t="str" cm="1">
        <f t="array" ref="CB114">IF(NOT(AND($BN$18&lt;&gt;"",($BM$18+15)&lt;=$BO$18)),"",IF(H114&lt;&gt;"",IF(H114="-","",H114),IF(ISNUMBER(SEARCH(":",$BP$18)),IFERROR(_xlfn.LET(_xlpm.s,_xlfn.TEXTSPLIT($BP$18,","),_xlpm.k,FIND(":",_xlpm.s),INDEX(TRIM(LEFT(_xlpm.s,_xlpm.k-1)),_xlfn.XMATCH(($BM$18+15),_xlfn.SCAN(0,--MID(_xlpm.s,_xlpm.k+1,9),_xlfn.LAMBDA(_xlpm.a,_xlpm.v,_xlpm.a+_xlpm.v)),1))),""),IF(($BM$18+15)&lt;=$BQ$18,$BP$18,""))))</f>
        <v/>
      </c>
      <c r="CC114" t="str" cm="1">
        <f t="array" ref="CC114">IF(NOT(AND($BN$19&lt;&gt;"",($BM$19+15)&lt;=$BO$19)),"",IF(N114&lt;&gt;"",IF(N114="-","",N114),IF(ISNUMBER(SEARCH(":",$BP$19)),IFERROR(_xlfn.LET(_xlpm.s,_xlfn.TEXTSPLIT($BP$19,","),_xlpm.k,FIND(":",_xlpm.s),INDEX(TRIM(LEFT(_xlpm.s,_xlpm.k-1)),_xlfn.XMATCH(($BM$19+15),_xlfn.SCAN(0,--MID(_xlpm.s,_xlpm.k+1,9),_xlfn.LAMBDA(_xlpm.a,_xlpm.v,_xlpm.a+_xlpm.v)),1))),""),IF(($BM$19+15)&lt;=$BQ$19,$BP$19,""))))</f>
        <v/>
      </c>
      <c r="CD114" t="str" cm="1">
        <f t="array" ref="CD114">IF(NOT(AND($BN$20&lt;&gt;"",($BM$20+15)&lt;=$BO$20)),"",IF(T114&lt;&gt;"",IF(T114="-","",T114),IF(ISNUMBER(SEARCH(":",$BP$20)),IFERROR(_xlfn.LET(_xlpm.s,_xlfn.TEXTSPLIT($BP$20,","),_xlpm.k,FIND(":",_xlpm.s),INDEX(TRIM(LEFT(_xlpm.s,_xlpm.k-1)),_xlfn.XMATCH(($BM$20+15),_xlfn.SCAN(0,--MID(_xlpm.s,_xlpm.k+1,9),_xlfn.LAMBDA(_xlpm.a,_xlpm.v,_xlpm.a+_xlpm.v)),1))),""),IF(($BM$20+15)&lt;=$BQ$20,$BP$20,""))))</f>
        <v/>
      </c>
    </row>
    <row r="115" spans="2:82" x14ac:dyDescent="0.45">
      <c r="B115" s="6"/>
      <c r="C115" s="9" t="str">
        <f>IF(CA115="","",CA115&amp;"-"&amp;TEXT(COUNTIF($CA$72:$CA$95,CA115)+COUNTIF($CB$72:$CB$95,CA115)+COUNTIF($CC$72:$CC$95,CA115)+COUNTIF($CD$72:$CD$95,CA115)+COUNTIF($CA$100:CA115,CA115),"000"))</f>
        <v/>
      </c>
      <c r="D115" s="9" t="str">
        <f>IF(AND($BN$17&lt;&gt;"",($BM$17+16)&lt;=$BO$17),$BN$17,"")</f>
        <v/>
      </c>
      <c r="E115" s="9" t="str">
        <f>IF(AND($BN$17&lt;&gt;"",($BM$17+16)&lt;=$BO$17),TEXT(($BM$17+16),"00"),"")</f>
        <v/>
      </c>
      <c r="F115" s="9" t="str">
        <f>IF(AND($BN$17&lt;&gt;"",($BM$17+16)&lt;=$BO$17),$BN$17&amp;"-"&amp;TEXT(($BM$17+16),"00"),"")</f>
        <v/>
      </c>
      <c r="H115" s="6"/>
      <c r="I115" s="9" t="str">
        <f>IF(CB115="","",CB115&amp;"-"&amp;TEXT(COUNTIF($CA$72:$CA$95,CB115)+COUNTIF($CB$72:$CB$95,CB115)+COUNTIF($CC$72:$CC$95,CB115)+COUNTIF($CD$72:$CD$95,CB115)+COUNTIF($CA$100:$CA$123,CB115)+COUNTIF($CB$100:CB115,CB115),"000"))</f>
        <v/>
      </c>
      <c r="J115" s="9" t="str">
        <f>IF(AND($BN$18&lt;&gt;"",($BM$18+16)&lt;=$BO$18),$BN$18,"")</f>
        <v/>
      </c>
      <c r="K115" s="9" t="str">
        <f>IF(AND($BN$18&lt;&gt;"",($BM$18+16)&lt;=$BO$18),TEXT(($BM$18+16),"00"),"")</f>
        <v/>
      </c>
      <c r="L115" s="9" t="str">
        <f>IF(AND($BN$18&lt;&gt;"",($BM$18+16)&lt;=$BO$18),$BN$18&amp;"-"&amp;TEXT(($BM$18+16),"00"),"")</f>
        <v/>
      </c>
      <c r="N115" s="6"/>
      <c r="O115" s="9" t="str">
        <f>IF(CC115="","",CC115&amp;"-"&amp;TEXT(COUNTIF($CA$72:$CA$95,CC115)+COUNTIF($CB$72:$CB$95,CC115)+COUNTIF($CC$72:$CC$95,CC115)+COUNTIF($CD$72:$CD$95,CC115)+COUNTIF($CA$100:$CA$123,CC115)+COUNTIF($CB$100:$CB$123,CC115)+COUNTIF($CC$100:CC115,CC115),"000"))</f>
        <v/>
      </c>
      <c r="P115" s="9" t="str">
        <f>IF(AND($BN$19&lt;&gt;"",($BM$19+16)&lt;=$BO$19),$BN$19,"")</f>
        <v/>
      </c>
      <c r="Q115" s="9" t="str">
        <f>IF(AND($BN$19&lt;&gt;"",($BM$19+16)&lt;=$BO$19),TEXT(($BM$19+16),"00"),"")</f>
        <v/>
      </c>
      <c r="R115" s="9" t="str">
        <f>IF(AND($BN$19&lt;&gt;"",($BM$19+16)&lt;=$BO$19),$BN$19&amp;"-"&amp;TEXT(($BM$19+16),"00"),"")</f>
        <v/>
      </c>
      <c r="T115" s="6"/>
      <c r="U115" s="9" t="str">
        <f>IF(CD115="","",CD115&amp;"-"&amp;TEXT(COUNTIF($CA$72:$CA$95,CD115)+COUNTIF($CB$72:$CB$95,CD115)+COUNTIF($CC$72:$CC$95,CD115)+COUNTIF($CD$72:$CD$95,CD115)+COUNTIF($CA$100:$CA$123,CD115)+COUNTIF($CB$100:$CB$123,CD115)+COUNTIF($CC$100:$CC$123,CD115)+COUNTIF($CD$100:CD115,CD115),"000"))</f>
        <v/>
      </c>
      <c r="V115" s="9" t="str">
        <f>IF(AND($BN$20&lt;&gt;"",($BM$20+16)&lt;=$BO$20),$BN$20,"")</f>
        <v/>
      </c>
      <c r="W115" s="9" t="str">
        <f>IF(AND($BN$20&lt;&gt;"",($BM$20+16)&lt;=$BO$20),TEXT(($BM$20+16),"00"),"")</f>
        <v/>
      </c>
      <c r="X115" s="9" t="str">
        <f>IF(AND($BN$20&lt;&gt;"",($BM$20+16)&lt;=$BO$20),$BN$20&amp;"-"&amp;TEXT(($BM$20+16),"00"),"")</f>
        <v/>
      </c>
      <c r="BA115">
        <f>IF(OR(Catalogo!$C115="",Catalogo!$B115="Espacio libre",Catalogo!$B115="Espacio reservado"),0,COUNTIF($C$13:$C$42,Catalogo!$C115)+IF($E$7=Catalogo!$C115,N($K$7),0)+IF($E$8=Catalogo!$C115,N($N$8),0)+IF(Proyecto!$D$12=Catalogo!$C115,$AQ$4,0)+SUMIF($C$49:$C$58,Catalogo!$C115,$K$49:$K$58))</f>
        <v>0</v>
      </c>
      <c r="CA115" t="str" cm="1">
        <f t="array" ref="CA115">IF(NOT(AND($BN$17&lt;&gt;"",($BM$17+16)&lt;=$BO$17)),"",IF(B115&lt;&gt;"",IF(B115="-","",B115),IF(ISNUMBER(SEARCH(":",$BP$17)),IFERROR(_xlfn.LET(_xlpm.s,_xlfn.TEXTSPLIT($BP$17,","),_xlpm.k,FIND(":",_xlpm.s),INDEX(TRIM(LEFT(_xlpm.s,_xlpm.k-1)),_xlfn.XMATCH(($BM$17+16),_xlfn.SCAN(0,--MID(_xlpm.s,_xlpm.k+1,9),_xlfn.LAMBDA(_xlpm.a,_xlpm.v,_xlpm.a+_xlpm.v)),1))),""),IF(($BM$17+16)&lt;=$BQ$17,$BP$17,""))))</f>
        <v/>
      </c>
      <c r="CB115" t="str" cm="1">
        <f t="array" ref="CB115">IF(NOT(AND($BN$18&lt;&gt;"",($BM$18+16)&lt;=$BO$18)),"",IF(H115&lt;&gt;"",IF(H115="-","",H115),IF(ISNUMBER(SEARCH(":",$BP$18)),IFERROR(_xlfn.LET(_xlpm.s,_xlfn.TEXTSPLIT($BP$18,","),_xlpm.k,FIND(":",_xlpm.s),INDEX(TRIM(LEFT(_xlpm.s,_xlpm.k-1)),_xlfn.XMATCH(($BM$18+16),_xlfn.SCAN(0,--MID(_xlpm.s,_xlpm.k+1,9),_xlfn.LAMBDA(_xlpm.a,_xlpm.v,_xlpm.a+_xlpm.v)),1))),""),IF(($BM$18+16)&lt;=$BQ$18,$BP$18,""))))</f>
        <v/>
      </c>
      <c r="CC115" t="str" cm="1">
        <f t="array" ref="CC115">IF(NOT(AND($BN$19&lt;&gt;"",($BM$19+16)&lt;=$BO$19)),"",IF(N115&lt;&gt;"",IF(N115="-","",N115),IF(ISNUMBER(SEARCH(":",$BP$19)),IFERROR(_xlfn.LET(_xlpm.s,_xlfn.TEXTSPLIT($BP$19,","),_xlpm.k,FIND(":",_xlpm.s),INDEX(TRIM(LEFT(_xlpm.s,_xlpm.k-1)),_xlfn.XMATCH(($BM$19+16),_xlfn.SCAN(0,--MID(_xlpm.s,_xlpm.k+1,9),_xlfn.LAMBDA(_xlpm.a,_xlpm.v,_xlpm.a+_xlpm.v)),1))),""),IF(($BM$19+16)&lt;=$BQ$19,$BP$19,""))))</f>
        <v/>
      </c>
      <c r="CD115" t="str" cm="1">
        <f t="array" ref="CD115">IF(NOT(AND($BN$20&lt;&gt;"",($BM$20+16)&lt;=$BO$20)),"",IF(T115&lt;&gt;"",IF(T115="-","",T115),IF(ISNUMBER(SEARCH(":",$BP$20)),IFERROR(_xlfn.LET(_xlpm.s,_xlfn.TEXTSPLIT($BP$20,","),_xlpm.k,FIND(":",_xlpm.s),INDEX(TRIM(LEFT(_xlpm.s,_xlpm.k-1)),_xlfn.XMATCH(($BM$20+16),_xlfn.SCAN(0,--MID(_xlpm.s,_xlpm.k+1,9),_xlfn.LAMBDA(_xlpm.a,_xlpm.v,_xlpm.a+_xlpm.v)),1))),""),IF(($BM$20+16)&lt;=$BQ$20,$BP$20,""))))</f>
        <v/>
      </c>
    </row>
    <row r="116" spans="2:82" x14ac:dyDescent="0.45">
      <c r="B116" s="6"/>
      <c r="C116" s="9" t="str">
        <f>IF(CA116="","",CA116&amp;"-"&amp;TEXT(COUNTIF($CA$72:$CA$95,CA116)+COUNTIF($CB$72:$CB$95,CA116)+COUNTIF($CC$72:$CC$95,CA116)+COUNTIF($CD$72:$CD$95,CA116)+COUNTIF($CA$100:CA116,CA116),"000"))</f>
        <v/>
      </c>
      <c r="D116" s="9" t="str">
        <f>IF(AND($BN$17&lt;&gt;"",($BM$17+17)&lt;=$BO$17),$BN$17,"")</f>
        <v/>
      </c>
      <c r="E116" s="9" t="str">
        <f>IF(AND($BN$17&lt;&gt;"",($BM$17+17)&lt;=$BO$17),TEXT(($BM$17+17),"00"),"")</f>
        <v/>
      </c>
      <c r="F116" s="9" t="str">
        <f>IF(AND($BN$17&lt;&gt;"",($BM$17+17)&lt;=$BO$17),$BN$17&amp;"-"&amp;TEXT(($BM$17+17),"00"),"")</f>
        <v/>
      </c>
      <c r="H116" s="6"/>
      <c r="I116" s="9" t="str">
        <f>IF(CB116="","",CB116&amp;"-"&amp;TEXT(COUNTIF($CA$72:$CA$95,CB116)+COUNTIF($CB$72:$CB$95,CB116)+COUNTIF($CC$72:$CC$95,CB116)+COUNTIF($CD$72:$CD$95,CB116)+COUNTIF($CA$100:$CA$123,CB116)+COUNTIF($CB$100:CB116,CB116),"000"))</f>
        <v/>
      </c>
      <c r="J116" s="9" t="str">
        <f>IF(AND($BN$18&lt;&gt;"",($BM$18+17)&lt;=$BO$18),$BN$18,"")</f>
        <v/>
      </c>
      <c r="K116" s="9" t="str">
        <f>IF(AND($BN$18&lt;&gt;"",($BM$18+17)&lt;=$BO$18),TEXT(($BM$18+17),"00"),"")</f>
        <v/>
      </c>
      <c r="L116" s="9" t="str">
        <f>IF(AND($BN$18&lt;&gt;"",($BM$18+17)&lt;=$BO$18),$BN$18&amp;"-"&amp;TEXT(($BM$18+17),"00"),"")</f>
        <v/>
      </c>
      <c r="N116" s="6"/>
      <c r="O116" s="9" t="str">
        <f>IF(CC116="","",CC116&amp;"-"&amp;TEXT(COUNTIF($CA$72:$CA$95,CC116)+COUNTIF($CB$72:$CB$95,CC116)+COUNTIF($CC$72:$CC$95,CC116)+COUNTIF($CD$72:$CD$95,CC116)+COUNTIF($CA$100:$CA$123,CC116)+COUNTIF($CB$100:$CB$123,CC116)+COUNTIF($CC$100:CC116,CC116),"000"))</f>
        <v/>
      </c>
      <c r="P116" s="9" t="str">
        <f>IF(AND($BN$19&lt;&gt;"",($BM$19+17)&lt;=$BO$19),$BN$19,"")</f>
        <v/>
      </c>
      <c r="Q116" s="9" t="str">
        <f>IF(AND($BN$19&lt;&gt;"",($BM$19+17)&lt;=$BO$19),TEXT(($BM$19+17),"00"),"")</f>
        <v/>
      </c>
      <c r="R116" s="9" t="str">
        <f>IF(AND($BN$19&lt;&gt;"",($BM$19+17)&lt;=$BO$19),$BN$19&amp;"-"&amp;TEXT(($BM$19+17),"00"),"")</f>
        <v/>
      </c>
      <c r="T116" s="6"/>
      <c r="U116" s="9" t="str">
        <f>IF(CD116="","",CD116&amp;"-"&amp;TEXT(COUNTIF($CA$72:$CA$95,CD116)+COUNTIF($CB$72:$CB$95,CD116)+COUNTIF($CC$72:$CC$95,CD116)+COUNTIF($CD$72:$CD$95,CD116)+COUNTIF($CA$100:$CA$123,CD116)+COUNTIF($CB$100:$CB$123,CD116)+COUNTIF($CC$100:$CC$123,CD116)+COUNTIF($CD$100:CD116,CD116),"000"))</f>
        <v/>
      </c>
      <c r="V116" s="9" t="str">
        <f>IF(AND($BN$20&lt;&gt;"",($BM$20+17)&lt;=$BO$20),$BN$20,"")</f>
        <v/>
      </c>
      <c r="W116" s="9" t="str">
        <f>IF(AND($BN$20&lt;&gt;"",($BM$20+17)&lt;=$BO$20),TEXT(($BM$20+17),"00"),"")</f>
        <v/>
      </c>
      <c r="X116" s="9" t="str">
        <f>IF(AND($BN$20&lt;&gt;"",($BM$20+17)&lt;=$BO$20),$BN$20&amp;"-"&amp;TEXT(($BM$20+17),"00"),"")</f>
        <v/>
      </c>
      <c r="BA116">
        <f>IF(OR(Catalogo!$C116="",Catalogo!$B116="Espacio libre",Catalogo!$B116="Espacio reservado"),0,COUNTIF($C$13:$C$42,Catalogo!$C116)+IF($E$7=Catalogo!$C116,N($K$7),0)+IF($E$8=Catalogo!$C116,N($N$8),0)+IF(Proyecto!$D$12=Catalogo!$C116,$AQ$4,0)+SUMIF($C$49:$C$58,Catalogo!$C116,$K$49:$K$58))</f>
        <v>0</v>
      </c>
      <c r="CA116" t="str" cm="1">
        <f t="array" ref="CA116">IF(NOT(AND($BN$17&lt;&gt;"",($BM$17+17)&lt;=$BO$17)),"",IF(B116&lt;&gt;"",IF(B116="-","",B116),IF(ISNUMBER(SEARCH(":",$BP$17)),IFERROR(_xlfn.LET(_xlpm.s,_xlfn.TEXTSPLIT($BP$17,","),_xlpm.k,FIND(":",_xlpm.s),INDEX(TRIM(LEFT(_xlpm.s,_xlpm.k-1)),_xlfn.XMATCH(($BM$17+17),_xlfn.SCAN(0,--MID(_xlpm.s,_xlpm.k+1,9),_xlfn.LAMBDA(_xlpm.a,_xlpm.v,_xlpm.a+_xlpm.v)),1))),""),IF(($BM$17+17)&lt;=$BQ$17,$BP$17,""))))</f>
        <v/>
      </c>
      <c r="CB116" t="str" cm="1">
        <f t="array" ref="CB116">IF(NOT(AND($BN$18&lt;&gt;"",($BM$18+17)&lt;=$BO$18)),"",IF(H116&lt;&gt;"",IF(H116="-","",H116),IF(ISNUMBER(SEARCH(":",$BP$18)),IFERROR(_xlfn.LET(_xlpm.s,_xlfn.TEXTSPLIT($BP$18,","),_xlpm.k,FIND(":",_xlpm.s),INDEX(TRIM(LEFT(_xlpm.s,_xlpm.k-1)),_xlfn.XMATCH(($BM$18+17),_xlfn.SCAN(0,--MID(_xlpm.s,_xlpm.k+1,9),_xlfn.LAMBDA(_xlpm.a,_xlpm.v,_xlpm.a+_xlpm.v)),1))),""),IF(($BM$18+17)&lt;=$BQ$18,$BP$18,""))))</f>
        <v/>
      </c>
      <c r="CC116" t="str" cm="1">
        <f t="array" ref="CC116">IF(NOT(AND($BN$19&lt;&gt;"",($BM$19+17)&lt;=$BO$19)),"",IF(N116&lt;&gt;"",IF(N116="-","",N116),IF(ISNUMBER(SEARCH(":",$BP$19)),IFERROR(_xlfn.LET(_xlpm.s,_xlfn.TEXTSPLIT($BP$19,","),_xlpm.k,FIND(":",_xlpm.s),INDEX(TRIM(LEFT(_xlpm.s,_xlpm.k-1)),_xlfn.XMATCH(($BM$19+17),_xlfn.SCAN(0,--MID(_xlpm.s,_xlpm.k+1,9),_xlfn.LAMBDA(_xlpm.a,_xlpm.v,_xlpm.a+_xlpm.v)),1))),""),IF(($BM$19+17)&lt;=$BQ$19,$BP$19,""))))</f>
        <v/>
      </c>
      <c r="CD116" t="str" cm="1">
        <f t="array" ref="CD116">IF(NOT(AND($BN$20&lt;&gt;"",($BM$20+17)&lt;=$BO$20)),"",IF(T116&lt;&gt;"",IF(T116="-","",T116),IF(ISNUMBER(SEARCH(":",$BP$20)),IFERROR(_xlfn.LET(_xlpm.s,_xlfn.TEXTSPLIT($BP$20,","),_xlpm.k,FIND(":",_xlpm.s),INDEX(TRIM(LEFT(_xlpm.s,_xlpm.k-1)),_xlfn.XMATCH(($BM$20+17),_xlfn.SCAN(0,--MID(_xlpm.s,_xlpm.k+1,9),_xlfn.LAMBDA(_xlpm.a,_xlpm.v,_xlpm.a+_xlpm.v)),1))),""),IF(($BM$20+17)&lt;=$BQ$20,$BP$20,""))))</f>
        <v/>
      </c>
    </row>
    <row r="117" spans="2:82" x14ac:dyDescent="0.45">
      <c r="B117" s="6"/>
      <c r="C117" s="9" t="str">
        <f>IF(CA117="","",CA117&amp;"-"&amp;TEXT(COUNTIF($CA$72:$CA$95,CA117)+COUNTIF($CB$72:$CB$95,CA117)+COUNTIF($CC$72:$CC$95,CA117)+COUNTIF($CD$72:$CD$95,CA117)+COUNTIF($CA$100:CA117,CA117),"000"))</f>
        <v/>
      </c>
      <c r="D117" s="9" t="str">
        <f>IF(AND($BN$17&lt;&gt;"",($BM$17+18)&lt;=$BO$17),$BN$17,"")</f>
        <v/>
      </c>
      <c r="E117" s="9" t="str">
        <f>IF(AND($BN$17&lt;&gt;"",($BM$17+18)&lt;=$BO$17),TEXT(($BM$17+18),"00"),"")</f>
        <v/>
      </c>
      <c r="F117" s="9" t="str">
        <f>IF(AND($BN$17&lt;&gt;"",($BM$17+18)&lt;=$BO$17),$BN$17&amp;"-"&amp;TEXT(($BM$17+18),"00"),"")</f>
        <v/>
      </c>
      <c r="H117" s="6"/>
      <c r="I117" s="9" t="str">
        <f>IF(CB117="","",CB117&amp;"-"&amp;TEXT(COUNTIF($CA$72:$CA$95,CB117)+COUNTIF($CB$72:$CB$95,CB117)+COUNTIF($CC$72:$CC$95,CB117)+COUNTIF($CD$72:$CD$95,CB117)+COUNTIF($CA$100:$CA$123,CB117)+COUNTIF($CB$100:CB117,CB117),"000"))</f>
        <v/>
      </c>
      <c r="J117" s="9" t="str">
        <f>IF(AND($BN$18&lt;&gt;"",($BM$18+18)&lt;=$BO$18),$BN$18,"")</f>
        <v/>
      </c>
      <c r="K117" s="9" t="str">
        <f>IF(AND($BN$18&lt;&gt;"",($BM$18+18)&lt;=$BO$18),TEXT(($BM$18+18),"00"),"")</f>
        <v/>
      </c>
      <c r="L117" s="9" t="str">
        <f>IF(AND($BN$18&lt;&gt;"",($BM$18+18)&lt;=$BO$18),$BN$18&amp;"-"&amp;TEXT(($BM$18+18),"00"),"")</f>
        <v/>
      </c>
      <c r="N117" s="6"/>
      <c r="O117" s="9" t="str">
        <f>IF(CC117="","",CC117&amp;"-"&amp;TEXT(COUNTIF($CA$72:$CA$95,CC117)+COUNTIF($CB$72:$CB$95,CC117)+COUNTIF($CC$72:$CC$95,CC117)+COUNTIF($CD$72:$CD$95,CC117)+COUNTIF($CA$100:$CA$123,CC117)+COUNTIF($CB$100:$CB$123,CC117)+COUNTIF($CC$100:CC117,CC117),"000"))</f>
        <v/>
      </c>
      <c r="P117" s="9" t="str">
        <f>IF(AND($BN$19&lt;&gt;"",($BM$19+18)&lt;=$BO$19),$BN$19,"")</f>
        <v/>
      </c>
      <c r="Q117" s="9" t="str">
        <f>IF(AND($BN$19&lt;&gt;"",($BM$19+18)&lt;=$BO$19),TEXT(($BM$19+18),"00"),"")</f>
        <v/>
      </c>
      <c r="R117" s="9" t="str">
        <f>IF(AND($BN$19&lt;&gt;"",($BM$19+18)&lt;=$BO$19),$BN$19&amp;"-"&amp;TEXT(($BM$19+18),"00"),"")</f>
        <v/>
      </c>
      <c r="T117" s="6"/>
      <c r="U117" s="9" t="str">
        <f>IF(CD117="","",CD117&amp;"-"&amp;TEXT(COUNTIF($CA$72:$CA$95,CD117)+COUNTIF($CB$72:$CB$95,CD117)+COUNTIF($CC$72:$CC$95,CD117)+COUNTIF($CD$72:$CD$95,CD117)+COUNTIF($CA$100:$CA$123,CD117)+COUNTIF($CB$100:$CB$123,CD117)+COUNTIF($CC$100:$CC$123,CD117)+COUNTIF($CD$100:CD117,CD117),"000"))</f>
        <v/>
      </c>
      <c r="V117" s="9" t="str">
        <f>IF(AND($BN$20&lt;&gt;"",($BM$20+18)&lt;=$BO$20),$BN$20,"")</f>
        <v/>
      </c>
      <c r="W117" s="9" t="str">
        <f>IF(AND($BN$20&lt;&gt;"",($BM$20+18)&lt;=$BO$20),TEXT(($BM$20+18),"00"),"")</f>
        <v/>
      </c>
      <c r="X117" s="9" t="str">
        <f>IF(AND($BN$20&lt;&gt;"",($BM$20+18)&lt;=$BO$20),$BN$20&amp;"-"&amp;TEXT(($BM$20+18),"00"),"")</f>
        <v/>
      </c>
      <c r="BA117">
        <f>IF(OR(Catalogo!$C117="",Catalogo!$B117="Espacio libre",Catalogo!$B117="Espacio reservado"),0,COUNTIF($C$13:$C$42,Catalogo!$C117)+IF($E$7=Catalogo!$C117,N($K$7),0)+IF($E$8=Catalogo!$C117,N($N$8),0)+IF(Proyecto!$D$12=Catalogo!$C117,$AQ$4,0)+SUMIF($C$49:$C$58,Catalogo!$C117,$K$49:$K$58))</f>
        <v>0</v>
      </c>
      <c r="CA117" t="str" cm="1">
        <f t="array" ref="CA117">IF(NOT(AND($BN$17&lt;&gt;"",($BM$17+18)&lt;=$BO$17)),"",IF(B117&lt;&gt;"",IF(B117="-","",B117),IF(ISNUMBER(SEARCH(":",$BP$17)),IFERROR(_xlfn.LET(_xlpm.s,_xlfn.TEXTSPLIT($BP$17,","),_xlpm.k,FIND(":",_xlpm.s),INDEX(TRIM(LEFT(_xlpm.s,_xlpm.k-1)),_xlfn.XMATCH(($BM$17+18),_xlfn.SCAN(0,--MID(_xlpm.s,_xlpm.k+1,9),_xlfn.LAMBDA(_xlpm.a,_xlpm.v,_xlpm.a+_xlpm.v)),1))),""),IF(($BM$17+18)&lt;=$BQ$17,$BP$17,""))))</f>
        <v/>
      </c>
      <c r="CB117" t="str" cm="1">
        <f t="array" ref="CB117">IF(NOT(AND($BN$18&lt;&gt;"",($BM$18+18)&lt;=$BO$18)),"",IF(H117&lt;&gt;"",IF(H117="-","",H117),IF(ISNUMBER(SEARCH(":",$BP$18)),IFERROR(_xlfn.LET(_xlpm.s,_xlfn.TEXTSPLIT($BP$18,","),_xlpm.k,FIND(":",_xlpm.s),INDEX(TRIM(LEFT(_xlpm.s,_xlpm.k-1)),_xlfn.XMATCH(($BM$18+18),_xlfn.SCAN(0,--MID(_xlpm.s,_xlpm.k+1,9),_xlfn.LAMBDA(_xlpm.a,_xlpm.v,_xlpm.a+_xlpm.v)),1))),""),IF(($BM$18+18)&lt;=$BQ$18,$BP$18,""))))</f>
        <v/>
      </c>
      <c r="CC117" t="str" cm="1">
        <f t="array" ref="CC117">IF(NOT(AND($BN$19&lt;&gt;"",($BM$19+18)&lt;=$BO$19)),"",IF(N117&lt;&gt;"",IF(N117="-","",N117),IF(ISNUMBER(SEARCH(":",$BP$19)),IFERROR(_xlfn.LET(_xlpm.s,_xlfn.TEXTSPLIT($BP$19,","),_xlpm.k,FIND(":",_xlpm.s),INDEX(TRIM(LEFT(_xlpm.s,_xlpm.k-1)),_xlfn.XMATCH(($BM$19+18),_xlfn.SCAN(0,--MID(_xlpm.s,_xlpm.k+1,9),_xlfn.LAMBDA(_xlpm.a,_xlpm.v,_xlpm.a+_xlpm.v)),1))),""),IF(($BM$19+18)&lt;=$BQ$19,$BP$19,""))))</f>
        <v/>
      </c>
      <c r="CD117" t="str" cm="1">
        <f t="array" ref="CD117">IF(NOT(AND($BN$20&lt;&gt;"",($BM$20+18)&lt;=$BO$20)),"",IF(T117&lt;&gt;"",IF(T117="-","",T117),IF(ISNUMBER(SEARCH(":",$BP$20)),IFERROR(_xlfn.LET(_xlpm.s,_xlfn.TEXTSPLIT($BP$20,","),_xlpm.k,FIND(":",_xlpm.s),INDEX(TRIM(LEFT(_xlpm.s,_xlpm.k-1)),_xlfn.XMATCH(($BM$20+18),_xlfn.SCAN(0,--MID(_xlpm.s,_xlpm.k+1,9),_xlfn.LAMBDA(_xlpm.a,_xlpm.v,_xlpm.a+_xlpm.v)),1))),""),IF(($BM$20+18)&lt;=$BQ$20,$BP$20,""))))</f>
        <v/>
      </c>
    </row>
    <row r="118" spans="2:82" x14ac:dyDescent="0.45">
      <c r="B118" s="6"/>
      <c r="C118" s="9" t="str">
        <f>IF(CA118="","",CA118&amp;"-"&amp;TEXT(COUNTIF($CA$72:$CA$95,CA118)+COUNTIF($CB$72:$CB$95,CA118)+COUNTIF($CC$72:$CC$95,CA118)+COUNTIF($CD$72:$CD$95,CA118)+COUNTIF($CA$100:CA118,CA118),"000"))</f>
        <v/>
      </c>
      <c r="D118" s="9" t="str">
        <f>IF(AND($BN$17&lt;&gt;"",($BM$17+19)&lt;=$BO$17),$BN$17,"")</f>
        <v/>
      </c>
      <c r="E118" s="9" t="str">
        <f>IF(AND($BN$17&lt;&gt;"",($BM$17+19)&lt;=$BO$17),TEXT(($BM$17+19),"00"),"")</f>
        <v/>
      </c>
      <c r="F118" s="9" t="str">
        <f>IF(AND($BN$17&lt;&gt;"",($BM$17+19)&lt;=$BO$17),$BN$17&amp;"-"&amp;TEXT(($BM$17+19),"00"),"")</f>
        <v/>
      </c>
      <c r="H118" s="6"/>
      <c r="I118" s="9" t="str">
        <f>IF(CB118="","",CB118&amp;"-"&amp;TEXT(COUNTIF($CA$72:$CA$95,CB118)+COUNTIF($CB$72:$CB$95,CB118)+COUNTIF($CC$72:$CC$95,CB118)+COUNTIF($CD$72:$CD$95,CB118)+COUNTIF($CA$100:$CA$123,CB118)+COUNTIF($CB$100:CB118,CB118),"000"))</f>
        <v/>
      </c>
      <c r="J118" s="9" t="str">
        <f>IF(AND($BN$18&lt;&gt;"",($BM$18+19)&lt;=$BO$18),$BN$18,"")</f>
        <v/>
      </c>
      <c r="K118" s="9" t="str">
        <f>IF(AND($BN$18&lt;&gt;"",($BM$18+19)&lt;=$BO$18),TEXT(($BM$18+19),"00"),"")</f>
        <v/>
      </c>
      <c r="L118" s="9" t="str">
        <f>IF(AND($BN$18&lt;&gt;"",($BM$18+19)&lt;=$BO$18),$BN$18&amp;"-"&amp;TEXT(($BM$18+19),"00"),"")</f>
        <v/>
      </c>
      <c r="N118" s="6"/>
      <c r="O118" s="9" t="str">
        <f>IF(CC118="","",CC118&amp;"-"&amp;TEXT(COUNTIF($CA$72:$CA$95,CC118)+COUNTIF($CB$72:$CB$95,CC118)+COUNTIF($CC$72:$CC$95,CC118)+COUNTIF($CD$72:$CD$95,CC118)+COUNTIF($CA$100:$CA$123,CC118)+COUNTIF($CB$100:$CB$123,CC118)+COUNTIF($CC$100:CC118,CC118),"000"))</f>
        <v/>
      </c>
      <c r="P118" s="9" t="str">
        <f>IF(AND($BN$19&lt;&gt;"",($BM$19+19)&lt;=$BO$19),$BN$19,"")</f>
        <v/>
      </c>
      <c r="Q118" s="9" t="str">
        <f>IF(AND($BN$19&lt;&gt;"",($BM$19+19)&lt;=$BO$19),TEXT(($BM$19+19),"00"),"")</f>
        <v/>
      </c>
      <c r="R118" s="9" t="str">
        <f>IF(AND($BN$19&lt;&gt;"",($BM$19+19)&lt;=$BO$19),$BN$19&amp;"-"&amp;TEXT(($BM$19+19),"00"),"")</f>
        <v/>
      </c>
      <c r="T118" s="6"/>
      <c r="U118" s="9" t="str">
        <f>IF(CD118="","",CD118&amp;"-"&amp;TEXT(COUNTIF($CA$72:$CA$95,CD118)+COUNTIF($CB$72:$CB$95,CD118)+COUNTIF($CC$72:$CC$95,CD118)+COUNTIF($CD$72:$CD$95,CD118)+COUNTIF($CA$100:$CA$123,CD118)+COUNTIF($CB$100:$CB$123,CD118)+COUNTIF($CC$100:$CC$123,CD118)+COUNTIF($CD$100:CD118,CD118),"000"))</f>
        <v/>
      </c>
      <c r="V118" s="9" t="str">
        <f>IF(AND($BN$20&lt;&gt;"",($BM$20+19)&lt;=$BO$20),$BN$20,"")</f>
        <v/>
      </c>
      <c r="W118" s="9" t="str">
        <f>IF(AND($BN$20&lt;&gt;"",($BM$20+19)&lt;=$BO$20),TEXT(($BM$20+19),"00"),"")</f>
        <v/>
      </c>
      <c r="X118" s="9" t="str">
        <f>IF(AND($BN$20&lt;&gt;"",($BM$20+19)&lt;=$BO$20),$BN$20&amp;"-"&amp;TEXT(($BM$20+19),"00"),"")</f>
        <v/>
      </c>
      <c r="BA118">
        <f>IF(OR(Catalogo!$C118="",Catalogo!$B118="Espacio libre",Catalogo!$B118="Espacio reservado"),0,COUNTIF($C$13:$C$42,Catalogo!$C118)+IF($E$7=Catalogo!$C118,N($K$7),0)+IF($E$8=Catalogo!$C118,N($N$8),0)+IF(Proyecto!$D$12=Catalogo!$C118,$AQ$4,0)+SUMIF($C$49:$C$58,Catalogo!$C118,$K$49:$K$58))</f>
        <v>0</v>
      </c>
      <c r="CA118" t="str" cm="1">
        <f t="array" ref="CA118">IF(NOT(AND($BN$17&lt;&gt;"",($BM$17+19)&lt;=$BO$17)),"",IF(B118&lt;&gt;"",IF(B118="-","",B118),IF(ISNUMBER(SEARCH(":",$BP$17)),IFERROR(_xlfn.LET(_xlpm.s,_xlfn.TEXTSPLIT($BP$17,","),_xlpm.k,FIND(":",_xlpm.s),INDEX(TRIM(LEFT(_xlpm.s,_xlpm.k-1)),_xlfn.XMATCH(($BM$17+19),_xlfn.SCAN(0,--MID(_xlpm.s,_xlpm.k+1,9),_xlfn.LAMBDA(_xlpm.a,_xlpm.v,_xlpm.a+_xlpm.v)),1))),""),IF(($BM$17+19)&lt;=$BQ$17,$BP$17,""))))</f>
        <v/>
      </c>
      <c r="CB118" t="str" cm="1">
        <f t="array" ref="CB118">IF(NOT(AND($BN$18&lt;&gt;"",($BM$18+19)&lt;=$BO$18)),"",IF(H118&lt;&gt;"",IF(H118="-","",H118),IF(ISNUMBER(SEARCH(":",$BP$18)),IFERROR(_xlfn.LET(_xlpm.s,_xlfn.TEXTSPLIT($BP$18,","),_xlpm.k,FIND(":",_xlpm.s),INDEX(TRIM(LEFT(_xlpm.s,_xlpm.k-1)),_xlfn.XMATCH(($BM$18+19),_xlfn.SCAN(0,--MID(_xlpm.s,_xlpm.k+1,9),_xlfn.LAMBDA(_xlpm.a,_xlpm.v,_xlpm.a+_xlpm.v)),1))),""),IF(($BM$18+19)&lt;=$BQ$18,$BP$18,""))))</f>
        <v/>
      </c>
      <c r="CC118" t="str" cm="1">
        <f t="array" ref="CC118">IF(NOT(AND($BN$19&lt;&gt;"",($BM$19+19)&lt;=$BO$19)),"",IF(N118&lt;&gt;"",IF(N118="-","",N118),IF(ISNUMBER(SEARCH(":",$BP$19)),IFERROR(_xlfn.LET(_xlpm.s,_xlfn.TEXTSPLIT($BP$19,","),_xlpm.k,FIND(":",_xlpm.s),INDEX(TRIM(LEFT(_xlpm.s,_xlpm.k-1)),_xlfn.XMATCH(($BM$19+19),_xlfn.SCAN(0,--MID(_xlpm.s,_xlpm.k+1,9),_xlfn.LAMBDA(_xlpm.a,_xlpm.v,_xlpm.a+_xlpm.v)),1))),""),IF(($BM$19+19)&lt;=$BQ$19,$BP$19,""))))</f>
        <v/>
      </c>
      <c r="CD118" t="str" cm="1">
        <f t="array" ref="CD118">IF(NOT(AND($BN$20&lt;&gt;"",($BM$20+19)&lt;=$BO$20)),"",IF(T118&lt;&gt;"",IF(T118="-","",T118),IF(ISNUMBER(SEARCH(":",$BP$20)),IFERROR(_xlfn.LET(_xlpm.s,_xlfn.TEXTSPLIT($BP$20,","),_xlpm.k,FIND(":",_xlpm.s),INDEX(TRIM(LEFT(_xlpm.s,_xlpm.k-1)),_xlfn.XMATCH(($BM$20+19),_xlfn.SCAN(0,--MID(_xlpm.s,_xlpm.k+1,9),_xlfn.LAMBDA(_xlpm.a,_xlpm.v,_xlpm.a+_xlpm.v)),1))),""),IF(($BM$20+19)&lt;=$BQ$20,$BP$20,""))))</f>
        <v/>
      </c>
    </row>
    <row r="119" spans="2:82" x14ac:dyDescent="0.45">
      <c r="B119" s="6"/>
      <c r="C119" s="9" t="str">
        <f>IF(CA119="","",CA119&amp;"-"&amp;TEXT(COUNTIF($CA$72:$CA$95,CA119)+COUNTIF($CB$72:$CB$95,CA119)+COUNTIF($CC$72:$CC$95,CA119)+COUNTIF($CD$72:$CD$95,CA119)+COUNTIF($CA$100:CA119,CA119),"000"))</f>
        <v/>
      </c>
      <c r="D119" s="9" t="str">
        <f>IF(AND($BN$17&lt;&gt;"",($BM$17+20)&lt;=$BO$17),$BN$17,"")</f>
        <v/>
      </c>
      <c r="E119" s="9" t="str">
        <f>IF(AND($BN$17&lt;&gt;"",($BM$17+20)&lt;=$BO$17),TEXT(($BM$17+20),"00"),"")</f>
        <v/>
      </c>
      <c r="F119" s="9" t="str">
        <f>IF(AND($BN$17&lt;&gt;"",($BM$17+20)&lt;=$BO$17),$BN$17&amp;"-"&amp;TEXT(($BM$17+20),"00"),"")</f>
        <v/>
      </c>
      <c r="H119" s="6"/>
      <c r="I119" s="9" t="str">
        <f>IF(CB119="","",CB119&amp;"-"&amp;TEXT(COUNTIF($CA$72:$CA$95,CB119)+COUNTIF($CB$72:$CB$95,CB119)+COUNTIF($CC$72:$CC$95,CB119)+COUNTIF($CD$72:$CD$95,CB119)+COUNTIF($CA$100:$CA$123,CB119)+COUNTIF($CB$100:CB119,CB119),"000"))</f>
        <v/>
      </c>
      <c r="J119" s="9" t="str">
        <f>IF(AND($BN$18&lt;&gt;"",($BM$18+20)&lt;=$BO$18),$BN$18,"")</f>
        <v/>
      </c>
      <c r="K119" s="9" t="str">
        <f>IF(AND($BN$18&lt;&gt;"",($BM$18+20)&lt;=$BO$18),TEXT(($BM$18+20),"00"),"")</f>
        <v/>
      </c>
      <c r="L119" s="9" t="str">
        <f>IF(AND($BN$18&lt;&gt;"",($BM$18+20)&lt;=$BO$18),$BN$18&amp;"-"&amp;TEXT(($BM$18+20),"00"),"")</f>
        <v/>
      </c>
      <c r="N119" s="6"/>
      <c r="O119" s="9" t="str">
        <f>IF(CC119="","",CC119&amp;"-"&amp;TEXT(COUNTIF($CA$72:$CA$95,CC119)+COUNTIF($CB$72:$CB$95,CC119)+COUNTIF($CC$72:$CC$95,CC119)+COUNTIF($CD$72:$CD$95,CC119)+COUNTIF($CA$100:$CA$123,CC119)+COUNTIF($CB$100:$CB$123,CC119)+COUNTIF($CC$100:CC119,CC119),"000"))</f>
        <v/>
      </c>
      <c r="P119" s="9" t="str">
        <f>IF(AND($BN$19&lt;&gt;"",($BM$19+20)&lt;=$BO$19),$BN$19,"")</f>
        <v/>
      </c>
      <c r="Q119" s="9" t="str">
        <f>IF(AND($BN$19&lt;&gt;"",($BM$19+20)&lt;=$BO$19),TEXT(($BM$19+20),"00"),"")</f>
        <v/>
      </c>
      <c r="R119" s="9" t="str">
        <f>IF(AND($BN$19&lt;&gt;"",($BM$19+20)&lt;=$BO$19),$BN$19&amp;"-"&amp;TEXT(($BM$19+20),"00"),"")</f>
        <v/>
      </c>
      <c r="T119" s="6"/>
      <c r="U119" s="9" t="str">
        <f>IF(CD119="","",CD119&amp;"-"&amp;TEXT(COUNTIF($CA$72:$CA$95,CD119)+COUNTIF($CB$72:$CB$95,CD119)+COUNTIF($CC$72:$CC$95,CD119)+COUNTIF($CD$72:$CD$95,CD119)+COUNTIF($CA$100:$CA$123,CD119)+COUNTIF($CB$100:$CB$123,CD119)+COUNTIF($CC$100:$CC$123,CD119)+COUNTIF($CD$100:CD119,CD119),"000"))</f>
        <v/>
      </c>
      <c r="V119" s="9" t="str">
        <f>IF(AND($BN$20&lt;&gt;"",($BM$20+20)&lt;=$BO$20),$BN$20,"")</f>
        <v/>
      </c>
      <c r="W119" s="9" t="str">
        <f>IF(AND($BN$20&lt;&gt;"",($BM$20+20)&lt;=$BO$20),TEXT(($BM$20+20),"00"),"")</f>
        <v/>
      </c>
      <c r="X119" s="9" t="str">
        <f>IF(AND($BN$20&lt;&gt;"",($BM$20+20)&lt;=$BO$20),$BN$20&amp;"-"&amp;TEXT(($BM$20+20),"00"),"")</f>
        <v/>
      </c>
      <c r="BA119">
        <f>IF(OR(Catalogo!$C119="",Catalogo!$B119="Espacio libre",Catalogo!$B119="Espacio reservado"),0,COUNTIF($C$13:$C$42,Catalogo!$C119)+IF($E$7=Catalogo!$C119,N($K$7),0)+IF($E$8=Catalogo!$C119,N($N$8),0)+IF(Proyecto!$D$12=Catalogo!$C119,$AQ$4,0)+SUMIF($C$49:$C$58,Catalogo!$C119,$K$49:$K$58))</f>
        <v>0</v>
      </c>
      <c r="CA119" t="str" cm="1">
        <f t="array" ref="CA119">IF(NOT(AND($BN$17&lt;&gt;"",($BM$17+20)&lt;=$BO$17)),"",IF(B119&lt;&gt;"",IF(B119="-","",B119),IF(ISNUMBER(SEARCH(":",$BP$17)),IFERROR(_xlfn.LET(_xlpm.s,_xlfn.TEXTSPLIT($BP$17,","),_xlpm.k,FIND(":",_xlpm.s),INDEX(TRIM(LEFT(_xlpm.s,_xlpm.k-1)),_xlfn.XMATCH(($BM$17+20),_xlfn.SCAN(0,--MID(_xlpm.s,_xlpm.k+1,9),_xlfn.LAMBDA(_xlpm.a,_xlpm.v,_xlpm.a+_xlpm.v)),1))),""),IF(($BM$17+20)&lt;=$BQ$17,$BP$17,""))))</f>
        <v/>
      </c>
      <c r="CB119" t="str" cm="1">
        <f t="array" ref="CB119">IF(NOT(AND($BN$18&lt;&gt;"",($BM$18+20)&lt;=$BO$18)),"",IF(H119&lt;&gt;"",IF(H119="-","",H119),IF(ISNUMBER(SEARCH(":",$BP$18)),IFERROR(_xlfn.LET(_xlpm.s,_xlfn.TEXTSPLIT($BP$18,","),_xlpm.k,FIND(":",_xlpm.s),INDEX(TRIM(LEFT(_xlpm.s,_xlpm.k-1)),_xlfn.XMATCH(($BM$18+20),_xlfn.SCAN(0,--MID(_xlpm.s,_xlpm.k+1,9),_xlfn.LAMBDA(_xlpm.a,_xlpm.v,_xlpm.a+_xlpm.v)),1))),""),IF(($BM$18+20)&lt;=$BQ$18,$BP$18,""))))</f>
        <v/>
      </c>
      <c r="CC119" t="str" cm="1">
        <f t="array" ref="CC119">IF(NOT(AND($BN$19&lt;&gt;"",($BM$19+20)&lt;=$BO$19)),"",IF(N119&lt;&gt;"",IF(N119="-","",N119),IF(ISNUMBER(SEARCH(":",$BP$19)),IFERROR(_xlfn.LET(_xlpm.s,_xlfn.TEXTSPLIT($BP$19,","),_xlpm.k,FIND(":",_xlpm.s),INDEX(TRIM(LEFT(_xlpm.s,_xlpm.k-1)),_xlfn.XMATCH(($BM$19+20),_xlfn.SCAN(0,--MID(_xlpm.s,_xlpm.k+1,9),_xlfn.LAMBDA(_xlpm.a,_xlpm.v,_xlpm.a+_xlpm.v)),1))),""),IF(($BM$19+20)&lt;=$BQ$19,$BP$19,""))))</f>
        <v/>
      </c>
      <c r="CD119" t="str" cm="1">
        <f t="array" ref="CD119">IF(NOT(AND($BN$20&lt;&gt;"",($BM$20+20)&lt;=$BO$20)),"",IF(T119&lt;&gt;"",IF(T119="-","",T119),IF(ISNUMBER(SEARCH(":",$BP$20)),IFERROR(_xlfn.LET(_xlpm.s,_xlfn.TEXTSPLIT($BP$20,","),_xlpm.k,FIND(":",_xlpm.s),INDEX(TRIM(LEFT(_xlpm.s,_xlpm.k-1)),_xlfn.XMATCH(($BM$20+20),_xlfn.SCAN(0,--MID(_xlpm.s,_xlpm.k+1,9),_xlfn.LAMBDA(_xlpm.a,_xlpm.v,_xlpm.a+_xlpm.v)),1))),""),IF(($BM$20+20)&lt;=$BQ$20,$BP$20,""))))</f>
        <v/>
      </c>
    </row>
    <row r="120" spans="2:82" x14ac:dyDescent="0.45">
      <c r="B120" s="6"/>
      <c r="C120" s="9" t="str">
        <f>IF(CA120="","",CA120&amp;"-"&amp;TEXT(COUNTIF($CA$72:$CA$95,CA120)+COUNTIF($CB$72:$CB$95,CA120)+COUNTIF($CC$72:$CC$95,CA120)+COUNTIF($CD$72:$CD$95,CA120)+COUNTIF($CA$100:CA120,CA120),"000"))</f>
        <v/>
      </c>
      <c r="D120" s="9" t="str">
        <f>IF(AND($BN$17&lt;&gt;"",($BM$17+21)&lt;=$BO$17),$BN$17,"")</f>
        <v/>
      </c>
      <c r="E120" s="9" t="str">
        <f>IF(AND($BN$17&lt;&gt;"",($BM$17+21)&lt;=$BO$17),TEXT(($BM$17+21),"00"),"")</f>
        <v/>
      </c>
      <c r="F120" s="9" t="str">
        <f>IF(AND($BN$17&lt;&gt;"",($BM$17+21)&lt;=$BO$17),$BN$17&amp;"-"&amp;TEXT(($BM$17+21),"00"),"")</f>
        <v/>
      </c>
      <c r="H120" s="6"/>
      <c r="I120" s="9" t="str">
        <f>IF(CB120="","",CB120&amp;"-"&amp;TEXT(COUNTIF($CA$72:$CA$95,CB120)+COUNTIF($CB$72:$CB$95,CB120)+COUNTIF($CC$72:$CC$95,CB120)+COUNTIF($CD$72:$CD$95,CB120)+COUNTIF($CA$100:$CA$123,CB120)+COUNTIF($CB$100:CB120,CB120),"000"))</f>
        <v/>
      </c>
      <c r="J120" s="9" t="str">
        <f>IF(AND($BN$18&lt;&gt;"",($BM$18+21)&lt;=$BO$18),$BN$18,"")</f>
        <v/>
      </c>
      <c r="K120" s="9" t="str">
        <f>IF(AND($BN$18&lt;&gt;"",($BM$18+21)&lt;=$BO$18),TEXT(($BM$18+21),"00"),"")</f>
        <v/>
      </c>
      <c r="L120" s="9" t="str">
        <f>IF(AND($BN$18&lt;&gt;"",($BM$18+21)&lt;=$BO$18),$BN$18&amp;"-"&amp;TEXT(($BM$18+21),"00"),"")</f>
        <v/>
      </c>
      <c r="N120" s="6"/>
      <c r="O120" s="9" t="str">
        <f>IF(CC120="","",CC120&amp;"-"&amp;TEXT(COUNTIF($CA$72:$CA$95,CC120)+COUNTIF($CB$72:$CB$95,CC120)+COUNTIF($CC$72:$CC$95,CC120)+COUNTIF($CD$72:$CD$95,CC120)+COUNTIF($CA$100:$CA$123,CC120)+COUNTIF($CB$100:$CB$123,CC120)+COUNTIF($CC$100:CC120,CC120),"000"))</f>
        <v/>
      </c>
      <c r="P120" s="9" t="str">
        <f>IF(AND($BN$19&lt;&gt;"",($BM$19+21)&lt;=$BO$19),$BN$19,"")</f>
        <v/>
      </c>
      <c r="Q120" s="9" t="str">
        <f>IF(AND($BN$19&lt;&gt;"",($BM$19+21)&lt;=$BO$19),TEXT(($BM$19+21),"00"),"")</f>
        <v/>
      </c>
      <c r="R120" s="9" t="str">
        <f>IF(AND($BN$19&lt;&gt;"",($BM$19+21)&lt;=$BO$19),$BN$19&amp;"-"&amp;TEXT(($BM$19+21),"00"),"")</f>
        <v/>
      </c>
      <c r="T120" s="6"/>
      <c r="U120" s="9" t="str">
        <f>IF(CD120="","",CD120&amp;"-"&amp;TEXT(COUNTIF($CA$72:$CA$95,CD120)+COUNTIF($CB$72:$CB$95,CD120)+COUNTIF($CC$72:$CC$95,CD120)+COUNTIF($CD$72:$CD$95,CD120)+COUNTIF($CA$100:$CA$123,CD120)+COUNTIF($CB$100:$CB$123,CD120)+COUNTIF($CC$100:$CC$123,CD120)+COUNTIF($CD$100:CD120,CD120),"000"))</f>
        <v/>
      </c>
      <c r="V120" s="9" t="str">
        <f>IF(AND($BN$20&lt;&gt;"",($BM$20+21)&lt;=$BO$20),$BN$20,"")</f>
        <v/>
      </c>
      <c r="W120" s="9" t="str">
        <f>IF(AND($BN$20&lt;&gt;"",($BM$20+21)&lt;=$BO$20),TEXT(($BM$20+21),"00"),"")</f>
        <v/>
      </c>
      <c r="X120" s="9" t="str">
        <f>IF(AND($BN$20&lt;&gt;"",($BM$20+21)&lt;=$BO$20),$BN$20&amp;"-"&amp;TEXT(($BM$20+21),"00"),"")</f>
        <v/>
      </c>
      <c r="BA120">
        <f>IF(OR(Catalogo!$C120="",Catalogo!$B120="Espacio libre",Catalogo!$B120="Espacio reservado"),0,COUNTIF($C$13:$C$42,Catalogo!$C120)+IF($E$7=Catalogo!$C120,N($K$7),0)+IF($E$8=Catalogo!$C120,N($N$8),0)+IF(Proyecto!$D$12=Catalogo!$C120,$AQ$4,0)+SUMIF($C$49:$C$58,Catalogo!$C120,$K$49:$K$58))</f>
        <v>0</v>
      </c>
      <c r="CA120" t="str" cm="1">
        <f t="array" ref="CA120">IF(NOT(AND($BN$17&lt;&gt;"",($BM$17+21)&lt;=$BO$17)),"",IF(B120&lt;&gt;"",IF(B120="-","",B120),IF(ISNUMBER(SEARCH(":",$BP$17)),IFERROR(_xlfn.LET(_xlpm.s,_xlfn.TEXTSPLIT($BP$17,","),_xlpm.k,FIND(":",_xlpm.s),INDEX(TRIM(LEFT(_xlpm.s,_xlpm.k-1)),_xlfn.XMATCH(($BM$17+21),_xlfn.SCAN(0,--MID(_xlpm.s,_xlpm.k+1,9),_xlfn.LAMBDA(_xlpm.a,_xlpm.v,_xlpm.a+_xlpm.v)),1))),""),IF(($BM$17+21)&lt;=$BQ$17,$BP$17,""))))</f>
        <v/>
      </c>
      <c r="CB120" t="str" cm="1">
        <f t="array" ref="CB120">IF(NOT(AND($BN$18&lt;&gt;"",($BM$18+21)&lt;=$BO$18)),"",IF(H120&lt;&gt;"",IF(H120="-","",H120),IF(ISNUMBER(SEARCH(":",$BP$18)),IFERROR(_xlfn.LET(_xlpm.s,_xlfn.TEXTSPLIT($BP$18,","),_xlpm.k,FIND(":",_xlpm.s),INDEX(TRIM(LEFT(_xlpm.s,_xlpm.k-1)),_xlfn.XMATCH(($BM$18+21),_xlfn.SCAN(0,--MID(_xlpm.s,_xlpm.k+1,9),_xlfn.LAMBDA(_xlpm.a,_xlpm.v,_xlpm.a+_xlpm.v)),1))),""),IF(($BM$18+21)&lt;=$BQ$18,$BP$18,""))))</f>
        <v/>
      </c>
      <c r="CC120" t="str" cm="1">
        <f t="array" ref="CC120">IF(NOT(AND($BN$19&lt;&gt;"",($BM$19+21)&lt;=$BO$19)),"",IF(N120&lt;&gt;"",IF(N120="-","",N120),IF(ISNUMBER(SEARCH(":",$BP$19)),IFERROR(_xlfn.LET(_xlpm.s,_xlfn.TEXTSPLIT($BP$19,","),_xlpm.k,FIND(":",_xlpm.s),INDEX(TRIM(LEFT(_xlpm.s,_xlpm.k-1)),_xlfn.XMATCH(($BM$19+21),_xlfn.SCAN(0,--MID(_xlpm.s,_xlpm.k+1,9),_xlfn.LAMBDA(_xlpm.a,_xlpm.v,_xlpm.a+_xlpm.v)),1))),""),IF(($BM$19+21)&lt;=$BQ$19,$BP$19,""))))</f>
        <v/>
      </c>
      <c r="CD120" t="str" cm="1">
        <f t="array" ref="CD120">IF(NOT(AND($BN$20&lt;&gt;"",($BM$20+21)&lt;=$BO$20)),"",IF(T120&lt;&gt;"",IF(T120="-","",T120),IF(ISNUMBER(SEARCH(":",$BP$20)),IFERROR(_xlfn.LET(_xlpm.s,_xlfn.TEXTSPLIT($BP$20,","),_xlpm.k,FIND(":",_xlpm.s),INDEX(TRIM(LEFT(_xlpm.s,_xlpm.k-1)),_xlfn.XMATCH(($BM$20+21),_xlfn.SCAN(0,--MID(_xlpm.s,_xlpm.k+1,9),_xlfn.LAMBDA(_xlpm.a,_xlpm.v,_xlpm.a+_xlpm.v)),1))),""),IF(($BM$20+21)&lt;=$BQ$20,$BP$20,""))))</f>
        <v/>
      </c>
    </row>
    <row r="121" spans="2:82" x14ac:dyDescent="0.45">
      <c r="B121" s="6"/>
      <c r="C121" s="9" t="str">
        <f>IF(CA121="","",CA121&amp;"-"&amp;TEXT(COUNTIF($CA$72:$CA$95,CA121)+COUNTIF($CB$72:$CB$95,CA121)+COUNTIF($CC$72:$CC$95,CA121)+COUNTIF($CD$72:$CD$95,CA121)+COUNTIF($CA$100:CA121,CA121),"000"))</f>
        <v/>
      </c>
      <c r="D121" s="9" t="str">
        <f>IF(AND($BN$17&lt;&gt;"",($BM$17+22)&lt;=$BO$17),$BN$17,"")</f>
        <v/>
      </c>
      <c r="E121" s="9" t="str">
        <f>IF(AND($BN$17&lt;&gt;"",($BM$17+22)&lt;=$BO$17),TEXT(($BM$17+22),"00"),"")</f>
        <v/>
      </c>
      <c r="F121" s="9" t="str">
        <f>IF(AND($BN$17&lt;&gt;"",($BM$17+22)&lt;=$BO$17),$BN$17&amp;"-"&amp;TEXT(($BM$17+22),"00"),"")</f>
        <v/>
      </c>
      <c r="H121" s="6"/>
      <c r="I121" s="9" t="str">
        <f>IF(CB121="","",CB121&amp;"-"&amp;TEXT(COUNTIF($CA$72:$CA$95,CB121)+COUNTIF($CB$72:$CB$95,CB121)+COUNTIF($CC$72:$CC$95,CB121)+COUNTIF($CD$72:$CD$95,CB121)+COUNTIF($CA$100:$CA$123,CB121)+COUNTIF($CB$100:CB121,CB121),"000"))</f>
        <v/>
      </c>
      <c r="J121" s="9" t="str">
        <f>IF(AND($BN$18&lt;&gt;"",($BM$18+22)&lt;=$BO$18),$BN$18,"")</f>
        <v/>
      </c>
      <c r="K121" s="9" t="str">
        <f>IF(AND($BN$18&lt;&gt;"",($BM$18+22)&lt;=$BO$18),TEXT(($BM$18+22),"00"),"")</f>
        <v/>
      </c>
      <c r="L121" s="9" t="str">
        <f>IF(AND($BN$18&lt;&gt;"",($BM$18+22)&lt;=$BO$18),$BN$18&amp;"-"&amp;TEXT(($BM$18+22),"00"),"")</f>
        <v/>
      </c>
      <c r="N121" s="6"/>
      <c r="O121" s="9" t="str">
        <f>IF(CC121="","",CC121&amp;"-"&amp;TEXT(COUNTIF($CA$72:$CA$95,CC121)+COUNTIF($CB$72:$CB$95,CC121)+COUNTIF($CC$72:$CC$95,CC121)+COUNTIF($CD$72:$CD$95,CC121)+COUNTIF($CA$100:$CA$123,CC121)+COUNTIF($CB$100:$CB$123,CC121)+COUNTIF($CC$100:CC121,CC121),"000"))</f>
        <v/>
      </c>
      <c r="P121" s="9" t="str">
        <f>IF(AND($BN$19&lt;&gt;"",($BM$19+22)&lt;=$BO$19),$BN$19,"")</f>
        <v/>
      </c>
      <c r="Q121" s="9" t="str">
        <f>IF(AND($BN$19&lt;&gt;"",($BM$19+22)&lt;=$BO$19),TEXT(($BM$19+22),"00"),"")</f>
        <v/>
      </c>
      <c r="R121" s="9" t="str">
        <f>IF(AND($BN$19&lt;&gt;"",($BM$19+22)&lt;=$BO$19),$BN$19&amp;"-"&amp;TEXT(($BM$19+22),"00"),"")</f>
        <v/>
      </c>
      <c r="T121" s="6"/>
      <c r="U121" s="9" t="str">
        <f>IF(CD121="","",CD121&amp;"-"&amp;TEXT(COUNTIF($CA$72:$CA$95,CD121)+COUNTIF($CB$72:$CB$95,CD121)+COUNTIF($CC$72:$CC$95,CD121)+COUNTIF($CD$72:$CD$95,CD121)+COUNTIF($CA$100:$CA$123,CD121)+COUNTIF($CB$100:$CB$123,CD121)+COUNTIF($CC$100:$CC$123,CD121)+COUNTIF($CD$100:CD121,CD121),"000"))</f>
        <v/>
      </c>
      <c r="V121" s="9" t="str">
        <f>IF(AND($BN$20&lt;&gt;"",($BM$20+22)&lt;=$BO$20),$BN$20,"")</f>
        <v/>
      </c>
      <c r="W121" s="9" t="str">
        <f>IF(AND($BN$20&lt;&gt;"",($BM$20+22)&lt;=$BO$20),TEXT(($BM$20+22),"00"),"")</f>
        <v/>
      </c>
      <c r="X121" s="9" t="str">
        <f>IF(AND($BN$20&lt;&gt;"",($BM$20+22)&lt;=$BO$20),$BN$20&amp;"-"&amp;TEXT(($BM$20+22),"00"),"")</f>
        <v/>
      </c>
      <c r="BA121">
        <f>IF(OR(Catalogo!$C121="",Catalogo!$B121="Espacio libre",Catalogo!$B121="Espacio reservado"),0,COUNTIF($C$13:$C$42,Catalogo!$C121)+IF($E$7=Catalogo!$C121,N($K$7),0)+IF($E$8=Catalogo!$C121,N($N$8),0)+IF(Proyecto!$D$12=Catalogo!$C121,$AQ$4,0)+SUMIF($C$49:$C$58,Catalogo!$C121,$K$49:$K$58))</f>
        <v>0</v>
      </c>
      <c r="CA121" t="str" cm="1">
        <f t="array" ref="CA121">IF(NOT(AND($BN$17&lt;&gt;"",($BM$17+22)&lt;=$BO$17)),"",IF(B121&lt;&gt;"",IF(B121="-","",B121),IF(ISNUMBER(SEARCH(":",$BP$17)),IFERROR(_xlfn.LET(_xlpm.s,_xlfn.TEXTSPLIT($BP$17,","),_xlpm.k,FIND(":",_xlpm.s),INDEX(TRIM(LEFT(_xlpm.s,_xlpm.k-1)),_xlfn.XMATCH(($BM$17+22),_xlfn.SCAN(0,--MID(_xlpm.s,_xlpm.k+1,9),_xlfn.LAMBDA(_xlpm.a,_xlpm.v,_xlpm.a+_xlpm.v)),1))),""),IF(($BM$17+22)&lt;=$BQ$17,$BP$17,""))))</f>
        <v/>
      </c>
      <c r="CB121" t="str" cm="1">
        <f t="array" ref="CB121">IF(NOT(AND($BN$18&lt;&gt;"",($BM$18+22)&lt;=$BO$18)),"",IF(H121&lt;&gt;"",IF(H121="-","",H121),IF(ISNUMBER(SEARCH(":",$BP$18)),IFERROR(_xlfn.LET(_xlpm.s,_xlfn.TEXTSPLIT($BP$18,","),_xlpm.k,FIND(":",_xlpm.s),INDEX(TRIM(LEFT(_xlpm.s,_xlpm.k-1)),_xlfn.XMATCH(($BM$18+22),_xlfn.SCAN(0,--MID(_xlpm.s,_xlpm.k+1,9),_xlfn.LAMBDA(_xlpm.a,_xlpm.v,_xlpm.a+_xlpm.v)),1))),""),IF(($BM$18+22)&lt;=$BQ$18,$BP$18,""))))</f>
        <v/>
      </c>
      <c r="CC121" t="str" cm="1">
        <f t="array" ref="CC121">IF(NOT(AND($BN$19&lt;&gt;"",($BM$19+22)&lt;=$BO$19)),"",IF(N121&lt;&gt;"",IF(N121="-","",N121),IF(ISNUMBER(SEARCH(":",$BP$19)),IFERROR(_xlfn.LET(_xlpm.s,_xlfn.TEXTSPLIT($BP$19,","),_xlpm.k,FIND(":",_xlpm.s),INDEX(TRIM(LEFT(_xlpm.s,_xlpm.k-1)),_xlfn.XMATCH(($BM$19+22),_xlfn.SCAN(0,--MID(_xlpm.s,_xlpm.k+1,9),_xlfn.LAMBDA(_xlpm.a,_xlpm.v,_xlpm.a+_xlpm.v)),1))),""),IF(($BM$19+22)&lt;=$BQ$19,$BP$19,""))))</f>
        <v/>
      </c>
      <c r="CD121" t="str" cm="1">
        <f t="array" ref="CD121">IF(NOT(AND($BN$20&lt;&gt;"",($BM$20+22)&lt;=$BO$20)),"",IF(T121&lt;&gt;"",IF(T121="-","",T121),IF(ISNUMBER(SEARCH(":",$BP$20)),IFERROR(_xlfn.LET(_xlpm.s,_xlfn.TEXTSPLIT($BP$20,","),_xlpm.k,FIND(":",_xlpm.s),INDEX(TRIM(LEFT(_xlpm.s,_xlpm.k-1)),_xlfn.XMATCH(($BM$20+22),_xlfn.SCAN(0,--MID(_xlpm.s,_xlpm.k+1,9),_xlfn.LAMBDA(_xlpm.a,_xlpm.v,_xlpm.a+_xlpm.v)),1))),""),IF(($BM$20+22)&lt;=$BQ$20,$BP$20,""))))</f>
        <v/>
      </c>
    </row>
    <row r="122" spans="2:82" x14ac:dyDescent="0.45">
      <c r="B122" s="6"/>
      <c r="C122" s="9" t="str">
        <f>IF(CA122="","",CA122&amp;"-"&amp;TEXT(COUNTIF($CA$72:$CA$95,CA122)+COUNTIF($CB$72:$CB$95,CA122)+COUNTIF($CC$72:$CC$95,CA122)+COUNTIF($CD$72:$CD$95,CA122)+COUNTIF($CA$100:CA122,CA122),"000"))</f>
        <v/>
      </c>
      <c r="D122" s="9" t="str">
        <f>IF(AND($BN$17&lt;&gt;"",($BM$17+23)&lt;=$BO$17),$BN$17,"")</f>
        <v/>
      </c>
      <c r="E122" s="9" t="str">
        <f>IF(AND($BN$17&lt;&gt;"",($BM$17+23)&lt;=$BO$17),TEXT(($BM$17+23),"00"),"")</f>
        <v/>
      </c>
      <c r="F122" s="9" t="str">
        <f>IF(AND($BN$17&lt;&gt;"",($BM$17+23)&lt;=$BO$17),$BN$17&amp;"-"&amp;TEXT(($BM$17+23),"00"),"")</f>
        <v/>
      </c>
      <c r="H122" s="6"/>
      <c r="I122" s="9" t="str">
        <f>IF(CB122="","",CB122&amp;"-"&amp;TEXT(COUNTIF($CA$72:$CA$95,CB122)+COUNTIF($CB$72:$CB$95,CB122)+COUNTIF($CC$72:$CC$95,CB122)+COUNTIF($CD$72:$CD$95,CB122)+COUNTIF($CA$100:$CA$123,CB122)+COUNTIF($CB$100:CB122,CB122),"000"))</f>
        <v/>
      </c>
      <c r="J122" s="9" t="str">
        <f>IF(AND($BN$18&lt;&gt;"",($BM$18+23)&lt;=$BO$18),$BN$18,"")</f>
        <v/>
      </c>
      <c r="K122" s="9" t="str">
        <f>IF(AND($BN$18&lt;&gt;"",($BM$18+23)&lt;=$BO$18),TEXT(($BM$18+23),"00"),"")</f>
        <v/>
      </c>
      <c r="L122" s="9" t="str">
        <f>IF(AND($BN$18&lt;&gt;"",($BM$18+23)&lt;=$BO$18),$BN$18&amp;"-"&amp;TEXT(($BM$18+23),"00"),"")</f>
        <v/>
      </c>
      <c r="N122" s="6"/>
      <c r="O122" s="9" t="str">
        <f>IF(CC122="","",CC122&amp;"-"&amp;TEXT(COUNTIF($CA$72:$CA$95,CC122)+COUNTIF($CB$72:$CB$95,CC122)+COUNTIF($CC$72:$CC$95,CC122)+COUNTIF($CD$72:$CD$95,CC122)+COUNTIF($CA$100:$CA$123,CC122)+COUNTIF($CB$100:$CB$123,CC122)+COUNTIF($CC$100:CC122,CC122),"000"))</f>
        <v/>
      </c>
      <c r="P122" s="9" t="str">
        <f>IF(AND($BN$19&lt;&gt;"",($BM$19+23)&lt;=$BO$19),$BN$19,"")</f>
        <v/>
      </c>
      <c r="Q122" s="9" t="str">
        <f>IF(AND($BN$19&lt;&gt;"",($BM$19+23)&lt;=$BO$19),TEXT(($BM$19+23),"00"),"")</f>
        <v/>
      </c>
      <c r="R122" s="9" t="str">
        <f>IF(AND($BN$19&lt;&gt;"",($BM$19+23)&lt;=$BO$19),$BN$19&amp;"-"&amp;TEXT(($BM$19+23),"00"),"")</f>
        <v/>
      </c>
      <c r="T122" s="6"/>
      <c r="U122" s="9" t="str">
        <f>IF(CD122="","",CD122&amp;"-"&amp;TEXT(COUNTIF($CA$72:$CA$95,CD122)+COUNTIF($CB$72:$CB$95,CD122)+COUNTIF($CC$72:$CC$95,CD122)+COUNTIF($CD$72:$CD$95,CD122)+COUNTIF($CA$100:$CA$123,CD122)+COUNTIF($CB$100:$CB$123,CD122)+COUNTIF($CC$100:$CC$123,CD122)+COUNTIF($CD$100:CD122,CD122),"000"))</f>
        <v/>
      </c>
      <c r="V122" s="9" t="str">
        <f>IF(AND($BN$20&lt;&gt;"",($BM$20+23)&lt;=$BO$20),$BN$20,"")</f>
        <v/>
      </c>
      <c r="W122" s="9" t="str">
        <f>IF(AND($BN$20&lt;&gt;"",($BM$20+23)&lt;=$BO$20),TEXT(($BM$20+23),"00"),"")</f>
        <v/>
      </c>
      <c r="X122" s="9" t="str">
        <f>IF(AND($BN$20&lt;&gt;"",($BM$20+23)&lt;=$BO$20),$BN$20&amp;"-"&amp;TEXT(($BM$20+23),"00"),"")</f>
        <v/>
      </c>
      <c r="BA122">
        <f>IF(OR(Catalogo!$C122="",Catalogo!$B122="Espacio libre",Catalogo!$B122="Espacio reservado"),0,COUNTIF($C$13:$C$42,Catalogo!$C122)+IF($E$7=Catalogo!$C122,N($K$7),0)+IF($E$8=Catalogo!$C122,N($N$8),0)+IF(Proyecto!$D$12=Catalogo!$C122,$AQ$4,0)+SUMIF($C$49:$C$58,Catalogo!$C122,$K$49:$K$58))</f>
        <v>0</v>
      </c>
      <c r="CA122" t="str" cm="1">
        <f t="array" ref="CA122">IF(NOT(AND($BN$17&lt;&gt;"",($BM$17+23)&lt;=$BO$17)),"",IF(B122&lt;&gt;"",IF(B122="-","",B122),IF(ISNUMBER(SEARCH(":",$BP$17)),IFERROR(_xlfn.LET(_xlpm.s,_xlfn.TEXTSPLIT($BP$17,","),_xlpm.k,FIND(":",_xlpm.s),INDEX(TRIM(LEFT(_xlpm.s,_xlpm.k-1)),_xlfn.XMATCH(($BM$17+23),_xlfn.SCAN(0,--MID(_xlpm.s,_xlpm.k+1,9),_xlfn.LAMBDA(_xlpm.a,_xlpm.v,_xlpm.a+_xlpm.v)),1))),""),IF(($BM$17+23)&lt;=$BQ$17,$BP$17,""))))</f>
        <v/>
      </c>
      <c r="CB122" t="str" cm="1">
        <f t="array" ref="CB122">IF(NOT(AND($BN$18&lt;&gt;"",($BM$18+23)&lt;=$BO$18)),"",IF(H122&lt;&gt;"",IF(H122="-","",H122),IF(ISNUMBER(SEARCH(":",$BP$18)),IFERROR(_xlfn.LET(_xlpm.s,_xlfn.TEXTSPLIT($BP$18,","),_xlpm.k,FIND(":",_xlpm.s),INDEX(TRIM(LEFT(_xlpm.s,_xlpm.k-1)),_xlfn.XMATCH(($BM$18+23),_xlfn.SCAN(0,--MID(_xlpm.s,_xlpm.k+1,9),_xlfn.LAMBDA(_xlpm.a,_xlpm.v,_xlpm.a+_xlpm.v)),1))),""),IF(($BM$18+23)&lt;=$BQ$18,$BP$18,""))))</f>
        <v/>
      </c>
      <c r="CC122" t="str" cm="1">
        <f t="array" ref="CC122">IF(NOT(AND($BN$19&lt;&gt;"",($BM$19+23)&lt;=$BO$19)),"",IF(N122&lt;&gt;"",IF(N122="-","",N122),IF(ISNUMBER(SEARCH(":",$BP$19)),IFERROR(_xlfn.LET(_xlpm.s,_xlfn.TEXTSPLIT($BP$19,","),_xlpm.k,FIND(":",_xlpm.s),INDEX(TRIM(LEFT(_xlpm.s,_xlpm.k-1)),_xlfn.XMATCH(($BM$19+23),_xlfn.SCAN(0,--MID(_xlpm.s,_xlpm.k+1,9),_xlfn.LAMBDA(_xlpm.a,_xlpm.v,_xlpm.a+_xlpm.v)),1))),""),IF(($BM$19+23)&lt;=$BQ$19,$BP$19,""))))</f>
        <v/>
      </c>
      <c r="CD122" t="str" cm="1">
        <f t="array" ref="CD122">IF(NOT(AND($BN$20&lt;&gt;"",($BM$20+23)&lt;=$BO$20)),"",IF(T122&lt;&gt;"",IF(T122="-","",T122),IF(ISNUMBER(SEARCH(":",$BP$20)),IFERROR(_xlfn.LET(_xlpm.s,_xlfn.TEXTSPLIT($BP$20,","),_xlpm.k,FIND(":",_xlpm.s),INDEX(TRIM(LEFT(_xlpm.s,_xlpm.k-1)),_xlfn.XMATCH(($BM$20+23),_xlfn.SCAN(0,--MID(_xlpm.s,_xlpm.k+1,9),_xlfn.LAMBDA(_xlpm.a,_xlpm.v,_xlpm.a+_xlpm.v)),1))),""),IF(($BM$20+23)&lt;=$BQ$20,$BP$20,""))))</f>
        <v/>
      </c>
    </row>
    <row r="123" spans="2:82" x14ac:dyDescent="0.45">
      <c r="B123" s="6"/>
      <c r="C123" s="9" t="str">
        <f>IF(CA123="","",CA123&amp;"-"&amp;TEXT(COUNTIF($CA$72:$CA$95,CA123)+COUNTIF($CB$72:$CB$95,CA123)+COUNTIF($CC$72:$CC$95,CA123)+COUNTIF($CD$72:$CD$95,CA123)+COUNTIF($CA$100:CA123,CA123),"000"))</f>
        <v/>
      </c>
      <c r="D123" s="9" t="str">
        <f>IF(AND($BN$17&lt;&gt;"",($BM$17+24)&lt;=$BO$17),$BN$17,"")</f>
        <v/>
      </c>
      <c r="E123" s="9" t="str">
        <f>IF(AND($BN$17&lt;&gt;"",($BM$17+24)&lt;=$BO$17),TEXT(($BM$17+24),"00"),"")</f>
        <v/>
      </c>
      <c r="F123" s="9" t="str">
        <f>IF(AND($BN$17&lt;&gt;"",($BM$17+24)&lt;=$BO$17),$BN$17&amp;"-"&amp;TEXT(($BM$17+24),"00"),"")</f>
        <v/>
      </c>
      <c r="H123" s="6"/>
      <c r="I123" s="9" t="str">
        <f>IF(CB123="","",CB123&amp;"-"&amp;TEXT(COUNTIF($CA$72:$CA$95,CB123)+COUNTIF($CB$72:$CB$95,CB123)+COUNTIF($CC$72:$CC$95,CB123)+COUNTIF($CD$72:$CD$95,CB123)+COUNTIF($CA$100:$CA$123,CB123)+COUNTIF($CB$100:CB123,CB123),"000"))</f>
        <v/>
      </c>
      <c r="J123" s="9" t="str">
        <f>IF(AND($BN$18&lt;&gt;"",($BM$18+24)&lt;=$BO$18),$BN$18,"")</f>
        <v/>
      </c>
      <c r="K123" s="9" t="str">
        <f>IF(AND($BN$18&lt;&gt;"",($BM$18+24)&lt;=$BO$18),TEXT(($BM$18+24),"00"),"")</f>
        <v/>
      </c>
      <c r="L123" s="9" t="str">
        <f>IF(AND($BN$18&lt;&gt;"",($BM$18+24)&lt;=$BO$18),$BN$18&amp;"-"&amp;TEXT(($BM$18+24),"00"),"")</f>
        <v/>
      </c>
      <c r="N123" s="6"/>
      <c r="O123" s="9" t="str">
        <f>IF(CC123="","",CC123&amp;"-"&amp;TEXT(COUNTIF($CA$72:$CA$95,CC123)+COUNTIF($CB$72:$CB$95,CC123)+COUNTIF($CC$72:$CC$95,CC123)+COUNTIF($CD$72:$CD$95,CC123)+COUNTIF($CA$100:$CA$123,CC123)+COUNTIF($CB$100:$CB$123,CC123)+COUNTIF($CC$100:CC123,CC123),"000"))</f>
        <v/>
      </c>
      <c r="P123" s="9" t="str">
        <f>IF(AND($BN$19&lt;&gt;"",($BM$19+24)&lt;=$BO$19),$BN$19,"")</f>
        <v/>
      </c>
      <c r="Q123" s="9" t="str">
        <f>IF(AND($BN$19&lt;&gt;"",($BM$19+24)&lt;=$BO$19),TEXT(($BM$19+24),"00"),"")</f>
        <v/>
      </c>
      <c r="R123" s="9" t="str">
        <f>IF(AND($BN$19&lt;&gt;"",($BM$19+24)&lt;=$BO$19),$BN$19&amp;"-"&amp;TEXT(($BM$19+24),"00"),"")</f>
        <v/>
      </c>
      <c r="T123" s="6"/>
      <c r="U123" s="9" t="str">
        <f>IF(CD123="","",CD123&amp;"-"&amp;TEXT(COUNTIF($CA$72:$CA$95,CD123)+COUNTIF($CB$72:$CB$95,CD123)+COUNTIF($CC$72:$CC$95,CD123)+COUNTIF($CD$72:$CD$95,CD123)+COUNTIF($CA$100:$CA$123,CD123)+COUNTIF($CB$100:$CB$123,CD123)+COUNTIF($CC$100:$CC$123,CD123)+COUNTIF($CD$100:CD123,CD123),"000"))</f>
        <v/>
      </c>
      <c r="V123" s="9" t="str">
        <f>IF(AND($BN$20&lt;&gt;"",($BM$20+24)&lt;=$BO$20),$BN$20,"")</f>
        <v/>
      </c>
      <c r="W123" s="9" t="str">
        <f>IF(AND($BN$20&lt;&gt;"",($BM$20+24)&lt;=$BO$20),TEXT(($BM$20+24),"00"),"")</f>
        <v/>
      </c>
      <c r="X123" s="9" t="str">
        <f>IF(AND($BN$20&lt;&gt;"",($BM$20+24)&lt;=$BO$20),$BN$20&amp;"-"&amp;TEXT(($BM$20+24),"00"),"")</f>
        <v/>
      </c>
      <c r="BA123">
        <f>IF(OR(Catalogo!$C123="",Catalogo!$B123="Espacio libre",Catalogo!$B123="Espacio reservado"),0,COUNTIF($C$13:$C$42,Catalogo!$C123)+IF($E$7=Catalogo!$C123,N($K$7),0)+IF($E$8=Catalogo!$C123,N($N$8),0)+IF(Proyecto!$D$12=Catalogo!$C123,$AQ$4,0)+SUMIF($C$49:$C$58,Catalogo!$C123,$K$49:$K$58))</f>
        <v>0</v>
      </c>
      <c r="CA123" t="str" cm="1">
        <f t="array" ref="CA123">IF(NOT(AND($BN$17&lt;&gt;"",($BM$17+24)&lt;=$BO$17)),"",IF(B123&lt;&gt;"",IF(B123="-","",B123),IF(ISNUMBER(SEARCH(":",$BP$17)),IFERROR(_xlfn.LET(_xlpm.s,_xlfn.TEXTSPLIT($BP$17,","),_xlpm.k,FIND(":",_xlpm.s),INDEX(TRIM(LEFT(_xlpm.s,_xlpm.k-1)),_xlfn.XMATCH(($BM$17+24),_xlfn.SCAN(0,--MID(_xlpm.s,_xlpm.k+1,9),_xlfn.LAMBDA(_xlpm.a,_xlpm.v,_xlpm.a+_xlpm.v)),1))),""),IF(($BM$17+24)&lt;=$BQ$17,$BP$17,""))))</f>
        <v/>
      </c>
      <c r="CB123" t="str" cm="1">
        <f t="array" ref="CB123">IF(NOT(AND($BN$18&lt;&gt;"",($BM$18+24)&lt;=$BO$18)),"",IF(H123&lt;&gt;"",IF(H123="-","",H123),IF(ISNUMBER(SEARCH(":",$BP$18)),IFERROR(_xlfn.LET(_xlpm.s,_xlfn.TEXTSPLIT($BP$18,","),_xlpm.k,FIND(":",_xlpm.s),INDEX(TRIM(LEFT(_xlpm.s,_xlpm.k-1)),_xlfn.XMATCH(($BM$18+24),_xlfn.SCAN(0,--MID(_xlpm.s,_xlpm.k+1,9),_xlfn.LAMBDA(_xlpm.a,_xlpm.v,_xlpm.a+_xlpm.v)),1))),""),IF(($BM$18+24)&lt;=$BQ$18,$BP$18,""))))</f>
        <v/>
      </c>
      <c r="CC123" t="str" cm="1">
        <f t="array" ref="CC123">IF(NOT(AND($BN$19&lt;&gt;"",($BM$19+24)&lt;=$BO$19)),"",IF(N123&lt;&gt;"",IF(N123="-","",N123),IF(ISNUMBER(SEARCH(":",$BP$19)),IFERROR(_xlfn.LET(_xlpm.s,_xlfn.TEXTSPLIT($BP$19,","),_xlpm.k,FIND(":",_xlpm.s),INDEX(TRIM(LEFT(_xlpm.s,_xlpm.k-1)),_xlfn.XMATCH(($BM$19+24),_xlfn.SCAN(0,--MID(_xlpm.s,_xlpm.k+1,9),_xlfn.LAMBDA(_xlpm.a,_xlpm.v,_xlpm.a+_xlpm.v)),1))),""),IF(($BM$19+24)&lt;=$BQ$19,$BP$19,""))))</f>
        <v/>
      </c>
      <c r="CD123" t="str" cm="1">
        <f t="array" ref="CD123">IF(NOT(AND($BN$20&lt;&gt;"",($BM$20+24)&lt;=$BO$20)),"",IF(T123&lt;&gt;"",IF(T123="-","",T123),IF(ISNUMBER(SEARCH(":",$BP$20)),IFERROR(_xlfn.LET(_xlpm.s,_xlfn.TEXTSPLIT($BP$20,","),_xlpm.k,FIND(":",_xlpm.s),INDEX(TRIM(LEFT(_xlpm.s,_xlpm.k-1)),_xlfn.XMATCH(($BM$20+24),_xlfn.SCAN(0,--MID(_xlpm.s,_xlpm.k+1,9),_xlfn.LAMBDA(_xlpm.a,_xlpm.v,_xlpm.a+_xlpm.v)),1))),""),IF(($BM$20+24)&lt;=$BQ$20,$BP$20,""))))</f>
        <v/>
      </c>
    </row>
    <row r="124" spans="2:82" x14ac:dyDescent="0.45">
      <c r="BA124">
        <f>IF(OR(Catalogo!$C124="",Catalogo!$B124="Espacio libre",Catalogo!$B124="Espacio reservado"),0,COUNTIF($C$13:$C$42,Catalogo!$C124)+IF($E$7=Catalogo!$C124,N($K$7),0)+IF($E$8=Catalogo!$C124,N($N$8),0)+IF(Proyecto!$D$12=Catalogo!$C124,$AQ$4,0)+SUMIF($C$49:$C$58,Catalogo!$C124,$K$49:$K$58))</f>
        <v>0</v>
      </c>
    </row>
    <row r="125" spans="2:82" x14ac:dyDescent="0.45">
      <c r="BA125">
        <f>IF(OR(Catalogo!$C125="",Catalogo!$B125="Espacio libre",Catalogo!$B125="Espacio reservado"),0,COUNTIF($C$13:$C$42,Catalogo!$C125)+IF($E$7=Catalogo!$C125,N($K$7),0)+IF($E$8=Catalogo!$C125,N($N$8),0)+IF(Proyecto!$D$12=Catalogo!$C125,$AQ$4,0)+SUMIF($C$49:$C$58,Catalogo!$C125,$K$49:$K$58))</f>
        <v>0</v>
      </c>
    </row>
    <row r="126" spans="2:82" x14ac:dyDescent="0.45">
      <c r="B126" s="51" t="str">
        <f>IF($BN$21="","Bloque 9 — sin panel","Panel "&amp;$BN$21&amp;"  (puertos "&amp;($BM$21+1)&amp;"-"&amp;MIN($BM$21+24,$BO$21)&amp;")"&amp;IF($BP$21&lt;&gt;"","  · "&amp;$BP$21,"")&amp;"  · "&amp;TEXT(IFERROR(INDEX($BS$13:$BS$28,$BL$21)/$BO$21,0),"0%"))</f>
        <v>Bloque 9 — sin panel</v>
      </c>
      <c r="C126" s="40"/>
      <c r="D126" s="40"/>
      <c r="E126" s="40"/>
      <c r="F126" s="40"/>
      <c r="H126" s="51" t="str">
        <f>IF($BN$22="","Bloque 10 — sin panel","Panel "&amp;$BN$22&amp;"  (puertos "&amp;($BM$22+1)&amp;"-"&amp;MIN($BM$22+24,$BO$22)&amp;")"&amp;IF($BP$22&lt;&gt;"","  · "&amp;$BP$22,"")&amp;"  · "&amp;TEXT(IFERROR(INDEX($BS$13:$BS$28,$BL$22)/$BO$22,0),"0%"))</f>
        <v>Bloque 10 — sin panel</v>
      </c>
      <c r="I126" s="40"/>
      <c r="J126" s="40"/>
      <c r="K126" s="40"/>
      <c r="L126" s="40"/>
      <c r="N126" s="51" t="str">
        <f>IF($BN$23="","Bloque 11 — sin panel","Panel "&amp;$BN$23&amp;"  (puertos "&amp;($BM$23+1)&amp;"-"&amp;MIN($BM$23+24,$BO$23)&amp;")"&amp;IF($BP$23&lt;&gt;"","  · "&amp;$BP$23,"")&amp;"  · "&amp;TEXT(IFERROR(INDEX($BS$13:$BS$28,$BL$23)/$BO$23,0),"0%"))</f>
        <v>Bloque 11 — sin panel</v>
      </c>
      <c r="O126" s="40"/>
      <c r="P126" s="40"/>
      <c r="Q126" s="40"/>
      <c r="R126" s="40"/>
      <c r="T126" s="51" t="str">
        <f>IF($BN$24="","Bloque 12 — sin panel","Panel "&amp;$BN$24&amp;"  (puertos "&amp;($BM$24+1)&amp;"-"&amp;MIN($BM$24+24,$BO$24)&amp;")"&amp;IF($BP$24&lt;&gt;"","  · "&amp;$BP$24,"")&amp;"  · "&amp;TEXT(IFERROR(INDEX($BS$13:$BS$28,$BL$24)/$BO$24,0),"0%"))</f>
        <v>Bloque 12 — sin panel</v>
      </c>
      <c r="U126" s="40"/>
      <c r="V126" s="40"/>
      <c r="W126" s="40"/>
      <c r="X126" s="40"/>
    </row>
    <row r="127" spans="2:82" x14ac:dyDescent="0.45">
      <c r="B127" s="5" t="s">
        <v>410</v>
      </c>
      <c r="C127" s="5" t="s">
        <v>411</v>
      </c>
      <c r="D127" s="5" t="s">
        <v>389</v>
      </c>
      <c r="E127" s="5" t="s">
        <v>412</v>
      </c>
      <c r="F127" s="5" t="s">
        <v>413</v>
      </c>
      <c r="H127" s="5" t="s">
        <v>410</v>
      </c>
      <c r="I127" s="5" t="s">
        <v>411</v>
      </c>
      <c r="J127" s="5" t="s">
        <v>389</v>
      </c>
      <c r="K127" s="5" t="s">
        <v>412</v>
      </c>
      <c r="L127" s="5" t="s">
        <v>413</v>
      </c>
      <c r="N127" s="5" t="s">
        <v>410</v>
      </c>
      <c r="O127" s="5" t="s">
        <v>411</v>
      </c>
      <c r="P127" s="5" t="s">
        <v>389</v>
      </c>
      <c r="Q127" s="5" t="s">
        <v>412</v>
      </c>
      <c r="R127" s="5" t="s">
        <v>413</v>
      </c>
      <c r="T127" s="5" t="s">
        <v>410</v>
      </c>
      <c r="U127" s="5" t="s">
        <v>411</v>
      </c>
      <c r="V127" s="5" t="s">
        <v>389</v>
      </c>
      <c r="W127" s="5" t="s">
        <v>412</v>
      </c>
      <c r="X127" s="5" t="s">
        <v>413</v>
      </c>
    </row>
    <row r="128" spans="2:82" x14ac:dyDescent="0.45">
      <c r="B128" s="6"/>
      <c r="C128" s="9" t="str">
        <f>IF(CA128="","",CA128&amp;"-"&amp;TEXT(COUNTIF($CA$72:$CA$95,CA128)+COUNTIF($CB$72:$CB$95,CA128)+COUNTIF($CC$72:$CC$95,CA128)+COUNTIF($CD$72:$CD$95,CA128)+COUNTIF($CA$100:$CA$123,CA128)+COUNTIF($CB$100:$CB$123,CA128)+COUNTIF($CC$100:$CC$123,CA128)+COUNTIF($CD$100:$CD$123,CA128)+COUNTIF($CA$128:CA128,CA128),"000"))</f>
        <v/>
      </c>
      <c r="D128" s="9" t="str">
        <f>IF(AND($BN$21&lt;&gt;"",($BM$21+1)&lt;=$BO$21),$BN$21,"")</f>
        <v/>
      </c>
      <c r="E128" s="9" t="str">
        <f>IF(AND($BN$21&lt;&gt;"",($BM$21+1)&lt;=$BO$21),TEXT(($BM$21+1),"00"),"")</f>
        <v/>
      </c>
      <c r="F128" s="9" t="str">
        <f>IF(AND($BN$21&lt;&gt;"",($BM$21+1)&lt;=$BO$21),$BN$21&amp;"-"&amp;TEXT(($BM$21+1),"00"),"")</f>
        <v/>
      </c>
      <c r="H128" s="6"/>
      <c r="I128" s="9" t="str">
        <f>IF(CB128="","",CB128&amp;"-"&amp;TEXT(COUNTIF($CA$72:$CA$95,CB128)+COUNTIF($CB$72:$CB$95,CB128)+COUNTIF($CC$72:$CC$95,CB128)+COUNTIF($CD$72:$CD$95,CB128)+COUNTIF($CA$100:$CA$123,CB128)+COUNTIF($CB$100:$CB$123,CB128)+COUNTIF($CC$100:$CC$123,CB128)+COUNTIF($CD$100:$CD$123,CB128)+COUNTIF($CA$128:$CA$151,CB128)+COUNTIF($CB$128:CB128,CB128),"000"))</f>
        <v/>
      </c>
      <c r="J128" s="9" t="str">
        <f>IF(AND($BN$22&lt;&gt;"",($BM$22+1)&lt;=$BO$22),$BN$22,"")</f>
        <v/>
      </c>
      <c r="K128" s="9" t="str">
        <f>IF(AND($BN$22&lt;&gt;"",($BM$22+1)&lt;=$BO$22),TEXT(($BM$22+1),"00"),"")</f>
        <v/>
      </c>
      <c r="L128" s="9" t="str">
        <f>IF(AND($BN$22&lt;&gt;"",($BM$22+1)&lt;=$BO$22),$BN$22&amp;"-"&amp;TEXT(($BM$22+1),"00"),"")</f>
        <v/>
      </c>
      <c r="N128" s="6"/>
      <c r="O128" s="9" t="str">
        <f>IF(CC128="","",CC128&amp;"-"&amp;TEXT(COUNTIF($CA$72:$CA$95,CC128)+COUNTIF($CB$72:$CB$95,CC128)+COUNTIF($CC$72:$CC$95,CC128)+COUNTIF($CD$72:$CD$95,CC128)+COUNTIF($CA$100:$CA$123,CC128)+COUNTIF($CB$100:$CB$123,CC128)+COUNTIF($CC$100:$CC$123,CC128)+COUNTIF($CD$100:$CD$123,CC128)+COUNTIF($CA$128:$CA$151,CC128)+COUNTIF($CB$128:$CB$151,CC128)+COUNTIF($CC$128:CC128,CC128),"000"))</f>
        <v/>
      </c>
      <c r="P128" s="9" t="str">
        <f>IF(AND($BN$23&lt;&gt;"",($BM$23+1)&lt;=$BO$23),$BN$23,"")</f>
        <v/>
      </c>
      <c r="Q128" s="9" t="str">
        <f>IF(AND($BN$23&lt;&gt;"",($BM$23+1)&lt;=$BO$23),TEXT(($BM$23+1),"00"),"")</f>
        <v/>
      </c>
      <c r="R128" s="9" t="str">
        <f>IF(AND($BN$23&lt;&gt;"",($BM$23+1)&lt;=$BO$23),$BN$23&amp;"-"&amp;TEXT(($BM$23+1),"00"),"")</f>
        <v/>
      </c>
      <c r="T128" s="6"/>
      <c r="U128" s="9" t="str">
        <f>IF(CD128="","",CD128&amp;"-"&amp;TEXT(COUNTIF($CA$72:$CA$95,CD128)+COUNTIF($CB$72:$CB$95,CD128)+COUNTIF($CC$72:$CC$95,CD128)+COUNTIF($CD$72:$CD$95,CD128)+COUNTIF($CA$100:$CA$123,CD128)+COUNTIF($CB$100:$CB$123,CD128)+COUNTIF($CC$100:$CC$123,CD128)+COUNTIF($CD$100:$CD$123,CD128)+COUNTIF($CA$128:$CA$151,CD128)+COUNTIF($CB$128:$CB$151,CD128)+COUNTIF($CC$128:$CC$151,CD128)+COUNTIF($CD$128:CD128,CD128),"000"))</f>
        <v/>
      </c>
      <c r="V128" s="9" t="str">
        <f>IF(AND($BN$24&lt;&gt;"",($BM$24+1)&lt;=$BO$24),$BN$24,"")</f>
        <v/>
      </c>
      <c r="W128" s="9" t="str">
        <f>IF(AND($BN$24&lt;&gt;"",($BM$24+1)&lt;=$BO$24),TEXT(($BM$24+1),"00"),"")</f>
        <v/>
      </c>
      <c r="X128" s="9" t="str">
        <f>IF(AND($BN$24&lt;&gt;"",($BM$24+1)&lt;=$BO$24),$BN$24&amp;"-"&amp;TEXT(($BM$24+1),"00"),"")</f>
        <v/>
      </c>
      <c r="CA128" t="str" cm="1">
        <f t="array" ref="CA128">IF(NOT(AND($BN$21&lt;&gt;"",($BM$21+1)&lt;=$BO$21)),"",IF(B128&lt;&gt;"",IF(B128="-","",B128),IF(ISNUMBER(SEARCH(":",$BP$21)),IFERROR(_xlfn.LET(_xlpm.s,_xlfn.TEXTSPLIT($BP$21,","),_xlpm.k,FIND(":",_xlpm.s),INDEX(TRIM(LEFT(_xlpm.s,_xlpm.k-1)),_xlfn.XMATCH(($BM$21+1),_xlfn.SCAN(0,--MID(_xlpm.s,_xlpm.k+1,9),_xlfn.LAMBDA(_xlpm.a,_xlpm.v,_xlpm.a+_xlpm.v)),1))),""),IF(($BM$21+1)&lt;=$BQ$21,$BP$21,""))))</f>
        <v/>
      </c>
      <c r="CB128" t="str" cm="1">
        <f t="array" ref="CB128">IF(NOT(AND($BN$22&lt;&gt;"",($BM$22+1)&lt;=$BO$22)),"",IF(H128&lt;&gt;"",IF(H128="-","",H128),IF(ISNUMBER(SEARCH(":",$BP$22)),IFERROR(_xlfn.LET(_xlpm.s,_xlfn.TEXTSPLIT($BP$22,","),_xlpm.k,FIND(":",_xlpm.s),INDEX(TRIM(LEFT(_xlpm.s,_xlpm.k-1)),_xlfn.XMATCH(($BM$22+1),_xlfn.SCAN(0,--MID(_xlpm.s,_xlpm.k+1,9),_xlfn.LAMBDA(_xlpm.a,_xlpm.v,_xlpm.a+_xlpm.v)),1))),""),IF(($BM$22+1)&lt;=$BQ$22,$BP$22,""))))</f>
        <v/>
      </c>
      <c r="CC128" t="str" cm="1">
        <f t="array" ref="CC128">IF(NOT(AND($BN$23&lt;&gt;"",($BM$23+1)&lt;=$BO$23)),"",IF(N128&lt;&gt;"",IF(N128="-","",N128),IF(ISNUMBER(SEARCH(":",$BP$23)),IFERROR(_xlfn.LET(_xlpm.s,_xlfn.TEXTSPLIT($BP$23,","),_xlpm.k,FIND(":",_xlpm.s),INDEX(TRIM(LEFT(_xlpm.s,_xlpm.k-1)),_xlfn.XMATCH(($BM$23+1),_xlfn.SCAN(0,--MID(_xlpm.s,_xlpm.k+1,9),_xlfn.LAMBDA(_xlpm.a,_xlpm.v,_xlpm.a+_xlpm.v)),1))),""),IF(($BM$23+1)&lt;=$BQ$23,$BP$23,""))))</f>
        <v/>
      </c>
      <c r="CD128" t="str" cm="1">
        <f t="array" ref="CD128">IF(NOT(AND($BN$24&lt;&gt;"",($BM$24+1)&lt;=$BO$24)),"",IF(T128&lt;&gt;"",IF(T128="-","",T128),IF(ISNUMBER(SEARCH(":",$BP$24)),IFERROR(_xlfn.LET(_xlpm.s,_xlfn.TEXTSPLIT($BP$24,","),_xlpm.k,FIND(":",_xlpm.s),INDEX(TRIM(LEFT(_xlpm.s,_xlpm.k-1)),_xlfn.XMATCH(($BM$24+1),_xlfn.SCAN(0,--MID(_xlpm.s,_xlpm.k+1,9),_xlfn.LAMBDA(_xlpm.a,_xlpm.v,_xlpm.a+_xlpm.v)),1))),""),IF(($BM$24+1)&lt;=$BQ$24,$BP$24,""))))</f>
        <v/>
      </c>
    </row>
    <row r="129" spans="2:82" x14ac:dyDescent="0.45">
      <c r="B129" s="6"/>
      <c r="C129" s="9" t="str">
        <f>IF(CA129="","",CA129&amp;"-"&amp;TEXT(COUNTIF($CA$72:$CA$95,CA129)+COUNTIF($CB$72:$CB$95,CA129)+COUNTIF($CC$72:$CC$95,CA129)+COUNTIF($CD$72:$CD$95,CA129)+COUNTIF($CA$100:$CA$123,CA129)+COUNTIF($CB$100:$CB$123,CA129)+COUNTIF($CC$100:$CC$123,CA129)+COUNTIF($CD$100:$CD$123,CA129)+COUNTIF($CA$128:CA129,CA129),"000"))</f>
        <v/>
      </c>
      <c r="D129" s="9" t="str">
        <f>IF(AND($BN$21&lt;&gt;"",($BM$21+2)&lt;=$BO$21),$BN$21,"")</f>
        <v/>
      </c>
      <c r="E129" s="9" t="str">
        <f>IF(AND($BN$21&lt;&gt;"",($BM$21+2)&lt;=$BO$21),TEXT(($BM$21+2),"00"),"")</f>
        <v/>
      </c>
      <c r="F129" s="9" t="str">
        <f>IF(AND($BN$21&lt;&gt;"",($BM$21+2)&lt;=$BO$21),$BN$21&amp;"-"&amp;TEXT(($BM$21+2),"00"),"")</f>
        <v/>
      </c>
      <c r="H129" s="6"/>
      <c r="I129" s="9" t="str">
        <f>IF(CB129="","",CB129&amp;"-"&amp;TEXT(COUNTIF($CA$72:$CA$95,CB129)+COUNTIF($CB$72:$CB$95,CB129)+COUNTIF($CC$72:$CC$95,CB129)+COUNTIF($CD$72:$CD$95,CB129)+COUNTIF($CA$100:$CA$123,CB129)+COUNTIF($CB$100:$CB$123,CB129)+COUNTIF($CC$100:$CC$123,CB129)+COUNTIF($CD$100:$CD$123,CB129)+COUNTIF($CA$128:$CA$151,CB129)+COUNTIF($CB$128:CB129,CB129),"000"))</f>
        <v/>
      </c>
      <c r="J129" s="9" t="str">
        <f>IF(AND($BN$22&lt;&gt;"",($BM$22+2)&lt;=$BO$22),$BN$22,"")</f>
        <v/>
      </c>
      <c r="K129" s="9" t="str">
        <f>IF(AND($BN$22&lt;&gt;"",($BM$22+2)&lt;=$BO$22),TEXT(($BM$22+2),"00"),"")</f>
        <v/>
      </c>
      <c r="L129" s="9" t="str">
        <f>IF(AND($BN$22&lt;&gt;"",($BM$22+2)&lt;=$BO$22),$BN$22&amp;"-"&amp;TEXT(($BM$22+2),"00"),"")</f>
        <v/>
      </c>
      <c r="N129" s="6"/>
      <c r="O129" s="9" t="str">
        <f>IF(CC129="","",CC129&amp;"-"&amp;TEXT(COUNTIF($CA$72:$CA$95,CC129)+COUNTIF($CB$72:$CB$95,CC129)+COUNTIF($CC$72:$CC$95,CC129)+COUNTIF($CD$72:$CD$95,CC129)+COUNTIF($CA$100:$CA$123,CC129)+COUNTIF($CB$100:$CB$123,CC129)+COUNTIF($CC$100:$CC$123,CC129)+COUNTIF($CD$100:$CD$123,CC129)+COUNTIF($CA$128:$CA$151,CC129)+COUNTIF($CB$128:$CB$151,CC129)+COUNTIF($CC$128:CC129,CC129),"000"))</f>
        <v/>
      </c>
      <c r="P129" s="9" t="str">
        <f>IF(AND($BN$23&lt;&gt;"",($BM$23+2)&lt;=$BO$23),$BN$23,"")</f>
        <v/>
      </c>
      <c r="Q129" s="9" t="str">
        <f>IF(AND($BN$23&lt;&gt;"",($BM$23+2)&lt;=$BO$23),TEXT(($BM$23+2),"00"),"")</f>
        <v/>
      </c>
      <c r="R129" s="9" t="str">
        <f>IF(AND($BN$23&lt;&gt;"",($BM$23+2)&lt;=$BO$23),$BN$23&amp;"-"&amp;TEXT(($BM$23+2),"00"),"")</f>
        <v/>
      </c>
      <c r="T129" s="6"/>
      <c r="U129" s="9" t="str">
        <f>IF(CD129="","",CD129&amp;"-"&amp;TEXT(COUNTIF($CA$72:$CA$95,CD129)+COUNTIF($CB$72:$CB$95,CD129)+COUNTIF($CC$72:$CC$95,CD129)+COUNTIF($CD$72:$CD$95,CD129)+COUNTIF($CA$100:$CA$123,CD129)+COUNTIF($CB$100:$CB$123,CD129)+COUNTIF($CC$100:$CC$123,CD129)+COUNTIF($CD$100:$CD$123,CD129)+COUNTIF($CA$128:$CA$151,CD129)+COUNTIF($CB$128:$CB$151,CD129)+COUNTIF($CC$128:$CC$151,CD129)+COUNTIF($CD$128:CD129,CD129),"000"))</f>
        <v/>
      </c>
      <c r="V129" s="9" t="str">
        <f>IF(AND($BN$24&lt;&gt;"",($BM$24+2)&lt;=$BO$24),$BN$24,"")</f>
        <v/>
      </c>
      <c r="W129" s="9" t="str">
        <f>IF(AND($BN$24&lt;&gt;"",($BM$24+2)&lt;=$BO$24),TEXT(($BM$24+2),"00"),"")</f>
        <v/>
      </c>
      <c r="X129" s="9" t="str">
        <f>IF(AND($BN$24&lt;&gt;"",($BM$24+2)&lt;=$BO$24),$BN$24&amp;"-"&amp;TEXT(($BM$24+2),"00"),"")</f>
        <v/>
      </c>
      <c r="CA129" t="str" cm="1">
        <f t="array" ref="CA129">IF(NOT(AND($BN$21&lt;&gt;"",($BM$21+2)&lt;=$BO$21)),"",IF(B129&lt;&gt;"",IF(B129="-","",B129),IF(ISNUMBER(SEARCH(":",$BP$21)),IFERROR(_xlfn.LET(_xlpm.s,_xlfn.TEXTSPLIT($BP$21,","),_xlpm.k,FIND(":",_xlpm.s),INDEX(TRIM(LEFT(_xlpm.s,_xlpm.k-1)),_xlfn.XMATCH(($BM$21+2),_xlfn.SCAN(0,--MID(_xlpm.s,_xlpm.k+1,9),_xlfn.LAMBDA(_xlpm.a,_xlpm.v,_xlpm.a+_xlpm.v)),1))),""),IF(($BM$21+2)&lt;=$BQ$21,$BP$21,""))))</f>
        <v/>
      </c>
      <c r="CB129" t="str" cm="1">
        <f t="array" ref="CB129">IF(NOT(AND($BN$22&lt;&gt;"",($BM$22+2)&lt;=$BO$22)),"",IF(H129&lt;&gt;"",IF(H129="-","",H129),IF(ISNUMBER(SEARCH(":",$BP$22)),IFERROR(_xlfn.LET(_xlpm.s,_xlfn.TEXTSPLIT($BP$22,","),_xlpm.k,FIND(":",_xlpm.s),INDEX(TRIM(LEFT(_xlpm.s,_xlpm.k-1)),_xlfn.XMATCH(($BM$22+2),_xlfn.SCAN(0,--MID(_xlpm.s,_xlpm.k+1,9),_xlfn.LAMBDA(_xlpm.a,_xlpm.v,_xlpm.a+_xlpm.v)),1))),""),IF(($BM$22+2)&lt;=$BQ$22,$BP$22,""))))</f>
        <v/>
      </c>
      <c r="CC129" t="str" cm="1">
        <f t="array" ref="CC129">IF(NOT(AND($BN$23&lt;&gt;"",($BM$23+2)&lt;=$BO$23)),"",IF(N129&lt;&gt;"",IF(N129="-","",N129),IF(ISNUMBER(SEARCH(":",$BP$23)),IFERROR(_xlfn.LET(_xlpm.s,_xlfn.TEXTSPLIT($BP$23,","),_xlpm.k,FIND(":",_xlpm.s),INDEX(TRIM(LEFT(_xlpm.s,_xlpm.k-1)),_xlfn.XMATCH(($BM$23+2),_xlfn.SCAN(0,--MID(_xlpm.s,_xlpm.k+1,9),_xlfn.LAMBDA(_xlpm.a,_xlpm.v,_xlpm.a+_xlpm.v)),1))),""),IF(($BM$23+2)&lt;=$BQ$23,$BP$23,""))))</f>
        <v/>
      </c>
      <c r="CD129" t="str" cm="1">
        <f t="array" ref="CD129">IF(NOT(AND($BN$24&lt;&gt;"",($BM$24+2)&lt;=$BO$24)),"",IF(T129&lt;&gt;"",IF(T129="-","",T129),IF(ISNUMBER(SEARCH(":",$BP$24)),IFERROR(_xlfn.LET(_xlpm.s,_xlfn.TEXTSPLIT($BP$24,","),_xlpm.k,FIND(":",_xlpm.s),INDEX(TRIM(LEFT(_xlpm.s,_xlpm.k-1)),_xlfn.XMATCH(($BM$24+2),_xlfn.SCAN(0,--MID(_xlpm.s,_xlpm.k+1,9),_xlfn.LAMBDA(_xlpm.a,_xlpm.v,_xlpm.a+_xlpm.v)),1))),""),IF(($BM$24+2)&lt;=$BQ$24,$BP$24,""))))</f>
        <v/>
      </c>
    </row>
    <row r="130" spans="2:82" x14ac:dyDescent="0.45">
      <c r="B130" s="6"/>
      <c r="C130" s="9" t="str">
        <f>IF(CA130="","",CA130&amp;"-"&amp;TEXT(COUNTIF($CA$72:$CA$95,CA130)+COUNTIF($CB$72:$CB$95,CA130)+COUNTIF($CC$72:$CC$95,CA130)+COUNTIF($CD$72:$CD$95,CA130)+COUNTIF($CA$100:$CA$123,CA130)+COUNTIF($CB$100:$CB$123,CA130)+COUNTIF($CC$100:$CC$123,CA130)+COUNTIF($CD$100:$CD$123,CA130)+COUNTIF($CA$128:CA130,CA130),"000"))</f>
        <v/>
      </c>
      <c r="D130" s="9" t="str">
        <f>IF(AND($BN$21&lt;&gt;"",($BM$21+3)&lt;=$BO$21),$BN$21,"")</f>
        <v/>
      </c>
      <c r="E130" s="9" t="str">
        <f>IF(AND($BN$21&lt;&gt;"",($BM$21+3)&lt;=$BO$21),TEXT(($BM$21+3),"00"),"")</f>
        <v/>
      </c>
      <c r="F130" s="9" t="str">
        <f>IF(AND($BN$21&lt;&gt;"",($BM$21+3)&lt;=$BO$21),$BN$21&amp;"-"&amp;TEXT(($BM$21+3),"00"),"")</f>
        <v/>
      </c>
      <c r="H130" s="6"/>
      <c r="I130" s="9" t="str">
        <f>IF(CB130="","",CB130&amp;"-"&amp;TEXT(COUNTIF($CA$72:$CA$95,CB130)+COUNTIF($CB$72:$CB$95,CB130)+COUNTIF($CC$72:$CC$95,CB130)+COUNTIF($CD$72:$CD$95,CB130)+COUNTIF($CA$100:$CA$123,CB130)+COUNTIF($CB$100:$CB$123,CB130)+COUNTIF($CC$100:$CC$123,CB130)+COUNTIF($CD$100:$CD$123,CB130)+COUNTIF($CA$128:$CA$151,CB130)+COUNTIF($CB$128:CB130,CB130),"000"))</f>
        <v/>
      </c>
      <c r="J130" s="9" t="str">
        <f>IF(AND($BN$22&lt;&gt;"",($BM$22+3)&lt;=$BO$22),$BN$22,"")</f>
        <v/>
      </c>
      <c r="K130" s="9" t="str">
        <f>IF(AND($BN$22&lt;&gt;"",($BM$22+3)&lt;=$BO$22),TEXT(($BM$22+3),"00"),"")</f>
        <v/>
      </c>
      <c r="L130" s="9" t="str">
        <f>IF(AND($BN$22&lt;&gt;"",($BM$22+3)&lt;=$BO$22),$BN$22&amp;"-"&amp;TEXT(($BM$22+3),"00"),"")</f>
        <v/>
      </c>
      <c r="N130" s="6"/>
      <c r="O130" s="9" t="str">
        <f>IF(CC130="","",CC130&amp;"-"&amp;TEXT(COUNTIF($CA$72:$CA$95,CC130)+COUNTIF($CB$72:$CB$95,CC130)+COUNTIF($CC$72:$CC$95,CC130)+COUNTIF($CD$72:$CD$95,CC130)+COUNTIF($CA$100:$CA$123,CC130)+COUNTIF($CB$100:$CB$123,CC130)+COUNTIF($CC$100:$CC$123,CC130)+COUNTIF($CD$100:$CD$123,CC130)+COUNTIF($CA$128:$CA$151,CC130)+COUNTIF($CB$128:$CB$151,CC130)+COUNTIF($CC$128:CC130,CC130),"000"))</f>
        <v/>
      </c>
      <c r="P130" s="9" t="str">
        <f>IF(AND($BN$23&lt;&gt;"",($BM$23+3)&lt;=$BO$23),$BN$23,"")</f>
        <v/>
      </c>
      <c r="Q130" s="9" t="str">
        <f>IF(AND($BN$23&lt;&gt;"",($BM$23+3)&lt;=$BO$23),TEXT(($BM$23+3),"00"),"")</f>
        <v/>
      </c>
      <c r="R130" s="9" t="str">
        <f>IF(AND($BN$23&lt;&gt;"",($BM$23+3)&lt;=$BO$23),$BN$23&amp;"-"&amp;TEXT(($BM$23+3),"00"),"")</f>
        <v/>
      </c>
      <c r="T130" s="6"/>
      <c r="U130" s="9" t="str">
        <f>IF(CD130="","",CD130&amp;"-"&amp;TEXT(COUNTIF($CA$72:$CA$95,CD130)+COUNTIF($CB$72:$CB$95,CD130)+COUNTIF($CC$72:$CC$95,CD130)+COUNTIF($CD$72:$CD$95,CD130)+COUNTIF($CA$100:$CA$123,CD130)+COUNTIF($CB$100:$CB$123,CD130)+COUNTIF($CC$100:$CC$123,CD130)+COUNTIF($CD$100:$CD$123,CD130)+COUNTIF($CA$128:$CA$151,CD130)+COUNTIF($CB$128:$CB$151,CD130)+COUNTIF($CC$128:$CC$151,CD130)+COUNTIF($CD$128:CD130,CD130),"000"))</f>
        <v/>
      </c>
      <c r="V130" s="9" t="str">
        <f>IF(AND($BN$24&lt;&gt;"",($BM$24+3)&lt;=$BO$24),$BN$24,"")</f>
        <v/>
      </c>
      <c r="W130" s="9" t="str">
        <f>IF(AND($BN$24&lt;&gt;"",($BM$24+3)&lt;=$BO$24),TEXT(($BM$24+3),"00"),"")</f>
        <v/>
      </c>
      <c r="X130" s="9" t="str">
        <f>IF(AND($BN$24&lt;&gt;"",($BM$24+3)&lt;=$BO$24),$BN$24&amp;"-"&amp;TEXT(($BM$24+3),"00"),"")</f>
        <v/>
      </c>
      <c r="CA130" t="str" cm="1">
        <f t="array" ref="CA130">IF(NOT(AND($BN$21&lt;&gt;"",($BM$21+3)&lt;=$BO$21)),"",IF(B130&lt;&gt;"",IF(B130="-","",B130),IF(ISNUMBER(SEARCH(":",$BP$21)),IFERROR(_xlfn.LET(_xlpm.s,_xlfn.TEXTSPLIT($BP$21,","),_xlpm.k,FIND(":",_xlpm.s),INDEX(TRIM(LEFT(_xlpm.s,_xlpm.k-1)),_xlfn.XMATCH(($BM$21+3),_xlfn.SCAN(0,--MID(_xlpm.s,_xlpm.k+1,9),_xlfn.LAMBDA(_xlpm.a,_xlpm.v,_xlpm.a+_xlpm.v)),1))),""),IF(($BM$21+3)&lt;=$BQ$21,$BP$21,""))))</f>
        <v/>
      </c>
      <c r="CB130" t="str" cm="1">
        <f t="array" ref="CB130">IF(NOT(AND($BN$22&lt;&gt;"",($BM$22+3)&lt;=$BO$22)),"",IF(H130&lt;&gt;"",IF(H130="-","",H130),IF(ISNUMBER(SEARCH(":",$BP$22)),IFERROR(_xlfn.LET(_xlpm.s,_xlfn.TEXTSPLIT($BP$22,","),_xlpm.k,FIND(":",_xlpm.s),INDEX(TRIM(LEFT(_xlpm.s,_xlpm.k-1)),_xlfn.XMATCH(($BM$22+3),_xlfn.SCAN(0,--MID(_xlpm.s,_xlpm.k+1,9),_xlfn.LAMBDA(_xlpm.a,_xlpm.v,_xlpm.a+_xlpm.v)),1))),""),IF(($BM$22+3)&lt;=$BQ$22,$BP$22,""))))</f>
        <v/>
      </c>
      <c r="CC130" t="str" cm="1">
        <f t="array" ref="CC130">IF(NOT(AND($BN$23&lt;&gt;"",($BM$23+3)&lt;=$BO$23)),"",IF(N130&lt;&gt;"",IF(N130="-","",N130),IF(ISNUMBER(SEARCH(":",$BP$23)),IFERROR(_xlfn.LET(_xlpm.s,_xlfn.TEXTSPLIT($BP$23,","),_xlpm.k,FIND(":",_xlpm.s),INDEX(TRIM(LEFT(_xlpm.s,_xlpm.k-1)),_xlfn.XMATCH(($BM$23+3),_xlfn.SCAN(0,--MID(_xlpm.s,_xlpm.k+1,9),_xlfn.LAMBDA(_xlpm.a,_xlpm.v,_xlpm.a+_xlpm.v)),1))),""),IF(($BM$23+3)&lt;=$BQ$23,$BP$23,""))))</f>
        <v/>
      </c>
      <c r="CD130" t="str" cm="1">
        <f t="array" ref="CD130">IF(NOT(AND($BN$24&lt;&gt;"",($BM$24+3)&lt;=$BO$24)),"",IF(T130&lt;&gt;"",IF(T130="-","",T130),IF(ISNUMBER(SEARCH(":",$BP$24)),IFERROR(_xlfn.LET(_xlpm.s,_xlfn.TEXTSPLIT($BP$24,","),_xlpm.k,FIND(":",_xlpm.s),INDEX(TRIM(LEFT(_xlpm.s,_xlpm.k-1)),_xlfn.XMATCH(($BM$24+3),_xlfn.SCAN(0,--MID(_xlpm.s,_xlpm.k+1,9),_xlfn.LAMBDA(_xlpm.a,_xlpm.v,_xlpm.a+_xlpm.v)),1))),""),IF(($BM$24+3)&lt;=$BQ$24,$BP$24,""))))</f>
        <v/>
      </c>
    </row>
    <row r="131" spans="2:82" x14ac:dyDescent="0.45">
      <c r="B131" s="6"/>
      <c r="C131" s="9" t="str">
        <f>IF(CA131="","",CA131&amp;"-"&amp;TEXT(COUNTIF($CA$72:$CA$95,CA131)+COUNTIF($CB$72:$CB$95,CA131)+COUNTIF($CC$72:$CC$95,CA131)+COUNTIF($CD$72:$CD$95,CA131)+COUNTIF($CA$100:$CA$123,CA131)+COUNTIF($CB$100:$CB$123,CA131)+COUNTIF($CC$100:$CC$123,CA131)+COUNTIF($CD$100:$CD$123,CA131)+COUNTIF($CA$128:CA131,CA131),"000"))</f>
        <v/>
      </c>
      <c r="D131" s="9" t="str">
        <f>IF(AND($BN$21&lt;&gt;"",($BM$21+4)&lt;=$BO$21),$BN$21,"")</f>
        <v/>
      </c>
      <c r="E131" s="9" t="str">
        <f>IF(AND($BN$21&lt;&gt;"",($BM$21+4)&lt;=$BO$21),TEXT(($BM$21+4),"00"),"")</f>
        <v/>
      </c>
      <c r="F131" s="9" t="str">
        <f>IF(AND($BN$21&lt;&gt;"",($BM$21+4)&lt;=$BO$21),$BN$21&amp;"-"&amp;TEXT(($BM$21+4),"00"),"")</f>
        <v/>
      </c>
      <c r="H131" s="6"/>
      <c r="I131" s="9" t="str">
        <f>IF(CB131="","",CB131&amp;"-"&amp;TEXT(COUNTIF($CA$72:$CA$95,CB131)+COUNTIF($CB$72:$CB$95,CB131)+COUNTIF($CC$72:$CC$95,CB131)+COUNTIF($CD$72:$CD$95,CB131)+COUNTIF($CA$100:$CA$123,CB131)+COUNTIF($CB$100:$CB$123,CB131)+COUNTIF($CC$100:$CC$123,CB131)+COUNTIF($CD$100:$CD$123,CB131)+COUNTIF($CA$128:$CA$151,CB131)+COUNTIF($CB$128:CB131,CB131),"000"))</f>
        <v/>
      </c>
      <c r="J131" s="9" t="str">
        <f>IF(AND($BN$22&lt;&gt;"",($BM$22+4)&lt;=$BO$22),$BN$22,"")</f>
        <v/>
      </c>
      <c r="K131" s="9" t="str">
        <f>IF(AND($BN$22&lt;&gt;"",($BM$22+4)&lt;=$BO$22),TEXT(($BM$22+4),"00"),"")</f>
        <v/>
      </c>
      <c r="L131" s="9" t="str">
        <f>IF(AND($BN$22&lt;&gt;"",($BM$22+4)&lt;=$BO$22),$BN$22&amp;"-"&amp;TEXT(($BM$22+4),"00"),"")</f>
        <v/>
      </c>
      <c r="N131" s="6"/>
      <c r="O131" s="9" t="str">
        <f>IF(CC131="","",CC131&amp;"-"&amp;TEXT(COUNTIF($CA$72:$CA$95,CC131)+COUNTIF($CB$72:$CB$95,CC131)+COUNTIF($CC$72:$CC$95,CC131)+COUNTIF($CD$72:$CD$95,CC131)+COUNTIF($CA$100:$CA$123,CC131)+COUNTIF($CB$100:$CB$123,CC131)+COUNTIF($CC$100:$CC$123,CC131)+COUNTIF($CD$100:$CD$123,CC131)+COUNTIF($CA$128:$CA$151,CC131)+COUNTIF($CB$128:$CB$151,CC131)+COUNTIF($CC$128:CC131,CC131),"000"))</f>
        <v/>
      </c>
      <c r="P131" s="9" t="str">
        <f>IF(AND($BN$23&lt;&gt;"",($BM$23+4)&lt;=$BO$23),$BN$23,"")</f>
        <v/>
      </c>
      <c r="Q131" s="9" t="str">
        <f>IF(AND($BN$23&lt;&gt;"",($BM$23+4)&lt;=$BO$23),TEXT(($BM$23+4),"00"),"")</f>
        <v/>
      </c>
      <c r="R131" s="9" t="str">
        <f>IF(AND($BN$23&lt;&gt;"",($BM$23+4)&lt;=$BO$23),$BN$23&amp;"-"&amp;TEXT(($BM$23+4),"00"),"")</f>
        <v/>
      </c>
      <c r="T131" s="6"/>
      <c r="U131" s="9" t="str">
        <f>IF(CD131="","",CD131&amp;"-"&amp;TEXT(COUNTIF($CA$72:$CA$95,CD131)+COUNTIF($CB$72:$CB$95,CD131)+COUNTIF($CC$72:$CC$95,CD131)+COUNTIF($CD$72:$CD$95,CD131)+COUNTIF($CA$100:$CA$123,CD131)+COUNTIF($CB$100:$CB$123,CD131)+COUNTIF($CC$100:$CC$123,CD131)+COUNTIF($CD$100:$CD$123,CD131)+COUNTIF($CA$128:$CA$151,CD131)+COUNTIF($CB$128:$CB$151,CD131)+COUNTIF($CC$128:$CC$151,CD131)+COUNTIF($CD$128:CD131,CD131),"000"))</f>
        <v/>
      </c>
      <c r="V131" s="9" t="str">
        <f>IF(AND($BN$24&lt;&gt;"",($BM$24+4)&lt;=$BO$24),$BN$24,"")</f>
        <v/>
      </c>
      <c r="W131" s="9" t="str">
        <f>IF(AND($BN$24&lt;&gt;"",($BM$24+4)&lt;=$BO$24),TEXT(($BM$24+4),"00"),"")</f>
        <v/>
      </c>
      <c r="X131" s="9" t="str">
        <f>IF(AND($BN$24&lt;&gt;"",($BM$24+4)&lt;=$BO$24),$BN$24&amp;"-"&amp;TEXT(($BM$24+4),"00"),"")</f>
        <v/>
      </c>
      <c r="CA131" t="str" cm="1">
        <f t="array" ref="CA131">IF(NOT(AND($BN$21&lt;&gt;"",($BM$21+4)&lt;=$BO$21)),"",IF(B131&lt;&gt;"",IF(B131="-","",B131),IF(ISNUMBER(SEARCH(":",$BP$21)),IFERROR(_xlfn.LET(_xlpm.s,_xlfn.TEXTSPLIT($BP$21,","),_xlpm.k,FIND(":",_xlpm.s),INDEX(TRIM(LEFT(_xlpm.s,_xlpm.k-1)),_xlfn.XMATCH(($BM$21+4),_xlfn.SCAN(0,--MID(_xlpm.s,_xlpm.k+1,9),_xlfn.LAMBDA(_xlpm.a,_xlpm.v,_xlpm.a+_xlpm.v)),1))),""),IF(($BM$21+4)&lt;=$BQ$21,$BP$21,""))))</f>
        <v/>
      </c>
      <c r="CB131" t="str" cm="1">
        <f t="array" ref="CB131">IF(NOT(AND($BN$22&lt;&gt;"",($BM$22+4)&lt;=$BO$22)),"",IF(H131&lt;&gt;"",IF(H131="-","",H131),IF(ISNUMBER(SEARCH(":",$BP$22)),IFERROR(_xlfn.LET(_xlpm.s,_xlfn.TEXTSPLIT($BP$22,","),_xlpm.k,FIND(":",_xlpm.s),INDEX(TRIM(LEFT(_xlpm.s,_xlpm.k-1)),_xlfn.XMATCH(($BM$22+4),_xlfn.SCAN(0,--MID(_xlpm.s,_xlpm.k+1,9),_xlfn.LAMBDA(_xlpm.a,_xlpm.v,_xlpm.a+_xlpm.v)),1))),""),IF(($BM$22+4)&lt;=$BQ$22,$BP$22,""))))</f>
        <v/>
      </c>
      <c r="CC131" t="str" cm="1">
        <f t="array" ref="CC131">IF(NOT(AND($BN$23&lt;&gt;"",($BM$23+4)&lt;=$BO$23)),"",IF(N131&lt;&gt;"",IF(N131="-","",N131),IF(ISNUMBER(SEARCH(":",$BP$23)),IFERROR(_xlfn.LET(_xlpm.s,_xlfn.TEXTSPLIT($BP$23,","),_xlpm.k,FIND(":",_xlpm.s),INDEX(TRIM(LEFT(_xlpm.s,_xlpm.k-1)),_xlfn.XMATCH(($BM$23+4),_xlfn.SCAN(0,--MID(_xlpm.s,_xlpm.k+1,9),_xlfn.LAMBDA(_xlpm.a,_xlpm.v,_xlpm.a+_xlpm.v)),1))),""),IF(($BM$23+4)&lt;=$BQ$23,$BP$23,""))))</f>
        <v/>
      </c>
      <c r="CD131" t="str" cm="1">
        <f t="array" ref="CD131">IF(NOT(AND($BN$24&lt;&gt;"",($BM$24+4)&lt;=$BO$24)),"",IF(T131&lt;&gt;"",IF(T131="-","",T131),IF(ISNUMBER(SEARCH(":",$BP$24)),IFERROR(_xlfn.LET(_xlpm.s,_xlfn.TEXTSPLIT($BP$24,","),_xlpm.k,FIND(":",_xlpm.s),INDEX(TRIM(LEFT(_xlpm.s,_xlpm.k-1)),_xlfn.XMATCH(($BM$24+4),_xlfn.SCAN(0,--MID(_xlpm.s,_xlpm.k+1,9),_xlfn.LAMBDA(_xlpm.a,_xlpm.v,_xlpm.a+_xlpm.v)),1))),""),IF(($BM$24+4)&lt;=$BQ$24,$BP$24,""))))</f>
        <v/>
      </c>
    </row>
    <row r="132" spans="2:82" x14ac:dyDescent="0.45">
      <c r="B132" s="6"/>
      <c r="C132" s="9" t="str">
        <f>IF(CA132="","",CA132&amp;"-"&amp;TEXT(COUNTIF($CA$72:$CA$95,CA132)+COUNTIF($CB$72:$CB$95,CA132)+COUNTIF($CC$72:$CC$95,CA132)+COUNTIF($CD$72:$CD$95,CA132)+COUNTIF($CA$100:$CA$123,CA132)+COUNTIF($CB$100:$CB$123,CA132)+COUNTIF($CC$100:$CC$123,CA132)+COUNTIF($CD$100:$CD$123,CA132)+COUNTIF($CA$128:CA132,CA132),"000"))</f>
        <v/>
      </c>
      <c r="D132" s="9" t="str">
        <f>IF(AND($BN$21&lt;&gt;"",($BM$21+5)&lt;=$BO$21),$BN$21,"")</f>
        <v/>
      </c>
      <c r="E132" s="9" t="str">
        <f>IF(AND($BN$21&lt;&gt;"",($BM$21+5)&lt;=$BO$21),TEXT(($BM$21+5),"00"),"")</f>
        <v/>
      </c>
      <c r="F132" s="9" t="str">
        <f>IF(AND($BN$21&lt;&gt;"",($BM$21+5)&lt;=$BO$21),$BN$21&amp;"-"&amp;TEXT(($BM$21+5),"00"),"")</f>
        <v/>
      </c>
      <c r="H132" s="6"/>
      <c r="I132" s="9" t="str">
        <f>IF(CB132="","",CB132&amp;"-"&amp;TEXT(COUNTIF($CA$72:$CA$95,CB132)+COUNTIF($CB$72:$CB$95,CB132)+COUNTIF($CC$72:$CC$95,CB132)+COUNTIF($CD$72:$CD$95,CB132)+COUNTIF($CA$100:$CA$123,CB132)+COUNTIF($CB$100:$CB$123,CB132)+COUNTIF($CC$100:$CC$123,CB132)+COUNTIF($CD$100:$CD$123,CB132)+COUNTIF($CA$128:$CA$151,CB132)+COUNTIF($CB$128:CB132,CB132),"000"))</f>
        <v/>
      </c>
      <c r="J132" s="9" t="str">
        <f>IF(AND($BN$22&lt;&gt;"",($BM$22+5)&lt;=$BO$22),$BN$22,"")</f>
        <v/>
      </c>
      <c r="K132" s="9" t="str">
        <f>IF(AND($BN$22&lt;&gt;"",($BM$22+5)&lt;=$BO$22),TEXT(($BM$22+5),"00"),"")</f>
        <v/>
      </c>
      <c r="L132" s="9" t="str">
        <f>IF(AND($BN$22&lt;&gt;"",($BM$22+5)&lt;=$BO$22),$BN$22&amp;"-"&amp;TEXT(($BM$22+5),"00"),"")</f>
        <v/>
      </c>
      <c r="N132" s="6"/>
      <c r="O132" s="9" t="str">
        <f>IF(CC132="","",CC132&amp;"-"&amp;TEXT(COUNTIF($CA$72:$CA$95,CC132)+COUNTIF($CB$72:$CB$95,CC132)+COUNTIF($CC$72:$CC$95,CC132)+COUNTIF($CD$72:$CD$95,CC132)+COUNTIF($CA$100:$CA$123,CC132)+COUNTIF($CB$100:$CB$123,CC132)+COUNTIF($CC$100:$CC$123,CC132)+COUNTIF($CD$100:$CD$123,CC132)+COUNTIF($CA$128:$CA$151,CC132)+COUNTIF($CB$128:$CB$151,CC132)+COUNTIF($CC$128:CC132,CC132),"000"))</f>
        <v/>
      </c>
      <c r="P132" s="9" t="str">
        <f>IF(AND($BN$23&lt;&gt;"",($BM$23+5)&lt;=$BO$23),$BN$23,"")</f>
        <v/>
      </c>
      <c r="Q132" s="9" t="str">
        <f>IF(AND($BN$23&lt;&gt;"",($BM$23+5)&lt;=$BO$23),TEXT(($BM$23+5),"00"),"")</f>
        <v/>
      </c>
      <c r="R132" s="9" t="str">
        <f>IF(AND($BN$23&lt;&gt;"",($BM$23+5)&lt;=$BO$23),$BN$23&amp;"-"&amp;TEXT(($BM$23+5),"00"),"")</f>
        <v/>
      </c>
      <c r="T132" s="6"/>
      <c r="U132" s="9" t="str">
        <f>IF(CD132="","",CD132&amp;"-"&amp;TEXT(COUNTIF($CA$72:$CA$95,CD132)+COUNTIF($CB$72:$CB$95,CD132)+COUNTIF($CC$72:$CC$95,CD132)+COUNTIF($CD$72:$CD$95,CD132)+COUNTIF($CA$100:$CA$123,CD132)+COUNTIF($CB$100:$CB$123,CD132)+COUNTIF($CC$100:$CC$123,CD132)+COUNTIF($CD$100:$CD$123,CD132)+COUNTIF($CA$128:$CA$151,CD132)+COUNTIF($CB$128:$CB$151,CD132)+COUNTIF($CC$128:$CC$151,CD132)+COUNTIF($CD$128:CD132,CD132),"000"))</f>
        <v/>
      </c>
      <c r="V132" s="9" t="str">
        <f>IF(AND($BN$24&lt;&gt;"",($BM$24+5)&lt;=$BO$24),$BN$24,"")</f>
        <v/>
      </c>
      <c r="W132" s="9" t="str">
        <f>IF(AND($BN$24&lt;&gt;"",($BM$24+5)&lt;=$BO$24),TEXT(($BM$24+5),"00"),"")</f>
        <v/>
      </c>
      <c r="X132" s="9" t="str">
        <f>IF(AND($BN$24&lt;&gt;"",($BM$24+5)&lt;=$BO$24),$BN$24&amp;"-"&amp;TEXT(($BM$24+5),"00"),"")</f>
        <v/>
      </c>
      <c r="CA132" t="str" cm="1">
        <f t="array" ref="CA132">IF(NOT(AND($BN$21&lt;&gt;"",($BM$21+5)&lt;=$BO$21)),"",IF(B132&lt;&gt;"",IF(B132="-","",B132),IF(ISNUMBER(SEARCH(":",$BP$21)),IFERROR(_xlfn.LET(_xlpm.s,_xlfn.TEXTSPLIT($BP$21,","),_xlpm.k,FIND(":",_xlpm.s),INDEX(TRIM(LEFT(_xlpm.s,_xlpm.k-1)),_xlfn.XMATCH(($BM$21+5),_xlfn.SCAN(0,--MID(_xlpm.s,_xlpm.k+1,9),_xlfn.LAMBDA(_xlpm.a,_xlpm.v,_xlpm.a+_xlpm.v)),1))),""),IF(($BM$21+5)&lt;=$BQ$21,$BP$21,""))))</f>
        <v/>
      </c>
      <c r="CB132" t="str" cm="1">
        <f t="array" ref="CB132">IF(NOT(AND($BN$22&lt;&gt;"",($BM$22+5)&lt;=$BO$22)),"",IF(H132&lt;&gt;"",IF(H132="-","",H132),IF(ISNUMBER(SEARCH(":",$BP$22)),IFERROR(_xlfn.LET(_xlpm.s,_xlfn.TEXTSPLIT($BP$22,","),_xlpm.k,FIND(":",_xlpm.s),INDEX(TRIM(LEFT(_xlpm.s,_xlpm.k-1)),_xlfn.XMATCH(($BM$22+5),_xlfn.SCAN(0,--MID(_xlpm.s,_xlpm.k+1,9),_xlfn.LAMBDA(_xlpm.a,_xlpm.v,_xlpm.a+_xlpm.v)),1))),""),IF(($BM$22+5)&lt;=$BQ$22,$BP$22,""))))</f>
        <v/>
      </c>
      <c r="CC132" t="str" cm="1">
        <f t="array" ref="CC132">IF(NOT(AND($BN$23&lt;&gt;"",($BM$23+5)&lt;=$BO$23)),"",IF(N132&lt;&gt;"",IF(N132="-","",N132),IF(ISNUMBER(SEARCH(":",$BP$23)),IFERROR(_xlfn.LET(_xlpm.s,_xlfn.TEXTSPLIT($BP$23,","),_xlpm.k,FIND(":",_xlpm.s),INDEX(TRIM(LEFT(_xlpm.s,_xlpm.k-1)),_xlfn.XMATCH(($BM$23+5),_xlfn.SCAN(0,--MID(_xlpm.s,_xlpm.k+1,9),_xlfn.LAMBDA(_xlpm.a,_xlpm.v,_xlpm.a+_xlpm.v)),1))),""),IF(($BM$23+5)&lt;=$BQ$23,$BP$23,""))))</f>
        <v/>
      </c>
      <c r="CD132" t="str" cm="1">
        <f t="array" ref="CD132">IF(NOT(AND($BN$24&lt;&gt;"",($BM$24+5)&lt;=$BO$24)),"",IF(T132&lt;&gt;"",IF(T132="-","",T132),IF(ISNUMBER(SEARCH(":",$BP$24)),IFERROR(_xlfn.LET(_xlpm.s,_xlfn.TEXTSPLIT($BP$24,","),_xlpm.k,FIND(":",_xlpm.s),INDEX(TRIM(LEFT(_xlpm.s,_xlpm.k-1)),_xlfn.XMATCH(($BM$24+5),_xlfn.SCAN(0,--MID(_xlpm.s,_xlpm.k+1,9),_xlfn.LAMBDA(_xlpm.a,_xlpm.v,_xlpm.a+_xlpm.v)),1))),""),IF(($BM$24+5)&lt;=$BQ$24,$BP$24,""))))</f>
        <v/>
      </c>
    </row>
    <row r="133" spans="2:82" x14ac:dyDescent="0.45">
      <c r="B133" s="6"/>
      <c r="C133" s="9" t="str">
        <f>IF(CA133="","",CA133&amp;"-"&amp;TEXT(COUNTIF($CA$72:$CA$95,CA133)+COUNTIF($CB$72:$CB$95,CA133)+COUNTIF($CC$72:$CC$95,CA133)+COUNTIF($CD$72:$CD$95,CA133)+COUNTIF($CA$100:$CA$123,CA133)+COUNTIF($CB$100:$CB$123,CA133)+COUNTIF($CC$100:$CC$123,CA133)+COUNTIF($CD$100:$CD$123,CA133)+COUNTIF($CA$128:CA133,CA133),"000"))</f>
        <v/>
      </c>
      <c r="D133" s="9" t="str">
        <f>IF(AND($BN$21&lt;&gt;"",($BM$21+6)&lt;=$BO$21),$BN$21,"")</f>
        <v/>
      </c>
      <c r="E133" s="9" t="str">
        <f>IF(AND($BN$21&lt;&gt;"",($BM$21+6)&lt;=$BO$21),TEXT(($BM$21+6),"00"),"")</f>
        <v/>
      </c>
      <c r="F133" s="9" t="str">
        <f>IF(AND($BN$21&lt;&gt;"",($BM$21+6)&lt;=$BO$21),$BN$21&amp;"-"&amp;TEXT(($BM$21+6),"00"),"")</f>
        <v/>
      </c>
      <c r="H133" s="6"/>
      <c r="I133" s="9" t="str">
        <f>IF(CB133="","",CB133&amp;"-"&amp;TEXT(COUNTIF($CA$72:$CA$95,CB133)+COUNTIF($CB$72:$CB$95,CB133)+COUNTIF($CC$72:$CC$95,CB133)+COUNTIF($CD$72:$CD$95,CB133)+COUNTIF($CA$100:$CA$123,CB133)+COUNTIF($CB$100:$CB$123,CB133)+COUNTIF($CC$100:$CC$123,CB133)+COUNTIF($CD$100:$CD$123,CB133)+COUNTIF($CA$128:$CA$151,CB133)+COUNTIF($CB$128:CB133,CB133),"000"))</f>
        <v/>
      </c>
      <c r="J133" s="9" t="str">
        <f>IF(AND($BN$22&lt;&gt;"",($BM$22+6)&lt;=$BO$22),$BN$22,"")</f>
        <v/>
      </c>
      <c r="K133" s="9" t="str">
        <f>IF(AND($BN$22&lt;&gt;"",($BM$22+6)&lt;=$BO$22),TEXT(($BM$22+6),"00"),"")</f>
        <v/>
      </c>
      <c r="L133" s="9" t="str">
        <f>IF(AND($BN$22&lt;&gt;"",($BM$22+6)&lt;=$BO$22),$BN$22&amp;"-"&amp;TEXT(($BM$22+6),"00"),"")</f>
        <v/>
      </c>
      <c r="N133" s="6"/>
      <c r="O133" s="9" t="str">
        <f>IF(CC133="","",CC133&amp;"-"&amp;TEXT(COUNTIF($CA$72:$CA$95,CC133)+COUNTIF($CB$72:$CB$95,CC133)+COUNTIF($CC$72:$CC$95,CC133)+COUNTIF($CD$72:$CD$95,CC133)+COUNTIF($CA$100:$CA$123,CC133)+COUNTIF($CB$100:$CB$123,CC133)+COUNTIF($CC$100:$CC$123,CC133)+COUNTIF($CD$100:$CD$123,CC133)+COUNTIF($CA$128:$CA$151,CC133)+COUNTIF($CB$128:$CB$151,CC133)+COUNTIF($CC$128:CC133,CC133),"000"))</f>
        <v/>
      </c>
      <c r="P133" s="9" t="str">
        <f>IF(AND($BN$23&lt;&gt;"",($BM$23+6)&lt;=$BO$23),$BN$23,"")</f>
        <v/>
      </c>
      <c r="Q133" s="9" t="str">
        <f>IF(AND($BN$23&lt;&gt;"",($BM$23+6)&lt;=$BO$23),TEXT(($BM$23+6),"00"),"")</f>
        <v/>
      </c>
      <c r="R133" s="9" t="str">
        <f>IF(AND($BN$23&lt;&gt;"",($BM$23+6)&lt;=$BO$23),$BN$23&amp;"-"&amp;TEXT(($BM$23+6),"00"),"")</f>
        <v/>
      </c>
      <c r="T133" s="6"/>
      <c r="U133" s="9" t="str">
        <f>IF(CD133="","",CD133&amp;"-"&amp;TEXT(COUNTIF($CA$72:$CA$95,CD133)+COUNTIF($CB$72:$CB$95,CD133)+COUNTIF($CC$72:$CC$95,CD133)+COUNTIF($CD$72:$CD$95,CD133)+COUNTIF($CA$100:$CA$123,CD133)+COUNTIF($CB$100:$CB$123,CD133)+COUNTIF($CC$100:$CC$123,CD133)+COUNTIF($CD$100:$CD$123,CD133)+COUNTIF($CA$128:$CA$151,CD133)+COUNTIF($CB$128:$CB$151,CD133)+COUNTIF($CC$128:$CC$151,CD133)+COUNTIF($CD$128:CD133,CD133),"000"))</f>
        <v/>
      </c>
      <c r="V133" s="9" t="str">
        <f>IF(AND($BN$24&lt;&gt;"",($BM$24+6)&lt;=$BO$24),$BN$24,"")</f>
        <v/>
      </c>
      <c r="W133" s="9" t="str">
        <f>IF(AND($BN$24&lt;&gt;"",($BM$24+6)&lt;=$BO$24),TEXT(($BM$24+6),"00"),"")</f>
        <v/>
      </c>
      <c r="X133" s="9" t="str">
        <f>IF(AND($BN$24&lt;&gt;"",($BM$24+6)&lt;=$BO$24),$BN$24&amp;"-"&amp;TEXT(($BM$24+6),"00"),"")</f>
        <v/>
      </c>
      <c r="CA133" t="str" cm="1">
        <f t="array" ref="CA133">IF(NOT(AND($BN$21&lt;&gt;"",($BM$21+6)&lt;=$BO$21)),"",IF(B133&lt;&gt;"",IF(B133="-","",B133),IF(ISNUMBER(SEARCH(":",$BP$21)),IFERROR(_xlfn.LET(_xlpm.s,_xlfn.TEXTSPLIT($BP$21,","),_xlpm.k,FIND(":",_xlpm.s),INDEX(TRIM(LEFT(_xlpm.s,_xlpm.k-1)),_xlfn.XMATCH(($BM$21+6),_xlfn.SCAN(0,--MID(_xlpm.s,_xlpm.k+1,9),_xlfn.LAMBDA(_xlpm.a,_xlpm.v,_xlpm.a+_xlpm.v)),1))),""),IF(($BM$21+6)&lt;=$BQ$21,$BP$21,""))))</f>
        <v/>
      </c>
      <c r="CB133" t="str" cm="1">
        <f t="array" ref="CB133">IF(NOT(AND($BN$22&lt;&gt;"",($BM$22+6)&lt;=$BO$22)),"",IF(H133&lt;&gt;"",IF(H133="-","",H133),IF(ISNUMBER(SEARCH(":",$BP$22)),IFERROR(_xlfn.LET(_xlpm.s,_xlfn.TEXTSPLIT($BP$22,","),_xlpm.k,FIND(":",_xlpm.s),INDEX(TRIM(LEFT(_xlpm.s,_xlpm.k-1)),_xlfn.XMATCH(($BM$22+6),_xlfn.SCAN(0,--MID(_xlpm.s,_xlpm.k+1,9),_xlfn.LAMBDA(_xlpm.a,_xlpm.v,_xlpm.a+_xlpm.v)),1))),""),IF(($BM$22+6)&lt;=$BQ$22,$BP$22,""))))</f>
        <v/>
      </c>
      <c r="CC133" t="str" cm="1">
        <f t="array" ref="CC133">IF(NOT(AND($BN$23&lt;&gt;"",($BM$23+6)&lt;=$BO$23)),"",IF(N133&lt;&gt;"",IF(N133="-","",N133),IF(ISNUMBER(SEARCH(":",$BP$23)),IFERROR(_xlfn.LET(_xlpm.s,_xlfn.TEXTSPLIT($BP$23,","),_xlpm.k,FIND(":",_xlpm.s),INDEX(TRIM(LEFT(_xlpm.s,_xlpm.k-1)),_xlfn.XMATCH(($BM$23+6),_xlfn.SCAN(0,--MID(_xlpm.s,_xlpm.k+1,9),_xlfn.LAMBDA(_xlpm.a,_xlpm.v,_xlpm.a+_xlpm.v)),1))),""),IF(($BM$23+6)&lt;=$BQ$23,$BP$23,""))))</f>
        <v/>
      </c>
      <c r="CD133" t="str" cm="1">
        <f t="array" ref="CD133">IF(NOT(AND($BN$24&lt;&gt;"",($BM$24+6)&lt;=$BO$24)),"",IF(T133&lt;&gt;"",IF(T133="-","",T133),IF(ISNUMBER(SEARCH(":",$BP$24)),IFERROR(_xlfn.LET(_xlpm.s,_xlfn.TEXTSPLIT($BP$24,","),_xlpm.k,FIND(":",_xlpm.s),INDEX(TRIM(LEFT(_xlpm.s,_xlpm.k-1)),_xlfn.XMATCH(($BM$24+6),_xlfn.SCAN(0,--MID(_xlpm.s,_xlpm.k+1,9),_xlfn.LAMBDA(_xlpm.a,_xlpm.v,_xlpm.a+_xlpm.v)),1))),""),IF(($BM$24+6)&lt;=$BQ$24,$BP$24,""))))</f>
        <v/>
      </c>
    </row>
    <row r="134" spans="2:82" x14ac:dyDescent="0.45">
      <c r="B134" s="6"/>
      <c r="C134" s="9" t="str">
        <f>IF(CA134="","",CA134&amp;"-"&amp;TEXT(COUNTIF($CA$72:$CA$95,CA134)+COUNTIF($CB$72:$CB$95,CA134)+COUNTIF($CC$72:$CC$95,CA134)+COUNTIF($CD$72:$CD$95,CA134)+COUNTIF($CA$100:$CA$123,CA134)+COUNTIF($CB$100:$CB$123,CA134)+COUNTIF($CC$100:$CC$123,CA134)+COUNTIF($CD$100:$CD$123,CA134)+COUNTIF($CA$128:CA134,CA134),"000"))</f>
        <v/>
      </c>
      <c r="D134" s="9" t="str">
        <f>IF(AND($BN$21&lt;&gt;"",($BM$21+7)&lt;=$BO$21),$BN$21,"")</f>
        <v/>
      </c>
      <c r="E134" s="9" t="str">
        <f>IF(AND($BN$21&lt;&gt;"",($BM$21+7)&lt;=$BO$21),TEXT(($BM$21+7),"00"),"")</f>
        <v/>
      </c>
      <c r="F134" s="9" t="str">
        <f>IF(AND($BN$21&lt;&gt;"",($BM$21+7)&lt;=$BO$21),$BN$21&amp;"-"&amp;TEXT(($BM$21+7),"00"),"")</f>
        <v/>
      </c>
      <c r="H134" s="6"/>
      <c r="I134" s="9" t="str">
        <f>IF(CB134="","",CB134&amp;"-"&amp;TEXT(COUNTIF($CA$72:$CA$95,CB134)+COUNTIF($CB$72:$CB$95,CB134)+COUNTIF($CC$72:$CC$95,CB134)+COUNTIF($CD$72:$CD$95,CB134)+COUNTIF($CA$100:$CA$123,CB134)+COUNTIF($CB$100:$CB$123,CB134)+COUNTIF($CC$100:$CC$123,CB134)+COUNTIF($CD$100:$CD$123,CB134)+COUNTIF($CA$128:$CA$151,CB134)+COUNTIF($CB$128:CB134,CB134),"000"))</f>
        <v/>
      </c>
      <c r="J134" s="9" t="str">
        <f>IF(AND($BN$22&lt;&gt;"",($BM$22+7)&lt;=$BO$22),$BN$22,"")</f>
        <v/>
      </c>
      <c r="K134" s="9" t="str">
        <f>IF(AND($BN$22&lt;&gt;"",($BM$22+7)&lt;=$BO$22),TEXT(($BM$22+7),"00"),"")</f>
        <v/>
      </c>
      <c r="L134" s="9" t="str">
        <f>IF(AND($BN$22&lt;&gt;"",($BM$22+7)&lt;=$BO$22),$BN$22&amp;"-"&amp;TEXT(($BM$22+7),"00"),"")</f>
        <v/>
      </c>
      <c r="N134" s="6"/>
      <c r="O134" s="9" t="str">
        <f>IF(CC134="","",CC134&amp;"-"&amp;TEXT(COUNTIF($CA$72:$CA$95,CC134)+COUNTIF($CB$72:$CB$95,CC134)+COUNTIF($CC$72:$CC$95,CC134)+COUNTIF($CD$72:$CD$95,CC134)+COUNTIF($CA$100:$CA$123,CC134)+COUNTIF($CB$100:$CB$123,CC134)+COUNTIF($CC$100:$CC$123,CC134)+COUNTIF($CD$100:$CD$123,CC134)+COUNTIF($CA$128:$CA$151,CC134)+COUNTIF($CB$128:$CB$151,CC134)+COUNTIF($CC$128:CC134,CC134),"000"))</f>
        <v/>
      </c>
      <c r="P134" s="9" t="str">
        <f>IF(AND($BN$23&lt;&gt;"",($BM$23+7)&lt;=$BO$23),$BN$23,"")</f>
        <v/>
      </c>
      <c r="Q134" s="9" t="str">
        <f>IF(AND($BN$23&lt;&gt;"",($BM$23+7)&lt;=$BO$23),TEXT(($BM$23+7),"00"),"")</f>
        <v/>
      </c>
      <c r="R134" s="9" t="str">
        <f>IF(AND($BN$23&lt;&gt;"",($BM$23+7)&lt;=$BO$23),$BN$23&amp;"-"&amp;TEXT(($BM$23+7),"00"),"")</f>
        <v/>
      </c>
      <c r="T134" s="6"/>
      <c r="U134" s="9" t="str">
        <f>IF(CD134="","",CD134&amp;"-"&amp;TEXT(COUNTIF($CA$72:$CA$95,CD134)+COUNTIF($CB$72:$CB$95,CD134)+COUNTIF($CC$72:$CC$95,CD134)+COUNTIF($CD$72:$CD$95,CD134)+COUNTIF($CA$100:$CA$123,CD134)+COUNTIF($CB$100:$CB$123,CD134)+COUNTIF($CC$100:$CC$123,CD134)+COUNTIF($CD$100:$CD$123,CD134)+COUNTIF($CA$128:$CA$151,CD134)+COUNTIF($CB$128:$CB$151,CD134)+COUNTIF($CC$128:$CC$151,CD134)+COUNTIF($CD$128:CD134,CD134),"000"))</f>
        <v/>
      </c>
      <c r="V134" s="9" t="str">
        <f>IF(AND($BN$24&lt;&gt;"",($BM$24+7)&lt;=$BO$24),$BN$24,"")</f>
        <v/>
      </c>
      <c r="W134" s="9" t="str">
        <f>IF(AND($BN$24&lt;&gt;"",($BM$24+7)&lt;=$BO$24),TEXT(($BM$24+7),"00"),"")</f>
        <v/>
      </c>
      <c r="X134" s="9" t="str">
        <f>IF(AND($BN$24&lt;&gt;"",($BM$24+7)&lt;=$BO$24),$BN$24&amp;"-"&amp;TEXT(($BM$24+7),"00"),"")</f>
        <v/>
      </c>
      <c r="CA134" t="str" cm="1">
        <f t="array" ref="CA134">IF(NOT(AND($BN$21&lt;&gt;"",($BM$21+7)&lt;=$BO$21)),"",IF(B134&lt;&gt;"",IF(B134="-","",B134),IF(ISNUMBER(SEARCH(":",$BP$21)),IFERROR(_xlfn.LET(_xlpm.s,_xlfn.TEXTSPLIT($BP$21,","),_xlpm.k,FIND(":",_xlpm.s),INDEX(TRIM(LEFT(_xlpm.s,_xlpm.k-1)),_xlfn.XMATCH(($BM$21+7),_xlfn.SCAN(0,--MID(_xlpm.s,_xlpm.k+1,9),_xlfn.LAMBDA(_xlpm.a,_xlpm.v,_xlpm.a+_xlpm.v)),1))),""),IF(($BM$21+7)&lt;=$BQ$21,$BP$21,""))))</f>
        <v/>
      </c>
      <c r="CB134" t="str" cm="1">
        <f t="array" ref="CB134">IF(NOT(AND($BN$22&lt;&gt;"",($BM$22+7)&lt;=$BO$22)),"",IF(H134&lt;&gt;"",IF(H134="-","",H134),IF(ISNUMBER(SEARCH(":",$BP$22)),IFERROR(_xlfn.LET(_xlpm.s,_xlfn.TEXTSPLIT($BP$22,","),_xlpm.k,FIND(":",_xlpm.s),INDEX(TRIM(LEFT(_xlpm.s,_xlpm.k-1)),_xlfn.XMATCH(($BM$22+7),_xlfn.SCAN(0,--MID(_xlpm.s,_xlpm.k+1,9),_xlfn.LAMBDA(_xlpm.a,_xlpm.v,_xlpm.a+_xlpm.v)),1))),""),IF(($BM$22+7)&lt;=$BQ$22,$BP$22,""))))</f>
        <v/>
      </c>
      <c r="CC134" t="str" cm="1">
        <f t="array" ref="CC134">IF(NOT(AND($BN$23&lt;&gt;"",($BM$23+7)&lt;=$BO$23)),"",IF(N134&lt;&gt;"",IF(N134="-","",N134),IF(ISNUMBER(SEARCH(":",$BP$23)),IFERROR(_xlfn.LET(_xlpm.s,_xlfn.TEXTSPLIT($BP$23,","),_xlpm.k,FIND(":",_xlpm.s),INDEX(TRIM(LEFT(_xlpm.s,_xlpm.k-1)),_xlfn.XMATCH(($BM$23+7),_xlfn.SCAN(0,--MID(_xlpm.s,_xlpm.k+1,9),_xlfn.LAMBDA(_xlpm.a,_xlpm.v,_xlpm.a+_xlpm.v)),1))),""),IF(($BM$23+7)&lt;=$BQ$23,$BP$23,""))))</f>
        <v/>
      </c>
      <c r="CD134" t="str" cm="1">
        <f t="array" ref="CD134">IF(NOT(AND($BN$24&lt;&gt;"",($BM$24+7)&lt;=$BO$24)),"",IF(T134&lt;&gt;"",IF(T134="-","",T134),IF(ISNUMBER(SEARCH(":",$BP$24)),IFERROR(_xlfn.LET(_xlpm.s,_xlfn.TEXTSPLIT($BP$24,","),_xlpm.k,FIND(":",_xlpm.s),INDEX(TRIM(LEFT(_xlpm.s,_xlpm.k-1)),_xlfn.XMATCH(($BM$24+7),_xlfn.SCAN(0,--MID(_xlpm.s,_xlpm.k+1,9),_xlfn.LAMBDA(_xlpm.a,_xlpm.v,_xlpm.a+_xlpm.v)),1))),""),IF(($BM$24+7)&lt;=$BQ$24,$BP$24,""))))</f>
        <v/>
      </c>
    </row>
    <row r="135" spans="2:82" x14ac:dyDescent="0.45">
      <c r="B135" s="6"/>
      <c r="C135" s="9" t="str">
        <f>IF(CA135="","",CA135&amp;"-"&amp;TEXT(COUNTIF($CA$72:$CA$95,CA135)+COUNTIF($CB$72:$CB$95,CA135)+COUNTIF($CC$72:$CC$95,CA135)+COUNTIF($CD$72:$CD$95,CA135)+COUNTIF($CA$100:$CA$123,CA135)+COUNTIF($CB$100:$CB$123,CA135)+COUNTIF($CC$100:$CC$123,CA135)+COUNTIF($CD$100:$CD$123,CA135)+COUNTIF($CA$128:CA135,CA135),"000"))</f>
        <v/>
      </c>
      <c r="D135" s="9" t="str">
        <f>IF(AND($BN$21&lt;&gt;"",($BM$21+8)&lt;=$BO$21),$BN$21,"")</f>
        <v/>
      </c>
      <c r="E135" s="9" t="str">
        <f>IF(AND($BN$21&lt;&gt;"",($BM$21+8)&lt;=$BO$21),TEXT(($BM$21+8),"00"),"")</f>
        <v/>
      </c>
      <c r="F135" s="9" t="str">
        <f>IF(AND($BN$21&lt;&gt;"",($BM$21+8)&lt;=$BO$21),$BN$21&amp;"-"&amp;TEXT(($BM$21+8),"00"),"")</f>
        <v/>
      </c>
      <c r="H135" s="6"/>
      <c r="I135" s="9" t="str">
        <f>IF(CB135="","",CB135&amp;"-"&amp;TEXT(COUNTIF($CA$72:$CA$95,CB135)+COUNTIF($CB$72:$CB$95,CB135)+COUNTIF($CC$72:$CC$95,CB135)+COUNTIF($CD$72:$CD$95,CB135)+COUNTIF($CA$100:$CA$123,CB135)+COUNTIF($CB$100:$CB$123,CB135)+COUNTIF($CC$100:$CC$123,CB135)+COUNTIF($CD$100:$CD$123,CB135)+COUNTIF($CA$128:$CA$151,CB135)+COUNTIF($CB$128:CB135,CB135),"000"))</f>
        <v/>
      </c>
      <c r="J135" s="9" t="str">
        <f>IF(AND($BN$22&lt;&gt;"",($BM$22+8)&lt;=$BO$22),$BN$22,"")</f>
        <v/>
      </c>
      <c r="K135" s="9" t="str">
        <f>IF(AND($BN$22&lt;&gt;"",($BM$22+8)&lt;=$BO$22),TEXT(($BM$22+8),"00"),"")</f>
        <v/>
      </c>
      <c r="L135" s="9" t="str">
        <f>IF(AND($BN$22&lt;&gt;"",($BM$22+8)&lt;=$BO$22),$BN$22&amp;"-"&amp;TEXT(($BM$22+8),"00"),"")</f>
        <v/>
      </c>
      <c r="N135" s="6"/>
      <c r="O135" s="9" t="str">
        <f>IF(CC135="","",CC135&amp;"-"&amp;TEXT(COUNTIF($CA$72:$CA$95,CC135)+COUNTIF($CB$72:$CB$95,CC135)+COUNTIF($CC$72:$CC$95,CC135)+COUNTIF($CD$72:$CD$95,CC135)+COUNTIF($CA$100:$CA$123,CC135)+COUNTIF($CB$100:$CB$123,CC135)+COUNTIF($CC$100:$CC$123,CC135)+COUNTIF($CD$100:$CD$123,CC135)+COUNTIF($CA$128:$CA$151,CC135)+COUNTIF($CB$128:$CB$151,CC135)+COUNTIF($CC$128:CC135,CC135),"000"))</f>
        <v/>
      </c>
      <c r="P135" s="9" t="str">
        <f>IF(AND($BN$23&lt;&gt;"",($BM$23+8)&lt;=$BO$23),$BN$23,"")</f>
        <v/>
      </c>
      <c r="Q135" s="9" t="str">
        <f>IF(AND($BN$23&lt;&gt;"",($BM$23+8)&lt;=$BO$23),TEXT(($BM$23+8),"00"),"")</f>
        <v/>
      </c>
      <c r="R135" s="9" t="str">
        <f>IF(AND($BN$23&lt;&gt;"",($BM$23+8)&lt;=$BO$23),$BN$23&amp;"-"&amp;TEXT(($BM$23+8),"00"),"")</f>
        <v/>
      </c>
      <c r="T135" s="6"/>
      <c r="U135" s="9" t="str">
        <f>IF(CD135="","",CD135&amp;"-"&amp;TEXT(COUNTIF($CA$72:$CA$95,CD135)+COUNTIF($CB$72:$CB$95,CD135)+COUNTIF($CC$72:$CC$95,CD135)+COUNTIF($CD$72:$CD$95,CD135)+COUNTIF($CA$100:$CA$123,CD135)+COUNTIF($CB$100:$CB$123,CD135)+COUNTIF($CC$100:$CC$123,CD135)+COUNTIF($CD$100:$CD$123,CD135)+COUNTIF($CA$128:$CA$151,CD135)+COUNTIF($CB$128:$CB$151,CD135)+COUNTIF($CC$128:$CC$151,CD135)+COUNTIF($CD$128:CD135,CD135),"000"))</f>
        <v/>
      </c>
      <c r="V135" s="9" t="str">
        <f>IF(AND($BN$24&lt;&gt;"",($BM$24+8)&lt;=$BO$24),$BN$24,"")</f>
        <v/>
      </c>
      <c r="W135" s="9" t="str">
        <f>IF(AND($BN$24&lt;&gt;"",($BM$24+8)&lt;=$BO$24),TEXT(($BM$24+8),"00"),"")</f>
        <v/>
      </c>
      <c r="X135" s="9" t="str">
        <f>IF(AND($BN$24&lt;&gt;"",($BM$24+8)&lt;=$BO$24),$BN$24&amp;"-"&amp;TEXT(($BM$24+8),"00"),"")</f>
        <v/>
      </c>
      <c r="CA135" t="str" cm="1">
        <f t="array" ref="CA135">IF(NOT(AND($BN$21&lt;&gt;"",($BM$21+8)&lt;=$BO$21)),"",IF(B135&lt;&gt;"",IF(B135="-","",B135),IF(ISNUMBER(SEARCH(":",$BP$21)),IFERROR(_xlfn.LET(_xlpm.s,_xlfn.TEXTSPLIT($BP$21,","),_xlpm.k,FIND(":",_xlpm.s),INDEX(TRIM(LEFT(_xlpm.s,_xlpm.k-1)),_xlfn.XMATCH(($BM$21+8),_xlfn.SCAN(0,--MID(_xlpm.s,_xlpm.k+1,9),_xlfn.LAMBDA(_xlpm.a,_xlpm.v,_xlpm.a+_xlpm.v)),1))),""),IF(($BM$21+8)&lt;=$BQ$21,$BP$21,""))))</f>
        <v/>
      </c>
      <c r="CB135" t="str" cm="1">
        <f t="array" ref="CB135">IF(NOT(AND($BN$22&lt;&gt;"",($BM$22+8)&lt;=$BO$22)),"",IF(H135&lt;&gt;"",IF(H135="-","",H135),IF(ISNUMBER(SEARCH(":",$BP$22)),IFERROR(_xlfn.LET(_xlpm.s,_xlfn.TEXTSPLIT($BP$22,","),_xlpm.k,FIND(":",_xlpm.s),INDEX(TRIM(LEFT(_xlpm.s,_xlpm.k-1)),_xlfn.XMATCH(($BM$22+8),_xlfn.SCAN(0,--MID(_xlpm.s,_xlpm.k+1,9),_xlfn.LAMBDA(_xlpm.a,_xlpm.v,_xlpm.a+_xlpm.v)),1))),""),IF(($BM$22+8)&lt;=$BQ$22,$BP$22,""))))</f>
        <v/>
      </c>
      <c r="CC135" t="str" cm="1">
        <f t="array" ref="CC135">IF(NOT(AND($BN$23&lt;&gt;"",($BM$23+8)&lt;=$BO$23)),"",IF(N135&lt;&gt;"",IF(N135="-","",N135),IF(ISNUMBER(SEARCH(":",$BP$23)),IFERROR(_xlfn.LET(_xlpm.s,_xlfn.TEXTSPLIT($BP$23,","),_xlpm.k,FIND(":",_xlpm.s),INDEX(TRIM(LEFT(_xlpm.s,_xlpm.k-1)),_xlfn.XMATCH(($BM$23+8),_xlfn.SCAN(0,--MID(_xlpm.s,_xlpm.k+1,9),_xlfn.LAMBDA(_xlpm.a,_xlpm.v,_xlpm.a+_xlpm.v)),1))),""),IF(($BM$23+8)&lt;=$BQ$23,$BP$23,""))))</f>
        <v/>
      </c>
      <c r="CD135" t="str" cm="1">
        <f t="array" ref="CD135">IF(NOT(AND($BN$24&lt;&gt;"",($BM$24+8)&lt;=$BO$24)),"",IF(T135&lt;&gt;"",IF(T135="-","",T135),IF(ISNUMBER(SEARCH(":",$BP$24)),IFERROR(_xlfn.LET(_xlpm.s,_xlfn.TEXTSPLIT($BP$24,","),_xlpm.k,FIND(":",_xlpm.s),INDEX(TRIM(LEFT(_xlpm.s,_xlpm.k-1)),_xlfn.XMATCH(($BM$24+8),_xlfn.SCAN(0,--MID(_xlpm.s,_xlpm.k+1,9),_xlfn.LAMBDA(_xlpm.a,_xlpm.v,_xlpm.a+_xlpm.v)),1))),""),IF(($BM$24+8)&lt;=$BQ$24,$BP$24,""))))</f>
        <v/>
      </c>
    </row>
    <row r="136" spans="2:82" x14ac:dyDescent="0.45">
      <c r="B136" s="6"/>
      <c r="C136" s="9" t="str">
        <f>IF(CA136="","",CA136&amp;"-"&amp;TEXT(COUNTIF($CA$72:$CA$95,CA136)+COUNTIF($CB$72:$CB$95,CA136)+COUNTIF($CC$72:$CC$95,CA136)+COUNTIF($CD$72:$CD$95,CA136)+COUNTIF($CA$100:$CA$123,CA136)+COUNTIF($CB$100:$CB$123,CA136)+COUNTIF($CC$100:$CC$123,CA136)+COUNTIF($CD$100:$CD$123,CA136)+COUNTIF($CA$128:CA136,CA136),"000"))</f>
        <v/>
      </c>
      <c r="D136" s="9" t="str">
        <f>IF(AND($BN$21&lt;&gt;"",($BM$21+9)&lt;=$BO$21),$BN$21,"")</f>
        <v/>
      </c>
      <c r="E136" s="9" t="str">
        <f>IF(AND($BN$21&lt;&gt;"",($BM$21+9)&lt;=$BO$21),TEXT(($BM$21+9),"00"),"")</f>
        <v/>
      </c>
      <c r="F136" s="9" t="str">
        <f>IF(AND($BN$21&lt;&gt;"",($BM$21+9)&lt;=$BO$21),$BN$21&amp;"-"&amp;TEXT(($BM$21+9),"00"),"")</f>
        <v/>
      </c>
      <c r="H136" s="6"/>
      <c r="I136" s="9" t="str">
        <f>IF(CB136="","",CB136&amp;"-"&amp;TEXT(COUNTIF($CA$72:$CA$95,CB136)+COUNTIF($CB$72:$CB$95,CB136)+COUNTIF($CC$72:$CC$95,CB136)+COUNTIF($CD$72:$CD$95,CB136)+COUNTIF($CA$100:$CA$123,CB136)+COUNTIF($CB$100:$CB$123,CB136)+COUNTIF($CC$100:$CC$123,CB136)+COUNTIF($CD$100:$CD$123,CB136)+COUNTIF($CA$128:$CA$151,CB136)+COUNTIF($CB$128:CB136,CB136),"000"))</f>
        <v/>
      </c>
      <c r="J136" s="9" t="str">
        <f>IF(AND($BN$22&lt;&gt;"",($BM$22+9)&lt;=$BO$22),$BN$22,"")</f>
        <v/>
      </c>
      <c r="K136" s="9" t="str">
        <f>IF(AND($BN$22&lt;&gt;"",($BM$22+9)&lt;=$BO$22),TEXT(($BM$22+9),"00"),"")</f>
        <v/>
      </c>
      <c r="L136" s="9" t="str">
        <f>IF(AND($BN$22&lt;&gt;"",($BM$22+9)&lt;=$BO$22),$BN$22&amp;"-"&amp;TEXT(($BM$22+9),"00"),"")</f>
        <v/>
      </c>
      <c r="N136" s="6"/>
      <c r="O136" s="9" t="str">
        <f>IF(CC136="","",CC136&amp;"-"&amp;TEXT(COUNTIF($CA$72:$CA$95,CC136)+COUNTIF($CB$72:$CB$95,CC136)+COUNTIF($CC$72:$CC$95,CC136)+COUNTIF($CD$72:$CD$95,CC136)+COUNTIF($CA$100:$CA$123,CC136)+COUNTIF($CB$100:$CB$123,CC136)+COUNTIF($CC$100:$CC$123,CC136)+COUNTIF($CD$100:$CD$123,CC136)+COUNTIF($CA$128:$CA$151,CC136)+COUNTIF($CB$128:$CB$151,CC136)+COUNTIF($CC$128:CC136,CC136),"000"))</f>
        <v/>
      </c>
      <c r="P136" s="9" t="str">
        <f>IF(AND($BN$23&lt;&gt;"",($BM$23+9)&lt;=$BO$23),$BN$23,"")</f>
        <v/>
      </c>
      <c r="Q136" s="9" t="str">
        <f>IF(AND($BN$23&lt;&gt;"",($BM$23+9)&lt;=$BO$23),TEXT(($BM$23+9),"00"),"")</f>
        <v/>
      </c>
      <c r="R136" s="9" t="str">
        <f>IF(AND($BN$23&lt;&gt;"",($BM$23+9)&lt;=$BO$23),$BN$23&amp;"-"&amp;TEXT(($BM$23+9),"00"),"")</f>
        <v/>
      </c>
      <c r="T136" s="6"/>
      <c r="U136" s="9" t="str">
        <f>IF(CD136="","",CD136&amp;"-"&amp;TEXT(COUNTIF($CA$72:$CA$95,CD136)+COUNTIF($CB$72:$CB$95,CD136)+COUNTIF($CC$72:$CC$95,CD136)+COUNTIF($CD$72:$CD$95,CD136)+COUNTIF($CA$100:$CA$123,CD136)+COUNTIF($CB$100:$CB$123,CD136)+COUNTIF($CC$100:$CC$123,CD136)+COUNTIF($CD$100:$CD$123,CD136)+COUNTIF($CA$128:$CA$151,CD136)+COUNTIF($CB$128:$CB$151,CD136)+COUNTIF($CC$128:$CC$151,CD136)+COUNTIF($CD$128:CD136,CD136),"000"))</f>
        <v/>
      </c>
      <c r="V136" s="9" t="str">
        <f>IF(AND($BN$24&lt;&gt;"",($BM$24+9)&lt;=$BO$24),$BN$24,"")</f>
        <v/>
      </c>
      <c r="W136" s="9" t="str">
        <f>IF(AND($BN$24&lt;&gt;"",($BM$24+9)&lt;=$BO$24),TEXT(($BM$24+9),"00"),"")</f>
        <v/>
      </c>
      <c r="X136" s="9" t="str">
        <f>IF(AND($BN$24&lt;&gt;"",($BM$24+9)&lt;=$BO$24),$BN$24&amp;"-"&amp;TEXT(($BM$24+9),"00"),"")</f>
        <v/>
      </c>
      <c r="CA136" t="str" cm="1">
        <f t="array" ref="CA136">IF(NOT(AND($BN$21&lt;&gt;"",($BM$21+9)&lt;=$BO$21)),"",IF(B136&lt;&gt;"",IF(B136="-","",B136),IF(ISNUMBER(SEARCH(":",$BP$21)),IFERROR(_xlfn.LET(_xlpm.s,_xlfn.TEXTSPLIT($BP$21,","),_xlpm.k,FIND(":",_xlpm.s),INDEX(TRIM(LEFT(_xlpm.s,_xlpm.k-1)),_xlfn.XMATCH(($BM$21+9),_xlfn.SCAN(0,--MID(_xlpm.s,_xlpm.k+1,9),_xlfn.LAMBDA(_xlpm.a,_xlpm.v,_xlpm.a+_xlpm.v)),1))),""),IF(($BM$21+9)&lt;=$BQ$21,$BP$21,""))))</f>
        <v/>
      </c>
      <c r="CB136" t="str" cm="1">
        <f t="array" ref="CB136">IF(NOT(AND($BN$22&lt;&gt;"",($BM$22+9)&lt;=$BO$22)),"",IF(H136&lt;&gt;"",IF(H136="-","",H136),IF(ISNUMBER(SEARCH(":",$BP$22)),IFERROR(_xlfn.LET(_xlpm.s,_xlfn.TEXTSPLIT($BP$22,","),_xlpm.k,FIND(":",_xlpm.s),INDEX(TRIM(LEFT(_xlpm.s,_xlpm.k-1)),_xlfn.XMATCH(($BM$22+9),_xlfn.SCAN(0,--MID(_xlpm.s,_xlpm.k+1,9),_xlfn.LAMBDA(_xlpm.a,_xlpm.v,_xlpm.a+_xlpm.v)),1))),""),IF(($BM$22+9)&lt;=$BQ$22,$BP$22,""))))</f>
        <v/>
      </c>
      <c r="CC136" t="str" cm="1">
        <f t="array" ref="CC136">IF(NOT(AND($BN$23&lt;&gt;"",($BM$23+9)&lt;=$BO$23)),"",IF(N136&lt;&gt;"",IF(N136="-","",N136),IF(ISNUMBER(SEARCH(":",$BP$23)),IFERROR(_xlfn.LET(_xlpm.s,_xlfn.TEXTSPLIT($BP$23,","),_xlpm.k,FIND(":",_xlpm.s),INDEX(TRIM(LEFT(_xlpm.s,_xlpm.k-1)),_xlfn.XMATCH(($BM$23+9),_xlfn.SCAN(0,--MID(_xlpm.s,_xlpm.k+1,9),_xlfn.LAMBDA(_xlpm.a,_xlpm.v,_xlpm.a+_xlpm.v)),1))),""),IF(($BM$23+9)&lt;=$BQ$23,$BP$23,""))))</f>
        <v/>
      </c>
      <c r="CD136" t="str" cm="1">
        <f t="array" ref="CD136">IF(NOT(AND($BN$24&lt;&gt;"",($BM$24+9)&lt;=$BO$24)),"",IF(T136&lt;&gt;"",IF(T136="-","",T136),IF(ISNUMBER(SEARCH(":",$BP$24)),IFERROR(_xlfn.LET(_xlpm.s,_xlfn.TEXTSPLIT($BP$24,","),_xlpm.k,FIND(":",_xlpm.s),INDEX(TRIM(LEFT(_xlpm.s,_xlpm.k-1)),_xlfn.XMATCH(($BM$24+9),_xlfn.SCAN(0,--MID(_xlpm.s,_xlpm.k+1,9),_xlfn.LAMBDA(_xlpm.a,_xlpm.v,_xlpm.a+_xlpm.v)),1))),""),IF(($BM$24+9)&lt;=$BQ$24,$BP$24,""))))</f>
        <v/>
      </c>
    </row>
    <row r="137" spans="2:82" x14ac:dyDescent="0.45">
      <c r="B137" s="6"/>
      <c r="C137" s="9" t="str">
        <f>IF(CA137="","",CA137&amp;"-"&amp;TEXT(COUNTIF($CA$72:$CA$95,CA137)+COUNTIF($CB$72:$CB$95,CA137)+COUNTIF($CC$72:$CC$95,CA137)+COUNTIF($CD$72:$CD$95,CA137)+COUNTIF($CA$100:$CA$123,CA137)+COUNTIF($CB$100:$CB$123,CA137)+COUNTIF($CC$100:$CC$123,CA137)+COUNTIF($CD$100:$CD$123,CA137)+COUNTIF($CA$128:CA137,CA137),"000"))</f>
        <v/>
      </c>
      <c r="D137" s="9" t="str">
        <f>IF(AND($BN$21&lt;&gt;"",($BM$21+10)&lt;=$BO$21),$BN$21,"")</f>
        <v/>
      </c>
      <c r="E137" s="9" t="str">
        <f>IF(AND($BN$21&lt;&gt;"",($BM$21+10)&lt;=$BO$21),TEXT(($BM$21+10),"00"),"")</f>
        <v/>
      </c>
      <c r="F137" s="9" t="str">
        <f>IF(AND($BN$21&lt;&gt;"",($BM$21+10)&lt;=$BO$21),$BN$21&amp;"-"&amp;TEXT(($BM$21+10),"00"),"")</f>
        <v/>
      </c>
      <c r="H137" s="6"/>
      <c r="I137" s="9" t="str">
        <f>IF(CB137="","",CB137&amp;"-"&amp;TEXT(COUNTIF($CA$72:$CA$95,CB137)+COUNTIF($CB$72:$CB$95,CB137)+COUNTIF($CC$72:$CC$95,CB137)+COUNTIF($CD$72:$CD$95,CB137)+COUNTIF($CA$100:$CA$123,CB137)+COUNTIF($CB$100:$CB$123,CB137)+COUNTIF($CC$100:$CC$123,CB137)+COUNTIF($CD$100:$CD$123,CB137)+COUNTIF($CA$128:$CA$151,CB137)+COUNTIF($CB$128:CB137,CB137),"000"))</f>
        <v/>
      </c>
      <c r="J137" s="9" t="str">
        <f>IF(AND($BN$22&lt;&gt;"",($BM$22+10)&lt;=$BO$22),$BN$22,"")</f>
        <v/>
      </c>
      <c r="K137" s="9" t="str">
        <f>IF(AND($BN$22&lt;&gt;"",($BM$22+10)&lt;=$BO$22),TEXT(($BM$22+10),"00"),"")</f>
        <v/>
      </c>
      <c r="L137" s="9" t="str">
        <f>IF(AND($BN$22&lt;&gt;"",($BM$22+10)&lt;=$BO$22),$BN$22&amp;"-"&amp;TEXT(($BM$22+10),"00"),"")</f>
        <v/>
      </c>
      <c r="N137" s="6"/>
      <c r="O137" s="9" t="str">
        <f>IF(CC137="","",CC137&amp;"-"&amp;TEXT(COUNTIF($CA$72:$CA$95,CC137)+COUNTIF($CB$72:$CB$95,CC137)+COUNTIF($CC$72:$CC$95,CC137)+COUNTIF($CD$72:$CD$95,CC137)+COUNTIF($CA$100:$CA$123,CC137)+COUNTIF($CB$100:$CB$123,CC137)+COUNTIF($CC$100:$CC$123,CC137)+COUNTIF($CD$100:$CD$123,CC137)+COUNTIF($CA$128:$CA$151,CC137)+COUNTIF($CB$128:$CB$151,CC137)+COUNTIF($CC$128:CC137,CC137),"000"))</f>
        <v/>
      </c>
      <c r="P137" s="9" t="str">
        <f>IF(AND($BN$23&lt;&gt;"",($BM$23+10)&lt;=$BO$23),$BN$23,"")</f>
        <v/>
      </c>
      <c r="Q137" s="9" t="str">
        <f>IF(AND($BN$23&lt;&gt;"",($BM$23+10)&lt;=$BO$23),TEXT(($BM$23+10),"00"),"")</f>
        <v/>
      </c>
      <c r="R137" s="9" t="str">
        <f>IF(AND($BN$23&lt;&gt;"",($BM$23+10)&lt;=$BO$23),$BN$23&amp;"-"&amp;TEXT(($BM$23+10),"00"),"")</f>
        <v/>
      </c>
      <c r="T137" s="6"/>
      <c r="U137" s="9" t="str">
        <f>IF(CD137="","",CD137&amp;"-"&amp;TEXT(COUNTIF($CA$72:$CA$95,CD137)+COUNTIF($CB$72:$CB$95,CD137)+COUNTIF($CC$72:$CC$95,CD137)+COUNTIF($CD$72:$CD$95,CD137)+COUNTIF($CA$100:$CA$123,CD137)+COUNTIF($CB$100:$CB$123,CD137)+COUNTIF($CC$100:$CC$123,CD137)+COUNTIF($CD$100:$CD$123,CD137)+COUNTIF($CA$128:$CA$151,CD137)+COUNTIF($CB$128:$CB$151,CD137)+COUNTIF($CC$128:$CC$151,CD137)+COUNTIF($CD$128:CD137,CD137),"000"))</f>
        <v/>
      </c>
      <c r="V137" s="9" t="str">
        <f>IF(AND($BN$24&lt;&gt;"",($BM$24+10)&lt;=$BO$24),$BN$24,"")</f>
        <v/>
      </c>
      <c r="W137" s="9" t="str">
        <f>IF(AND($BN$24&lt;&gt;"",($BM$24+10)&lt;=$BO$24),TEXT(($BM$24+10),"00"),"")</f>
        <v/>
      </c>
      <c r="X137" s="9" t="str">
        <f>IF(AND($BN$24&lt;&gt;"",($BM$24+10)&lt;=$BO$24),$BN$24&amp;"-"&amp;TEXT(($BM$24+10),"00"),"")</f>
        <v/>
      </c>
      <c r="CA137" t="str" cm="1">
        <f t="array" ref="CA137">IF(NOT(AND($BN$21&lt;&gt;"",($BM$21+10)&lt;=$BO$21)),"",IF(B137&lt;&gt;"",IF(B137="-","",B137),IF(ISNUMBER(SEARCH(":",$BP$21)),IFERROR(_xlfn.LET(_xlpm.s,_xlfn.TEXTSPLIT($BP$21,","),_xlpm.k,FIND(":",_xlpm.s),INDEX(TRIM(LEFT(_xlpm.s,_xlpm.k-1)),_xlfn.XMATCH(($BM$21+10),_xlfn.SCAN(0,--MID(_xlpm.s,_xlpm.k+1,9),_xlfn.LAMBDA(_xlpm.a,_xlpm.v,_xlpm.a+_xlpm.v)),1))),""),IF(($BM$21+10)&lt;=$BQ$21,$BP$21,""))))</f>
        <v/>
      </c>
      <c r="CB137" t="str" cm="1">
        <f t="array" ref="CB137">IF(NOT(AND($BN$22&lt;&gt;"",($BM$22+10)&lt;=$BO$22)),"",IF(H137&lt;&gt;"",IF(H137="-","",H137),IF(ISNUMBER(SEARCH(":",$BP$22)),IFERROR(_xlfn.LET(_xlpm.s,_xlfn.TEXTSPLIT($BP$22,","),_xlpm.k,FIND(":",_xlpm.s),INDEX(TRIM(LEFT(_xlpm.s,_xlpm.k-1)),_xlfn.XMATCH(($BM$22+10),_xlfn.SCAN(0,--MID(_xlpm.s,_xlpm.k+1,9),_xlfn.LAMBDA(_xlpm.a,_xlpm.v,_xlpm.a+_xlpm.v)),1))),""),IF(($BM$22+10)&lt;=$BQ$22,$BP$22,""))))</f>
        <v/>
      </c>
      <c r="CC137" t="str" cm="1">
        <f t="array" ref="CC137">IF(NOT(AND($BN$23&lt;&gt;"",($BM$23+10)&lt;=$BO$23)),"",IF(N137&lt;&gt;"",IF(N137="-","",N137),IF(ISNUMBER(SEARCH(":",$BP$23)),IFERROR(_xlfn.LET(_xlpm.s,_xlfn.TEXTSPLIT($BP$23,","),_xlpm.k,FIND(":",_xlpm.s),INDEX(TRIM(LEFT(_xlpm.s,_xlpm.k-1)),_xlfn.XMATCH(($BM$23+10),_xlfn.SCAN(0,--MID(_xlpm.s,_xlpm.k+1,9),_xlfn.LAMBDA(_xlpm.a,_xlpm.v,_xlpm.a+_xlpm.v)),1))),""),IF(($BM$23+10)&lt;=$BQ$23,$BP$23,""))))</f>
        <v/>
      </c>
      <c r="CD137" t="str" cm="1">
        <f t="array" ref="CD137">IF(NOT(AND($BN$24&lt;&gt;"",($BM$24+10)&lt;=$BO$24)),"",IF(T137&lt;&gt;"",IF(T137="-","",T137),IF(ISNUMBER(SEARCH(":",$BP$24)),IFERROR(_xlfn.LET(_xlpm.s,_xlfn.TEXTSPLIT($BP$24,","),_xlpm.k,FIND(":",_xlpm.s),INDEX(TRIM(LEFT(_xlpm.s,_xlpm.k-1)),_xlfn.XMATCH(($BM$24+10),_xlfn.SCAN(0,--MID(_xlpm.s,_xlpm.k+1,9),_xlfn.LAMBDA(_xlpm.a,_xlpm.v,_xlpm.a+_xlpm.v)),1))),""),IF(($BM$24+10)&lt;=$BQ$24,$BP$24,""))))</f>
        <v/>
      </c>
    </row>
    <row r="138" spans="2:82" x14ac:dyDescent="0.45">
      <c r="B138" s="6"/>
      <c r="C138" s="9" t="str">
        <f>IF(CA138="","",CA138&amp;"-"&amp;TEXT(COUNTIF($CA$72:$CA$95,CA138)+COUNTIF($CB$72:$CB$95,CA138)+COUNTIF($CC$72:$CC$95,CA138)+COUNTIF($CD$72:$CD$95,CA138)+COUNTIF($CA$100:$CA$123,CA138)+COUNTIF($CB$100:$CB$123,CA138)+COUNTIF($CC$100:$CC$123,CA138)+COUNTIF($CD$100:$CD$123,CA138)+COUNTIF($CA$128:CA138,CA138),"000"))</f>
        <v/>
      </c>
      <c r="D138" s="9" t="str">
        <f>IF(AND($BN$21&lt;&gt;"",($BM$21+11)&lt;=$BO$21),$BN$21,"")</f>
        <v/>
      </c>
      <c r="E138" s="9" t="str">
        <f>IF(AND($BN$21&lt;&gt;"",($BM$21+11)&lt;=$BO$21),TEXT(($BM$21+11),"00"),"")</f>
        <v/>
      </c>
      <c r="F138" s="9" t="str">
        <f>IF(AND($BN$21&lt;&gt;"",($BM$21+11)&lt;=$BO$21),$BN$21&amp;"-"&amp;TEXT(($BM$21+11),"00"),"")</f>
        <v/>
      </c>
      <c r="H138" s="6"/>
      <c r="I138" s="9" t="str">
        <f>IF(CB138="","",CB138&amp;"-"&amp;TEXT(COUNTIF($CA$72:$CA$95,CB138)+COUNTIF($CB$72:$CB$95,CB138)+COUNTIF($CC$72:$CC$95,CB138)+COUNTIF($CD$72:$CD$95,CB138)+COUNTIF($CA$100:$CA$123,CB138)+COUNTIF($CB$100:$CB$123,CB138)+COUNTIF($CC$100:$CC$123,CB138)+COUNTIF($CD$100:$CD$123,CB138)+COUNTIF($CA$128:$CA$151,CB138)+COUNTIF($CB$128:CB138,CB138),"000"))</f>
        <v/>
      </c>
      <c r="J138" s="9" t="str">
        <f>IF(AND($BN$22&lt;&gt;"",($BM$22+11)&lt;=$BO$22),$BN$22,"")</f>
        <v/>
      </c>
      <c r="K138" s="9" t="str">
        <f>IF(AND($BN$22&lt;&gt;"",($BM$22+11)&lt;=$BO$22),TEXT(($BM$22+11),"00"),"")</f>
        <v/>
      </c>
      <c r="L138" s="9" t="str">
        <f>IF(AND($BN$22&lt;&gt;"",($BM$22+11)&lt;=$BO$22),$BN$22&amp;"-"&amp;TEXT(($BM$22+11),"00"),"")</f>
        <v/>
      </c>
      <c r="N138" s="6"/>
      <c r="O138" s="9" t="str">
        <f>IF(CC138="","",CC138&amp;"-"&amp;TEXT(COUNTIF($CA$72:$CA$95,CC138)+COUNTIF($CB$72:$CB$95,CC138)+COUNTIF($CC$72:$CC$95,CC138)+COUNTIF($CD$72:$CD$95,CC138)+COUNTIF($CA$100:$CA$123,CC138)+COUNTIF($CB$100:$CB$123,CC138)+COUNTIF($CC$100:$CC$123,CC138)+COUNTIF($CD$100:$CD$123,CC138)+COUNTIF($CA$128:$CA$151,CC138)+COUNTIF($CB$128:$CB$151,CC138)+COUNTIF($CC$128:CC138,CC138),"000"))</f>
        <v/>
      </c>
      <c r="P138" s="9" t="str">
        <f>IF(AND($BN$23&lt;&gt;"",($BM$23+11)&lt;=$BO$23),$BN$23,"")</f>
        <v/>
      </c>
      <c r="Q138" s="9" t="str">
        <f>IF(AND($BN$23&lt;&gt;"",($BM$23+11)&lt;=$BO$23),TEXT(($BM$23+11),"00"),"")</f>
        <v/>
      </c>
      <c r="R138" s="9" t="str">
        <f>IF(AND($BN$23&lt;&gt;"",($BM$23+11)&lt;=$BO$23),$BN$23&amp;"-"&amp;TEXT(($BM$23+11),"00"),"")</f>
        <v/>
      </c>
      <c r="T138" s="6"/>
      <c r="U138" s="9" t="str">
        <f>IF(CD138="","",CD138&amp;"-"&amp;TEXT(COUNTIF($CA$72:$CA$95,CD138)+COUNTIF($CB$72:$CB$95,CD138)+COUNTIF($CC$72:$CC$95,CD138)+COUNTIF($CD$72:$CD$95,CD138)+COUNTIF($CA$100:$CA$123,CD138)+COUNTIF($CB$100:$CB$123,CD138)+COUNTIF($CC$100:$CC$123,CD138)+COUNTIF($CD$100:$CD$123,CD138)+COUNTIF($CA$128:$CA$151,CD138)+COUNTIF($CB$128:$CB$151,CD138)+COUNTIF($CC$128:$CC$151,CD138)+COUNTIF($CD$128:CD138,CD138),"000"))</f>
        <v/>
      </c>
      <c r="V138" s="9" t="str">
        <f>IF(AND($BN$24&lt;&gt;"",($BM$24+11)&lt;=$BO$24),$BN$24,"")</f>
        <v/>
      </c>
      <c r="W138" s="9" t="str">
        <f>IF(AND($BN$24&lt;&gt;"",($BM$24+11)&lt;=$BO$24),TEXT(($BM$24+11),"00"),"")</f>
        <v/>
      </c>
      <c r="X138" s="9" t="str">
        <f>IF(AND($BN$24&lt;&gt;"",($BM$24+11)&lt;=$BO$24),$BN$24&amp;"-"&amp;TEXT(($BM$24+11),"00"),"")</f>
        <v/>
      </c>
      <c r="CA138" t="str" cm="1">
        <f t="array" ref="CA138">IF(NOT(AND($BN$21&lt;&gt;"",($BM$21+11)&lt;=$BO$21)),"",IF(B138&lt;&gt;"",IF(B138="-","",B138),IF(ISNUMBER(SEARCH(":",$BP$21)),IFERROR(_xlfn.LET(_xlpm.s,_xlfn.TEXTSPLIT($BP$21,","),_xlpm.k,FIND(":",_xlpm.s),INDEX(TRIM(LEFT(_xlpm.s,_xlpm.k-1)),_xlfn.XMATCH(($BM$21+11),_xlfn.SCAN(0,--MID(_xlpm.s,_xlpm.k+1,9),_xlfn.LAMBDA(_xlpm.a,_xlpm.v,_xlpm.a+_xlpm.v)),1))),""),IF(($BM$21+11)&lt;=$BQ$21,$BP$21,""))))</f>
        <v/>
      </c>
      <c r="CB138" t="str" cm="1">
        <f t="array" ref="CB138">IF(NOT(AND($BN$22&lt;&gt;"",($BM$22+11)&lt;=$BO$22)),"",IF(H138&lt;&gt;"",IF(H138="-","",H138),IF(ISNUMBER(SEARCH(":",$BP$22)),IFERROR(_xlfn.LET(_xlpm.s,_xlfn.TEXTSPLIT($BP$22,","),_xlpm.k,FIND(":",_xlpm.s),INDEX(TRIM(LEFT(_xlpm.s,_xlpm.k-1)),_xlfn.XMATCH(($BM$22+11),_xlfn.SCAN(0,--MID(_xlpm.s,_xlpm.k+1,9),_xlfn.LAMBDA(_xlpm.a,_xlpm.v,_xlpm.a+_xlpm.v)),1))),""),IF(($BM$22+11)&lt;=$BQ$22,$BP$22,""))))</f>
        <v/>
      </c>
      <c r="CC138" t="str" cm="1">
        <f t="array" ref="CC138">IF(NOT(AND($BN$23&lt;&gt;"",($BM$23+11)&lt;=$BO$23)),"",IF(N138&lt;&gt;"",IF(N138="-","",N138),IF(ISNUMBER(SEARCH(":",$BP$23)),IFERROR(_xlfn.LET(_xlpm.s,_xlfn.TEXTSPLIT($BP$23,","),_xlpm.k,FIND(":",_xlpm.s),INDEX(TRIM(LEFT(_xlpm.s,_xlpm.k-1)),_xlfn.XMATCH(($BM$23+11),_xlfn.SCAN(0,--MID(_xlpm.s,_xlpm.k+1,9),_xlfn.LAMBDA(_xlpm.a,_xlpm.v,_xlpm.a+_xlpm.v)),1))),""),IF(($BM$23+11)&lt;=$BQ$23,$BP$23,""))))</f>
        <v/>
      </c>
      <c r="CD138" t="str" cm="1">
        <f t="array" ref="CD138">IF(NOT(AND($BN$24&lt;&gt;"",($BM$24+11)&lt;=$BO$24)),"",IF(T138&lt;&gt;"",IF(T138="-","",T138),IF(ISNUMBER(SEARCH(":",$BP$24)),IFERROR(_xlfn.LET(_xlpm.s,_xlfn.TEXTSPLIT($BP$24,","),_xlpm.k,FIND(":",_xlpm.s),INDEX(TRIM(LEFT(_xlpm.s,_xlpm.k-1)),_xlfn.XMATCH(($BM$24+11),_xlfn.SCAN(0,--MID(_xlpm.s,_xlpm.k+1,9),_xlfn.LAMBDA(_xlpm.a,_xlpm.v,_xlpm.a+_xlpm.v)),1))),""),IF(($BM$24+11)&lt;=$BQ$24,$BP$24,""))))</f>
        <v/>
      </c>
    </row>
    <row r="139" spans="2:82" x14ac:dyDescent="0.45">
      <c r="B139" s="6"/>
      <c r="C139" s="9" t="str">
        <f>IF(CA139="","",CA139&amp;"-"&amp;TEXT(COUNTIF($CA$72:$CA$95,CA139)+COUNTIF($CB$72:$CB$95,CA139)+COUNTIF($CC$72:$CC$95,CA139)+COUNTIF($CD$72:$CD$95,CA139)+COUNTIF($CA$100:$CA$123,CA139)+COUNTIF($CB$100:$CB$123,CA139)+COUNTIF($CC$100:$CC$123,CA139)+COUNTIF($CD$100:$CD$123,CA139)+COUNTIF($CA$128:CA139,CA139),"000"))</f>
        <v/>
      </c>
      <c r="D139" s="9" t="str">
        <f>IF(AND($BN$21&lt;&gt;"",($BM$21+12)&lt;=$BO$21),$BN$21,"")</f>
        <v/>
      </c>
      <c r="E139" s="9" t="str">
        <f>IF(AND($BN$21&lt;&gt;"",($BM$21+12)&lt;=$BO$21),TEXT(($BM$21+12),"00"),"")</f>
        <v/>
      </c>
      <c r="F139" s="9" t="str">
        <f>IF(AND($BN$21&lt;&gt;"",($BM$21+12)&lt;=$BO$21),$BN$21&amp;"-"&amp;TEXT(($BM$21+12),"00"),"")</f>
        <v/>
      </c>
      <c r="H139" s="6"/>
      <c r="I139" s="9" t="str">
        <f>IF(CB139="","",CB139&amp;"-"&amp;TEXT(COUNTIF($CA$72:$CA$95,CB139)+COUNTIF($CB$72:$CB$95,CB139)+COUNTIF($CC$72:$CC$95,CB139)+COUNTIF($CD$72:$CD$95,CB139)+COUNTIF($CA$100:$CA$123,CB139)+COUNTIF($CB$100:$CB$123,CB139)+COUNTIF($CC$100:$CC$123,CB139)+COUNTIF($CD$100:$CD$123,CB139)+COUNTIF($CA$128:$CA$151,CB139)+COUNTIF($CB$128:CB139,CB139),"000"))</f>
        <v/>
      </c>
      <c r="J139" s="9" t="str">
        <f>IF(AND($BN$22&lt;&gt;"",($BM$22+12)&lt;=$BO$22),$BN$22,"")</f>
        <v/>
      </c>
      <c r="K139" s="9" t="str">
        <f>IF(AND($BN$22&lt;&gt;"",($BM$22+12)&lt;=$BO$22),TEXT(($BM$22+12),"00"),"")</f>
        <v/>
      </c>
      <c r="L139" s="9" t="str">
        <f>IF(AND($BN$22&lt;&gt;"",($BM$22+12)&lt;=$BO$22),$BN$22&amp;"-"&amp;TEXT(($BM$22+12),"00"),"")</f>
        <v/>
      </c>
      <c r="N139" s="6"/>
      <c r="O139" s="9" t="str">
        <f>IF(CC139="","",CC139&amp;"-"&amp;TEXT(COUNTIF($CA$72:$CA$95,CC139)+COUNTIF($CB$72:$CB$95,CC139)+COUNTIF($CC$72:$CC$95,CC139)+COUNTIF($CD$72:$CD$95,CC139)+COUNTIF($CA$100:$CA$123,CC139)+COUNTIF($CB$100:$CB$123,CC139)+COUNTIF($CC$100:$CC$123,CC139)+COUNTIF($CD$100:$CD$123,CC139)+COUNTIF($CA$128:$CA$151,CC139)+COUNTIF($CB$128:$CB$151,CC139)+COUNTIF($CC$128:CC139,CC139),"000"))</f>
        <v/>
      </c>
      <c r="P139" s="9" t="str">
        <f>IF(AND($BN$23&lt;&gt;"",($BM$23+12)&lt;=$BO$23),$BN$23,"")</f>
        <v/>
      </c>
      <c r="Q139" s="9" t="str">
        <f>IF(AND($BN$23&lt;&gt;"",($BM$23+12)&lt;=$BO$23),TEXT(($BM$23+12),"00"),"")</f>
        <v/>
      </c>
      <c r="R139" s="9" t="str">
        <f>IF(AND($BN$23&lt;&gt;"",($BM$23+12)&lt;=$BO$23),$BN$23&amp;"-"&amp;TEXT(($BM$23+12),"00"),"")</f>
        <v/>
      </c>
      <c r="T139" s="6"/>
      <c r="U139" s="9" t="str">
        <f>IF(CD139="","",CD139&amp;"-"&amp;TEXT(COUNTIF($CA$72:$CA$95,CD139)+COUNTIF($CB$72:$CB$95,CD139)+COUNTIF($CC$72:$CC$95,CD139)+COUNTIF($CD$72:$CD$95,CD139)+COUNTIF($CA$100:$CA$123,CD139)+COUNTIF($CB$100:$CB$123,CD139)+COUNTIF($CC$100:$CC$123,CD139)+COUNTIF($CD$100:$CD$123,CD139)+COUNTIF($CA$128:$CA$151,CD139)+COUNTIF($CB$128:$CB$151,CD139)+COUNTIF($CC$128:$CC$151,CD139)+COUNTIF($CD$128:CD139,CD139),"000"))</f>
        <v/>
      </c>
      <c r="V139" s="9" t="str">
        <f>IF(AND($BN$24&lt;&gt;"",($BM$24+12)&lt;=$BO$24),$BN$24,"")</f>
        <v/>
      </c>
      <c r="W139" s="9" t="str">
        <f>IF(AND($BN$24&lt;&gt;"",($BM$24+12)&lt;=$BO$24),TEXT(($BM$24+12),"00"),"")</f>
        <v/>
      </c>
      <c r="X139" s="9" t="str">
        <f>IF(AND($BN$24&lt;&gt;"",($BM$24+12)&lt;=$BO$24),$BN$24&amp;"-"&amp;TEXT(($BM$24+12),"00"),"")</f>
        <v/>
      </c>
      <c r="CA139" t="str" cm="1">
        <f t="array" ref="CA139">IF(NOT(AND($BN$21&lt;&gt;"",($BM$21+12)&lt;=$BO$21)),"",IF(B139&lt;&gt;"",IF(B139="-","",B139),IF(ISNUMBER(SEARCH(":",$BP$21)),IFERROR(_xlfn.LET(_xlpm.s,_xlfn.TEXTSPLIT($BP$21,","),_xlpm.k,FIND(":",_xlpm.s),INDEX(TRIM(LEFT(_xlpm.s,_xlpm.k-1)),_xlfn.XMATCH(($BM$21+12),_xlfn.SCAN(0,--MID(_xlpm.s,_xlpm.k+1,9),_xlfn.LAMBDA(_xlpm.a,_xlpm.v,_xlpm.a+_xlpm.v)),1))),""),IF(($BM$21+12)&lt;=$BQ$21,$BP$21,""))))</f>
        <v/>
      </c>
      <c r="CB139" t="str" cm="1">
        <f t="array" ref="CB139">IF(NOT(AND($BN$22&lt;&gt;"",($BM$22+12)&lt;=$BO$22)),"",IF(H139&lt;&gt;"",IF(H139="-","",H139),IF(ISNUMBER(SEARCH(":",$BP$22)),IFERROR(_xlfn.LET(_xlpm.s,_xlfn.TEXTSPLIT($BP$22,","),_xlpm.k,FIND(":",_xlpm.s),INDEX(TRIM(LEFT(_xlpm.s,_xlpm.k-1)),_xlfn.XMATCH(($BM$22+12),_xlfn.SCAN(0,--MID(_xlpm.s,_xlpm.k+1,9),_xlfn.LAMBDA(_xlpm.a,_xlpm.v,_xlpm.a+_xlpm.v)),1))),""),IF(($BM$22+12)&lt;=$BQ$22,$BP$22,""))))</f>
        <v/>
      </c>
      <c r="CC139" t="str" cm="1">
        <f t="array" ref="CC139">IF(NOT(AND($BN$23&lt;&gt;"",($BM$23+12)&lt;=$BO$23)),"",IF(N139&lt;&gt;"",IF(N139="-","",N139),IF(ISNUMBER(SEARCH(":",$BP$23)),IFERROR(_xlfn.LET(_xlpm.s,_xlfn.TEXTSPLIT($BP$23,","),_xlpm.k,FIND(":",_xlpm.s),INDEX(TRIM(LEFT(_xlpm.s,_xlpm.k-1)),_xlfn.XMATCH(($BM$23+12),_xlfn.SCAN(0,--MID(_xlpm.s,_xlpm.k+1,9),_xlfn.LAMBDA(_xlpm.a,_xlpm.v,_xlpm.a+_xlpm.v)),1))),""),IF(($BM$23+12)&lt;=$BQ$23,$BP$23,""))))</f>
        <v/>
      </c>
      <c r="CD139" t="str" cm="1">
        <f t="array" ref="CD139">IF(NOT(AND($BN$24&lt;&gt;"",($BM$24+12)&lt;=$BO$24)),"",IF(T139&lt;&gt;"",IF(T139="-","",T139),IF(ISNUMBER(SEARCH(":",$BP$24)),IFERROR(_xlfn.LET(_xlpm.s,_xlfn.TEXTSPLIT($BP$24,","),_xlpm.k,FIND(":",_xlpm.s),INDEX(TRIM(LEFT(_xlpm.s,_xlpm.k-1)),_xlfn.XMATCH(($BM$24+12),_xlfn.SCAN(0,--MID(_xlpm.s,_xlpm.k+1,9),_xlfn.LAMBDA(_xlpm.a,_xlpm.v,_xlpm.a+_xlpm.v)),1))),""),IF(($BM$24+12)&lt;=$BQ$24,$BP$24,""))))</f>
        <v/>
      </c>
    </row>
    <row r="140" spans="2:82" x14ac:dyDescent="0.45">
      <c r="B140" s="6"/>
      <c r="C140" s="9" t="str">
        <f>IF(CA140="","",CA140&amp;"-"&amp;TEXT(COUNTIF($CA$72:$CA$95,CA140)+COUNTIF($CB$72:$CB$95,CA140)+COUNTIF($CC$72:$CC$95,CA140)+COUNTIF($CD$72:$CD$95,CA140)+COUNTIF($CA$100:$CA$123,CA140)+COUNTIF($CB$100:$CB$123,CA140)+COUNTIF($CC$100:$CC$123,CA140)+COUNTIF($CD$100:$CD$123,CA140)+COUNTIF($CA$128:CA140,CA140),"000"))</f>
        <v/>
      </c>
      <c r="D140" s="9" t="str">
        <f>IF(AND($BN$21&lt;&gt;"",($BM$21+13)&lt;=$BO$21),$BN$21,"")</f>
        <v/>
      </c>
      <c r="E140" s="9" t="str">
        <f>IF(AND($BN$21&lt;&gt;"",($BM$21+13)&lt;=$BO$21),TEXT(($BM$21+13),"00"),"")</f>
        <v/>
      </c>
      <c r="F140" s="9" t="str">
        <f>IF(AND($BN$21&lt;&gt;"",($BM$21+13)&lt;=$BO$21),$BN$21&amp;"-"&amp;TEXT(($BM$21+13),"00"),"")</f>
        <v/>
      </c>
      <c r="H140" s="6"/>
      <c r="I140" s="9" t="str">
        <f>IF(CB140="","",CB140&amp;"-"&amp;TEXT(COUNTIF($CA$72:$CA$95,CB140)+COUNTIF($CB$72:$CB$95,CB140)+COUNTIF($CC$72:$CC$95,CB140)+COUNTIF($CD$72:$CD$95,CB140)+COUNTIF($CA$100:$CA$123,CB140)+COUNTIF($CB$100:$CB$123,CB140)+COUNTIF($CC$100:$CC$123,CB140)+COUNTIF($CD$100:$CD$123,CB140)+COUNTIF($CA$128:$CA$151,CB140)+COUNTIF($CB$128:CB140,CB140),"000"))</f>
        <v/>
      </c>
      <c r="J140" s="9" t="str">
        <f>IF(AND($BN$22&lt;&gt;"",($BM$22+13)&lt;=$BO$22),$BN$22,"")</f>
        <v/>
      </c>
      <c r="K140" s="9" t="str">
        <f>IF(AND($BN$22&lt;&gt;"",($BM$22+13)&lt;=$BO$22),TEXT(($BM$22+13),"00"),"")</f>
        <v/>
      </c>
      <c r="L140" s="9" t="str">
        <f>IF(AND($BN$22&lt;&gt;"",($BM$22+13)&lt;=$BO$22),$BN$22&amp;"-"&amp;TEXT(($BM$22+13),"00"),"")</f>
        <v/>
      </c>
      <c r="N140" s="6"/>
      <c r="O140" s="9" t="str">
        <f>IF(CC140="","",CC140&amp;"-"&amp;TEXT(COUNTIF($CA$72:$CA$95,CC140)+COUNTIF($CB$72:$CB$95,CC140)+COUNTIF($CC$72:$CC$95,CC140)+COUNTIF($CD$72:$CD$95,CC140)+COUNTIF($CA$100:$CA$123,CC140)+COUNTIF($CB$100:$CB$123,CC140)+COUNTIF($CC$100:$CC$123,CC140)+COUNTIF($CD$100:$CD$123,CC140)+COUNTIF($CA$128:$CA$151,CC140)+COUNTIF($CB$128:$CB$151,CC140)+COUNTIF($CC$128:CC140,CC140),"000"))</f>
        <v/>
      </c>
      <c r="P140" s="9" t="str">
        <f>IF(AND($BN$23&lt;&gt;"",($BM$23+13)&lt;=$BO$23),$BN$23,"")</f>
        <v/>
      </c>
      <c r="Q140" s="9" t="str">
        <f>IF(AND($BN$23&lt;&gt;"",($BM$23+13)&lt;=$BO$23),TEXT(($BM$23+13),"00"),"")</f>
        <v/>
      </c>
      <c r="R140" s="9" t="str">
        <f>IF(AND($BN$23&lt;&gt;"",($BM$23+13)&lt;=$BO$23),$BN$23&amp;"-"&amp;TEXT(($BM$23+13),"00"),"")</f>
        <v/>
      </c>
      <c r="T140" s="6"/>
      <c r="U140" s="9" t="str">
        <f>IF(CD140="","",CD140&amp;"-"&amp;TEXT(COUNTIF($CA$72:$CA$95,CD140)+COUNTIF($CB$72:$CB$95,CD140)+COUNTIF($CC$72:$CC$95,CD140)+COUNTIF($CD$72:$CD$95,CD140)+COUNTIF($CA$100:$CA$123,CD140)+COUNTIF($CB$100:$CB$123,CD140)+COUNTIF($CC$100:$CC$123,CD140)+COUNTIF($CD$100:$CD$123,CD140)+COUNTIF($CA$128:$CA$151,CD140)+COUNTIF($CB$128:$CB$151,CD140)+COUNTIF($CC$128:$CC$151,CD140)+COUNTIF($CD$128:CD140,CD140),"000"))</f>
        <v/>
      </c>
      <c r="V140" s="9" t="str">
        <f>IF(AND($BN$24&lt;&gt;"",($BM$24+13)&lt;=$BO$24),$BN$24,"")</f>
        <v/>
      </c>
      <c r="W140" s="9" t="str">
        <f>IF(AND($BN$24&lt;&gt;"",($BM$24+13)&lt;=$BO$24),TEXT(($BM$24+13),"00"),"")</f>
        <v/>
      </c>
      <c r="X140" s="9" t="str">
        <f>IF(AND($BN$24&lt;&gt;"",($BM$24+13)&lt;=$BO$24),$BN$24&amp;"-"&amp;TEXT(($BM$24+13),"00"),"")</f>
        <v/>
      </c>
      <c r="CA140" t="str" cm="1">
        <f t="array" ref="CA140">IF(NOT(AND($BN$21&lt;&gt;"",($BM$21+13)&lt;=$BO$21)),"",IF(B140&lt;&gt;"",IF(B140="-","",B140),IF(ISNUMBER(SEARCH(":",$BP$21)),IFERROR(_xlfn.LET(_xlpm.s,_xlfn.TEXTSPLIT($BP$21,","),_xlpm.k,FIND(":",_xlpm.s),INDEX(TRIM(LEFT(_xlpm.s,_xlpm.k-1)),_xlfn.XMATCH(($BM$21+13),_xlfn.SCAN(0,--MID(_xlpm.s,_xlpm.k+1,9),_xlfn.LAMBDA(_xlpm.a,_xlpm.v,_xlpm.a+_xlpm.v)),1))),""),IF(($BM$21+13)&lt;=$BQ$21,$BP$21,""))))</f>
        <v/>
      </c>
      <c r="CB140" t="str" cm="1">
        <f t="array" ref="CB140">IF(NOT(AND($BN$22&lt;&gt;"",($BM$22+13)&lt;=$BO$22)),"",IF(H140&lt;&gt;"",IF(H140="-","",H140),IF(ISNUMBER(SEARCH(":",$BP$22)),IFERROR(_xlfn.LET(_xlpm.s,_xlfn.TEXTSPLIT($BP$22,","),_xlpm.k,FIND(":",_xlpm.s),INDEX(TRIM(LEFT(_xlpm.s,_xlpm.k-1)),_xlfn.XMATCH(($BM$22+13),_xlfn.SCAN(0,--MID(_xlpm.s,_xlpm.k+1,9),_xlfn.LAMBDA(_xlpm.a,_xlpm.v,_xlpm.a+_xlpm.v)),1))),""),IF(($BM$22+13)&lt;=$BQ$22,$BP$22,""))))</f>
        <v/>
      </c>
      <c r="CC140" t="str" cm="1">
        <f t="array" ref="CC140">IF(NOT(AND($BN$23&lt;&gt;"",($BM$23+13)&lt;=$BO$23)),"",IF(N140&lt;&gt;"",IF(N140="-","",N140),IF(ISNUMBER(SEARCH(":",$BP$23)),IFERROR(_xlfn.LET(_xlpm.s,_xlfn.TEXTSPLIT($BP$23,","),_xlpm.k,FIND(":",_xlpm.s),INDEX(TRIM(LEFT(_xlpm.s,_xlpm.k-1)),_xlfn.XMATCH(($BM$23+13),_xlfn.SCAN(0,--MID(_xlpm.s,_xlpm.k+1,9),_xlfn.LAMBDA(_xlpm.a,_xlpm.v,_xlpm.a+_xlpm.v)),1))),""),IF(($BM$23+13)&lt;=$BQ$23,$BP$23,""))))</f>
        <v/>
      </c>
      <c r="CD140" t="str" cm="1">
        <f t="array" ref="CD140">IF(NOT(AND($BN$24&lt;&gt;"",($BM$24+13)&lt;=$BO$24)),"",IF(T140&lt;&gt;"",IF(T140="-","",T140),IF(ISNUMBER(SEARCH(":",$BP$24)),IFERROR(_xlfn.LET(_xlpm.s,_xlfn.TEXTSPLIT($BP$24,","),_xlpm.k,FIND(":",_xlpm.s),INDEX(TRIM(LEFT(_xlpm.s,_xlpm.k-1)),_xlfn.XMATCH(($BM$24+13),_xlfn.SCAN(0,--MID(_xlpm.s,_xlpm.k+1,9),_xlfn.LAMBDA(_xlpm.a,_xlpm.v,_xlpm.a+_xlpm.v)),1))),""),IF(($BM$24+13)&lt;=$BQ$24,$BP$24,""))))</f>
        <v/>
      </c>
    </row>
    <row r="141" spans="2:82" x14ac:dyDescent="0.45">
      <c r="B141" s="6"/>
      <c r="C141" s="9" t="str">
        <f>IF(CA141="","",CA141&amp;"-"&amp;TEXT(COUNTIF($CA$72:$CA$95,CA141)+COUNTIF($CB$72:$CB$95,CA141)+COUNTIF($CC$72:$CC$95,CA141)+COUNTIF($CD$72:$CD$95,CA141)+COUNTIF($CA$100:$CA$123,CA141)+COUNTIF($CB$100:$CB$123,CA141)+COUNTIF($CC$100:$CC$123,CA141)+COUNTIF($CD$100:$CD$123,CA141)+COUNTIF($CA$128:CA141,CA141),"000"))</f>
        <v/>
      </c>
      <c r="D141" s="9" t="str">
        <f>IF(AND($BN$21&lt;&gt;"",($BM$21+14)&lt;=$BO$21),$BN$21,"")</f>
        <v/>
      </c>
      <c r="E141" s="9" t="str">
        <f>IF(AND($BN$21&lt;&gt;"",($BM$21+14)&lt;=$BO$21),TEXT(($BM$21+14),"00"),"")</f>
        <v/>
      </c>
      <c r="F141" s="9" t="str">
        <f>IF(AND($BN$21&lt;&gt;"",($BM$21+14)&lt;=$BO$21),$BN$21&amp;"-"&amp;TEXT(($BM$21+14),"00"),"")</f>
        <v/>
      </c>
      <c r="H141" s="6"/>
      <c r="I141" s="9" t="str">
        <f>IF(CB141="","",CB141&amp;"-"&amp;TEXT(COUNTIF($CA$72:$CA$95,CB141)+COUNTIF($CB$72:$CB$95,CB141)+COUNTIF($CC$72:$CC$95,CB141)+COUNTIF($CD$72:$CD$95,CB141)+COUNTIF($CA$100:$CA$123,CB141)+COUNTIF($CB$100:$CB$123,CB141)+COUNTIF($CC$100:$CC$123,CB141)+COUNTIF($CD$100:$CD$123,CB141)+COUNTIF($CA$128:$CA$151,CB141)+COUNTIF($CB$128:CB141,CB141),"000"))</f>
        <v/>
      </c>
      <c r="J141" s="9" t="str">
        <f>IF(AND($BN$22&lt;&gt;"",($BM$22+14)&lt;=$BO$22),$BN$22,"")</f>
        <v/>
      </c>
      <c r="K141" s="9" t="str">
        <f>IF(AND($BN$22&lt;&gt;"",($BM$22+14)&lt;=$BO$22),TEXT(($BM$22+14),"00"),"")</f>
        <v/>
      </c>
      <c r="L141" s="9" t="str">
        <f>IF(AND($BN$22&lt;&gt;"",($BM$22+14)&lt;=$BO$22),$BN$22&amp;"-"&amp;TEXT(($BM$22+14),"00"),"")</f>
        <v/>
      </c>
      <c r="N141" s="6"/>
      <c r="O141" s="9" t="str">
        <f>IF(CC141="","",CC141&amp;"-"&amp;TEXT(COUNTIF($CA$72:$CA$95,CC141)+COUNTIF($CB$72:$CB$95,CC141)+COUNTIF($CC$72:$CC$95,CC141)+COUNTIF($CD$72:$CD$95,CC141)+COUNTIF($CA$100:$CA$123,CC141)+COUNTIF($CB$100:$CB$123,CC141)+COUNTIF($CC$100:$CC$123,CC141)+COUNTIF($CD$100:$CD$123,CC141)+COUNTIF($CA$128:$CA$151,CC141)+COUNTIF($CB$128:$CB$151,CC141)+COUNTIF($CC$128:CC141,CC141),"000"))</f>
        <v/>
      </c>
      <c r="P141" s="9" t="str">
        <f>IF(AND($BN$23&lt;&gt;"",($BM$23+14)&lt;=$BO$23),$BN$23,"")</f>
        <v/>
      </c>
      <c r="Q141" s="9" t="str">
        <f>IF(AND($BN$23&lt;&gt;"",($BM$23+14)&lt;=$BO$23),TEXT(($BM$23+14),"00"),"")</f>
        <v/>
      </c>
      <c r="R141" s="9" t="str">
        <f>IF(AND($BN$23&lt;&gt;"",($BM$23+14)&lt;=$BO$23),$BN$23&amp;"-"&amp;TEXT(($BM$23+14),"00"),"")</f>
        <v/>
      </c>
      <c r="T141" s="6"/>
      <c r="U141" s="9" t="str">
        <f>IF(CD141="","",CD141&amp;"-"&amp;TEXT(COUNTIF($CA$72:$CA$95,CD141)+COUNTIF($CB$72:$CB$95,CD141)+COUNTIF($CC$72:$CC$95,CD141)+COUNTIF($CD$72:$CD$95,CD141)+COUNTIF($CA$100:$CA$123,CD141)+COUNTIF($CB$100:$CB$123,CD141)+COUNTIF($CC$100:$CC$123,CD141)+COUNTIF($CD$100:$CD$123,CD141)+COUNTIF($CA$128:$CA$151,CD141)+COUNTIF($CB$128:$CB$151,CD141)+COUNTIF($CC$128:$CC$151,CD141)+COUNTIF($CD$128:CD141,CD141),"000"))</f>
        <v/>
      </c>
      <c r="V141" s="9" t="str">
        <f>IF(AND($BN$24&lt;&gt;"",($BM$24+14)&lt;=$BO$24),$BN$24,"")</f>
        <v/>
      </c>
      <c r="W141" s="9" t="str">
        <f>IF(AND($BN$24&lt;&gt;"",($BM$24+14)&lt;=$BO$24),TEXT(($BM$24+14),"00"),"")</f>
        <v/>
      </c>
      <c r="X141" s="9" t="str">
        <f>IF(AND($BN$24&lt;&gt;"",($BM$24+14)&lt;=$BO$24),$BN$24&amp;"-"&amp;TEXT(($BM$24+14),"00"),"")</f>
        <v/>
      </c>
      <c r="CA141" t="str" cm="1">
        <f t="array" ref="CA141">IF(NOT(AND($BN$21&lt;&gt;"",($BM$21+14)&lt;=$BO$21)),"",IF(B141&lt;&gt;"",IF(B141="-","",B141),IF(ISNUMBER(SEARCH(":",$BP$21)),IFERROR(_xlfn.LET(_xlpm.s,_xlfn.TEXTSPLIT($BP$21,","),_xlpm.k,FIND(":",_xlpm.s),INDEX(TRIM(LEFT(_xlpm.s,_xlpm.k-1)),_xlfn.XMATCH(($BM$21+14),_xlfn.SCAN(0,--MID(_xlpm.s,_xlpm.k+1,9),_xlfn.LAMBDA(_xlpm.a,_xlpm.v,_xlpm.a+_xlpm.v)),1))),""),IF(($BM$21+14)&lt;=$BQ$21,$BP$21,""))))</f>
        <v/>
      </c>
      <c r="CB141" t="str" cm="1">
        <f t="array" ref="CB141">IF(NOT(AND($BN$22&lt;&gt;"",($BM$22+14)&lt;=$BO$22)),"",IF(H141&lt;&gt;"",IF(H141="-","",H141),IF(ISNUMBER(SEARCH(":",$BP$22)),IFERROR(_xlfn.LET(_xlpm.s,_xlfn.TEXTSPLIT($BP$22,","),_xlpm.k,FIND(":",_xlpm.s),INDEX(TRIM(LEFT(_xlpm.s,_xlpm.k-1)),_xlfn.XMATCH(($BM$22+14),_xlfn.SCAN(0,--MID(_xlpm.s,_xlpm.k+1,9),_xlfn.LAMBDA(_xlpm.a,_xlpm.v,_xlpm.a+_xlpm.v)),1))),""),IF(($BM$22+14)&lt;=$BQ$22,$BP$22,""))))</f>
        <v/>
      </c>
      <c r="CC141" t="str" cm="1">
        <f t="array" ref="CC141">IF(NOT(AND($BN$23&lt;&gt;"",($BM$23+14)&lt;=$BO$23)),"",IF(N141&lt;&gt;"",IF(N141="-","",N141),IF(ISNUMBER(SEARCH(":",$BP$23)),IFERROR(_xlfn.LET(_xlpm.s,_xlfn.TEXTSPLIT($BP$23,","),_xlpm.k,FIND(":",_xlpm.s),INDEX(TRIM(LEFT(_xlpm.s,_xlpm.k-1)),_xlfn.XMATCH(($BM$23+14),_xlfn.SCAN(0,--MID(_xlpm.s,_xlpm.k+1,9),_xlfn.LAMBDA(_xlpm.a,_xlpm.v,_xlpm.a+_xlpm.v)),1))),""),IF(($BM$23+14)&lt;=$BQ$23,$BP$23,""))))</f>
        <v/>
      </c>
      <c r="CD141" t="str" cm="1">
        <f t="array" ref="CD141">IF(NOT(AND($BN$24&lt;&gt;"",($BM$24+14)&lt;=$BO$24)),"",IF(T141&lt;&gt;"",IF(T141="-","",T141),IF(ISNUMBER(SEARCH(":",$BP$24)),IFERROR(_xlfn.LET(_xlpm.s,_xlfn.TEXTSPLIT($BP$24,","),_xlpm.k,FIND(":",_xlpm.s),INDEX(TRIM(LEFT(_xlpm.s,_xlpm.k-1)),_xlfn.XMATCH(($BM$24+14),_xlfn.SCAN(0,--MID(_xlpm.s,_xlpm.k+1,9),_xlfn.LAMBDA(_xlpm.a,_xlpm.v,_xlpm.a+_xlpm.v)),1))),""),IF(($BM$24+14)&lt;=$BQ$24,$BP$24,""))))</f>
        <v/>
      </c>
    </row>
    <row r="142" spans="2:82" x14ac:dyDescent="0.45">
      <c r="B142" s="6"/>
      <c r="C142" s="9" t="str">
        <f>IF(CA142="","",CA142&amp;"-"&amp;TEXT(COUNTIF($CA$72:$CA$95,CA142)+COUNTIF($CB$72:$CB$95,CA142)+COUNTIF($CC$72:$CC$95,CA142)+COUNTIF($CD$72:$CD$95,CA142)+COUNTIF($CA$100:$CA$123,CA142)+COUNTIF($CB$100:$CB$123,CA142)+COUNTIF($CC$100:$CC$123,CA142)+COUNTIF($CD$100:$CD$123,CA142)+COUNTIF($CA$128:CA142,CA142),"000"))</f>
        <v/>
      </c>
      <c r="D142" s="9" t="str">
        <f>IF(AND($BN$21&lt;&gt;"",($BM$21+15)&lt;=$BO$21),$BN$21,"")</f>
        <v/>
      </c>
      <c r="E142" s="9" t="str">
        <f>IF(AND($BN$21&lt;&gt;"",($BM$21+15)&lt;=$BO$21),TEXT(($BM$21+15),"00"),"")</f>
        <v/>
      </c>
      <c r="F142" s="9" t="str">
        <f>IF(AND($BN$21&lt;&gt;"",($BM$21+15)&lt;=$BO$21),$BN$21&amp;"-"&amp;TEXT(($BM$21+15),"00"),"")</f>
        <v/>
      </c>
      <c r="H142" s="6"/>
      <c r="I142" s="9" t="str">
        <f>IF(CB142="","",CB142&amp;"-"&amp;TEXT(COUNTIF($CA$72:$CA$95,CB142)+COUNTIF($CB$72:$CB$95,CB142)+COUNTIF($CC$72:$CC$95,CB142)+COUNTIF($CD$72:$CD$95,CB142)+COUNTIF($CA$100:$CA$123,CB142)+COUNTIF($CB$100:$CB$123,CB142)+COUNTIF($CC$100:$CC$123,CB142)+COUNTIF($CD$100:$CD$123,CB142)+COUNTIF($CA$128:$CA$151,CB142)+COUNTIF($CB$128:CB142,CB142),"000"))</f>
        <v/>
      </c>
      <c r="J142" s="9" t="str">
        <f>IF(AND($BN$22&lt;&gt;"",($BM$22+15)&lt;=$BO$22),$BN$22,"")</f>
        <v/>
      </c>
      <c r="K142" s="9" t="str">
        <f>IF(AND($BN$22&lt;&gt;"",($BM$22+15)&lt;=$BO$22),TEXT(($BM$22+15),"00"),"")</f>
        <v/>
      </c>
      <c r="L142" s="9" t="str">
        <f>IF(AND($BN$22&lt;&gt;"",($BM$22+15)&lt;=$BO$22),$BN$22&amp;"-"&amp;TEXT(($BM$22+15),"00"),"")</f>
        <v/>
      </c>
      <c r="N142" s="6"/>
      <c r="O142" s="9" t="str">
        <f>IF(CC142="","",CC142&amp;"-"&amp;TEXT(COUNTIF($CA$72:$CA$95,CC142)+COUNTIF($CB$72:$CB$95,CC142)+COUNTIF($CC$72:$CC$95,CC142)+COUNTIF($CD$72:$CD$95,CC142)+COUNTIF($CA$100:$CA$123,CC142)+COUNTIF($CB$100:$CB$123,CC142)+COUNTIF($CC$100:$CC$123,CC142)+COUNTIF($CD$100:$CD$123,CC142)+COUNTIF($CA$128:$CA$151,CC142)+COUNTIF($CB$128:$CB$151,CC142)+COUNTIF($CC$128:CC142,CC142),"000"))</f>
        <v/>
      </c>
      <c r="P142" s="9" t="str">
        <f>IF(AND($BN$23&lt;&gt;"",($BM$23+15)&lt;=$BO$23),$BN$23,"")</f>
        <v/>
      </c>
      <c r="Q142" s="9" t="str">
        <f>IF(AND($BN$23&lt;&gt;"",($BM$23+15)&lt;=$BO$23),TEXT(($BM$23+15),"00"),"")</f>
        <v/>
      </c>
      <c r="R142" s="9" t="str">
        <f>IF(AND($BN$23&lt;&gt;"",($BM$23+15)&lt;=$BO$23),$BN$23&amp;"-"&amp;TEXT(($BM$23+15),"00"),"")</f>
        <v/>
      </c>
      <c r="T142" s="6"/>
      <c r="U142" s="9" t="str">
        <f>IF(CD142="","",CD142&amp;"-"&amp;TEXT(COUNTIF($CA$72:$CA$95,CD142)+COUNTIF($CB$72:$CB$95,CD142)+COUNTIF($CC$72:$CC$95,CD142)+COUNTIF($CD$72:$CD$95,CD142)+COUNTIF($CA$100:$CA$123,CD142)+COUNTIF($CB$100:$CB$123,CD142)+COUNTIF($CC$100:$CC$123,CD142)+COUNTIF($CD$100:$CD$123,CD142)+COUNTIF($CA$128:$CA$151,CD142)+COUNTIF($CB$128:$CB$151,CD142)+COUNTIF($CC$128:$CC$151,CD142)+COUNTIF($CD$128:CD142,CD142),"000"))</f>
        <v/>
      </c>
      <c r="V142" s="9" t="str">
        <f>IF(AND($BN$24&lt;&gt;"",($BM$24+15)&lt;=$BO$24),$BN$24,"")</f>
        <v/>
      </c>
      <c r="W142" s="9" t="str">
        <f>IF(AND($BN$24&lt;&gt;"",($BM$24+15)&lt;=$BO$24),TEXT(($BM$24+15),"00"),"")</f>
        <v/>
      </c>
      <c r="X142" s="9" t="str">
        <f>IF(AND($BN$24&lt;&gt;"",($BM$24+15)&lt;=$BO$24),$BN$24&amp;"-"&amp;TEXT(($BM$24+15),"00"),"")</f>
        <v/>
      </c>
      <c r="CA142" t="str" cm="1">
        <f t="array" ref="CA142">IF(NOT(AND($BN$21&lt;&gt;"",($BM$21+15)&lt;=$BO$21)),"",IF(B142&lt;&gt;"",IF(B142="-","",B142),IF(ISNUMBER(SEARCH(":",$BP$21)),IFERROR(_xlfn.LET(_xlpm.s,_xlfn.TEXTSPLIT($BP$21,","),_xlpm.k,FIND(":",_xlpm.s),INDEX(TRIM(LEFT(_xlpm.s,_xlpm.k-1)),_xlfn.XMATCH(($BM$21+15),_xlfn.SCAN(0,--MID(_xlpm.s,_xlpm.k+1,9),_xlfn.LAMBDA(_xlpm.a,_xlpm.v,_xlpm.a+_xlpm.v)),1))),""),IF(($BM$21+15)&lt;=$BQ$21,$BP$21,""))))</f>
        <v/>
      </c>
      <c r="CB142" t="str" cm="1">
        <f t="array" ref="CB142">IF(NOT(AND($BN$22&lt;&gt;"",($BM$22+15)&lt;=$BO$22)),"",IF(H142&lt;&gt;"",IF(H142="-","",H142),IF(ISNUMBER(SEARCH(":",$BP$22)),IFERROR(_xlfn.LET(_xlpm.s,_xlfn.TEXTSPLIT($BP$22,","),_xlpm.k,FIND(":",_xlpm.s),INDEX(TRIM(LEFT(_xlpm.s,_xlpm.k-1)),_xlfn.XMATCH(($BM$22+15),_xlfn.SCAN(0,--MID(_xlpm.s,_xlpm.k+1,9),_xlfn.LAMBDA(_xlpm.a,_xlpm.v,_xlpm.a+_xlpm.v)),1))),""),IF(($BM$22+15)&lt;=$BQ$22,$BP$22,""))))</f>
        <v/>
      </c>
      <c r="CC142" t="str" cm="1">
        <f t="array" ref="CC142">IF(NOT(AND($BN$23&lt;&gt;"",($BM$23+15)&lt;=$BO$23)),"",IF(N142&lt;&gt;"",IF(N142="-","",N142),IF(ISNUMBER(SEARCH(":",$BP$23)),IFERROR(_xlfn.LET(_xlpm.s,_xlfn.TEXTSPLIT($BP$23,","),_xlpm.k,FIND(":",_xlpm.s),INDEX(TRIM(LEFT(_xlpm.s,_xlpm.k-1)),_xlfn.XMATCH(($BM$23+15),_xlfn.SCAN(0,--MID(_xlpm.s,_xlpm.k+1,9),_xlfn.LAMBDA(_xlpm.a,_xlpm.v,_xlpm.a+_xlpm.v)),1))),""),IF(($BM$23+15)&lt;=$BQ$23,$BP$23,""))))</f>
        <v/>
      </c>
      <c r="CD142" t="str" cm="1">
        <f t="array" ref="CD142">IF(NOT(AND($BN$24&lt;&gt;"",($BM$24+15)&lt;=$BO$24)),"",IF(T142&lt;&gt;"",IF(T142="-","",T142),IF(ISNUMBER(SEARCH(":",$BP$24)),IFERROR(_xlfn.LET(_xlpm.s,_xlfn.TEXTSPLIT($BP$24,","),_xlpm.k,FIND(":",_xlpm.s),INDEX(TRIM(LEFT(_xlpm.s,_xlpm.k-1)),_xlfn.XMATCH(($BM$24+15),_xlfn.SCAN(0,--MID(_xlpm.s,_xlpm.k+1,9),_xlfn.LAMBDA(_xlpm.a,_xlpm.v,_xlpm.a+_xlpm.v)),1))),""),IF(($BM$24+15)&lt;=$BQ$24,$BP$24,""))))</f>
        <v/>
      </c>
    </row>
    <row r="143" spans="2:82" x14ac:dyDescent="0.45">
      <c r="B143" s="6"/>
      <c r="C143" s="9" t="str">
        <f>IF(CA143="","",CA143&amp;"-"&amp;TEXT(COUNTIF($CA$72:$CA$95,CA143)+COUNTIF($CB$72:$CB$95,CA143)+COUNTIF($CC$72:$CC$95,CA143)+COUNTIF($CD$72:$CD$95,CA143)+COUNTIF($CA$100:$CA$123,CA143)+COUNTIF($CB$100:$CB$123,CA143)+COUNTIF($CC$100:$CC$123,CA143)+COUNTIF($CD$100:$CD$123,CA143)+COUNTIF($CA$128:CA143,CA143),"000"))</f>
        <v/>
      </c>
      <c r="D143" s="9" t="str">
        <f>IF(AND($BN$21&lt;&gt;"",($BM$21+16)&lt;=$BO$21),$BN$21,"")</f>
        <v/>
      </c>
      <c r="E143" s="9" t="str">
        <f>IF(AND($BN$21&lt;&gt;"",($BM$21+16)&lt;=$BO$21),TEXT(($BM$21+16),"00"),"")</f>
        <v/>
      </c>
      <c r="F143" s="9" t="str">
        <f>IF(AND($BN$21&lt;&gt;"",($BM$21+16)&lt;=$BO$21),$BN$21&amp;"-"&amp;TEXT(($BM$21+16),"00"),"")</f>
        <v/>
      </c>
      <c r="H143" s="6"/>
      <c r="I143" s="9" t="str">
        <f>IF(CB143="","",CB143&amp;"-"&amp;TEXT(COUNTIF($CA$72:$CA$95,CB143)+COUNTIF($CB$72:$CB$95,CB143)+COUNTIF($CC$72:$CC$95,CB143)+COUNTIF($CD$72:$CD$95,CB143)+COUNTIF($CA$100:$CA$123,CB143)+COUNTIF($CB$100:$CB$123,CB143)+COUNTIF($CC$100:$CC$123,CB143)+COUNTIF($CD$100:$CD$123,CB143)+COUNTIF($CA$128:$CA$151,CB143)+COUNTIF($CB$128:CB143,CB143),"000"))</f>
        <v/>
      </c>
      <c r="J143" s="9" t="str">
        <f>IF(AND($BN$22&lt;&gt;"",($BM$22+16)&lt;=$BO$22),$BN$22,"")</f>
        <v/>
      </c>
      <c r="K143" s="9" t="str">
        <f>IF(AND($BN$22&lt;&gt;"",($BM$22+16)&lt;=$BO$22),TEXT(($BM$22+16),"00"),"")</f>
        <v/>
      </c>
      <c r="L143" s="9" t="str">
        <f>IF(AND($BN$22&lt;&gt;"",($BM$22+16)&lt;=$BO$22),$BN$22&amp;"-"&amp;TEXT(($BM$22+16),"00"),"")</f>
        <v/>
      </c>
      <c r="N143" s="6"/>
      <c r="O143" s="9" t="str">
        <f>IF(CC143="","",CC143&amp;"-"&amp;TEXT(COUNTIF($CA$72:$CA$95,CC143)+COUNTIF($CB$72:$CB$95,CC143)+COUNTIF($CC$72:$CC$95,CC143)+COUNTIF($CD$72:$CD$95,CC143)+COUNTIF($CA$100:$CA$123,CC143)+COUNTIF($CB$100:$CB$123,CC143)+COUNTIF($CC$100:$CC$123,CC143)+COUNTIF($CD$100:$CD$123,CC143)+COUNTIF($CA$128:$CA$151,CC143)+COUNTIF($CB$128:$CB$151,CC143)+COUNTIF($CC$128:CC143,CC143),"000"))</f>
        <v/>
      </c>
      <c r="P143" s="9" t="str">
        <f>IF(AND($BN$23&lt;&gt;"",($BM$23+16)&lt;=$BO$23),$BN$23,"")</f>
        <v/>
      </c>
      <c r="Q143" s="9" t="str">
        <f>IF(AND($BN$23&lt;&gt;"",($BM$23+16)&lt;=$BO$23),TEXT(($BM$23+16),"00"),"")</f>
        <v/>
      </c>
      <c r="R143" s="9" t="str">
        <f>IF(AND($BN$23&lt;&gt;"",($BM$23+16)&lt;=$BO$23),$BN$23&amp;"-"&amp;TEXT(($BM$23+16),"00"),"")</f>
        <v/>
      </c>
      <c r="T143" s="6"/>
      <c r="U143" s="9" t="str">
        <f>IF(CD143="","",CD143&amp;"-"&amp;TEXT(COUNTIF($CA$72:$CA$95,CD143)+COUNTIF($CB$72:$CB$95,CD143)+COUNTIF($CC$72:$CC$95,CD143)+COUNTIF($CD$72:$CD$95,CD143)+COUNTIF($CA$100:$CA$123,CD143)+COUNTIF($CB$100:$CB$123,CD143)+COUNTIF($CC$100:$CC$123,CD143)+COUNTIF($CD$100:$CD$123,CD143)+COUNTIF($CA$128:$CA$151,CD143)+COUNTIF($CB$128:$CB$151,CD143)+COUNTIF($CC$128:$CC$151,CD143)+COUNTIF($CD$128:CD143,CD143),"000"))</f>
        <v/>
      </c>
      <c r="V143" s="9" t="str">
        <f>IF(AND($BN$24&lt;&gt;"",($BM$24+16)&lt;=$BO$24),$BN$24,"")</f>
        <v/>
      </c>
      <c r="W143" s="9" t="str">
        <f>IF(AND($BN$24&lt;&gt;"",($BM$24+16)&lt;=$BO$24),TEXT(($BM$24+16),"00"),"")</f>
        <v/>
      </c>
      <c r="X143" s="9" t="str">
        <f>IF(AND($BN$24&lt;&gt;"",($BM$24+16)&lt;=$BO$24),$BN$24&amp;"-"&amp;TEXT(($BM$24+16),"00"),"")</f>
        <v/>
      </c>
      <c r="CA143" t="str" cm="1">
        <f t="array" ref="CA143">IF(NOT(AND($BN$21&lt;&gt;"",($BM$21+16)&lt;=$BO$21)),"",IF(B143&lt;&gt;"",IF(B143="-","",B143),IF(ISNUMBER(SEARCH(":",$BP$21)),IFERROR(_xlfn.LET(_xlpm.s,_xlfn.TEXTSPLIT($BP$21,","),_xlpm.k,FIND(":",_xlpm.s),INDEX(TRIM(LEFT(_xlpm.s,_xlpm.k-1)),_xlfn.XMATCH(($BM$21+16),_xlfn.SCAN(0,--MID(_xlpm.s,_xlpm.k+1,9),_xlfn.LAMBDA(_xlpm.a,_xlpm.v,_xlpm.a+_xlpm.v)),1))),""),IF(($BM$21+16)&lt;=$BQ$21,$BP$21,""))))</f>
        <v/>
      </c>
      <c r="CB143" t="str" cm="1">
        <f t="array" ref="CB143">IF(NOT(AND($BN$22&lt;&gt;"",($BM$22+16)&lt;=$BO$22)),"",IF(H143&lt;&gt;"",IF(H143="-","",H143),IF(ISNUMBER(SEARCH(":",$BP$22)),IFERROR(_xlfn.LET(_xlpm.s,_xlfn.TEXTSPLIT($BP$22,","),_xlpm.k,FIND(":",_xlpm.s),INDEX(TRIM(LEFT(_xlpm.s,_xlpm.k-1)),_xlfn.XMATCH(($BM$22+16),_xlfn.SCAN(0,--MID(_xlpm.s,_xlpm.k+1,9),_xlfn.LAMBDA(_xlpm.a,_xlpm.v,_xlpm.a+_xlpm.v)),1))),""),IF(($BM$22+16)&lt;=$BQ$22,$BP$22,""))))</f>
        <v/>
      </c>
      <c r="CC143" t="str" cm="1">
        <f t="array" ref="CC143">IF(NOT(AND($BN$23&lt;&gt;"",($BM$23+16)&lt;=$BO$23)),"",IF(N143&lt;&gt;"",IF(N143="-","",N143),IF(ISNUMBER(SEARCH(":",$BP$23)),IFERROR(_xlfn.LET(_xlpm.s,_xlfn.TEXTSPLIT($BP$23,","),_xlpm.k,FIND(":",_xlpm.s),INDEX(TRIM(LEFT(_xlpm.s,_xlpm.k-1)),_xlfn.XMATCH(($BM$23+16),_xlfn.SCAN(0,--MID(_xlpm.s,_xlpm.k+1,9),_xlfn.LAMBDA(_xlpm.a,_xlpm.v,_xlpm.a+_xlpm.v)),1))),""),IF(($BM$23+16)&lt;=$BQ$23,$BP$23,""))))</f>
        <v/>
      </c>
      <c r="CD143" t="str" cm="1">
        <f t="array" ref="CD143">IF(NOT(AND($BN$24&lt;&gt;"",($BM$24+16)&lt;=$BO$24)),"",IF(T143&lt;&gt;"",IF(T143="-","",T143),IF(ISNUMBER(SEARCH(":",$BP$24)),IFERROR(_xlfn.LET(_xlpm.s,_xlfn.TEXTSPLIT($BP$24,","),_xlpm.k,FIND(":",_xlpm.s),INDEX(TRIM(LEFT(_xlpm.s,_xlpm.k-1)),_xlfn.XMATCH(($BM$24+16),_xlfn.SCAN(0,--MID(_xlpm.s,_xlpm.k+1,9),_xlfn.LAMBDA(_xlpm.a,_xlpm.v,_xlpm.a+_xlpm.v)),1))),""),IF(($BM$24+16)&lt;=$BQ$24,$BP$24,""))))</f>
        <v/>
      </c>
    </row>
    <row r="144" spans="2:82" x14ac:dyDescent="0.45">
      <c r="B144" s="6"/>
      <c r="C144" s="9" t="str">
        <f>IF(CA144="","",CA144&amp;"-"&amp;TEXT(COUNTIF($CA$72:$CA$95,CA144)+COUNTIF($CB$72:$CB$95,CA144)+COUNTIF($CC$72:$CC$95,CA144)+COUNTIF($CD$72:$CD$95,CA144)+COUNTIF($CA$100:$CA$123,CA144)+COUNTIF($CB$100:$CB$123,CA144)+COUNTIF($CC$100:$CC$123,CA144)+COUNTIF($CD$100:$CD$123,CA144)+COUNTIF($CA$128:CA144,CA144),"000"))</f>
        <v/>
      </c>
      <c r="D144" s="9" t="str">
        <f>IF(AND($BN$21&lt;&gt;"",($BM$21+17)&lt;=$BO$21),$BN$21,"")</f>
        <v/>
      </c>
      <c r="E144" s="9" t="str">
        <f>IF(AND($BN$21&lt;&gt;"",($BM$21+17)&lt;=$BO$21),TEXT(($BM$21+17),"00"),"")</f>
        <v/>
      </c>
      <c r="F144" s="9" t="str">
        <f>IF(AND($BN$21&lt;&gt;"",($BM$21+17)&lt;=$BO$21),$BN$21&amp;"-"&amp;TEXT(($BM$21+17),"00"),"")</f>
        <v/>
      </c>
      <c r="H144" s="6"/>
      <c r="I144" s="9" t="str">
        <f>IF(CB144="","",CB144&amp;"-"&amp;TEXT(COUNTIF($CA$72:$CA$95,CB144)+COUNTIF($CB$72:$CB$95,CB144)+COUNTIF($CC$72:$CC$95,CB144)+COUNTIF($CD$72:$CD$95,CB144)+COUNTIF($CA$100:$CA$123,CB144)+COUNTIF($CB$100:$CB$123,CB144)+COUNTIF($CC$100:$CC$123,CB144)+COUNTIF($CD$100:$CD$123,CB144)+COUNTIF($CA$128:$CA$151,CB144)+COUNTIF($CB$128:CB144,CB144),"000"))</f>
        <v/>
      </c>
      <c r="J144" s="9" t="str">
        <f>IF(AND($BN$22&lt;&gt;"",($BM$22+17)&lt;=$BO$22),$BN$22,"")</f>
        <v/>
      </c>
      <c r="K144" s="9" t="str">
        <f>IF(AND($BN$22&lt;&gt;"",($BM$22+17)&lt;=$BO$22),TEXT(($BM$22+17),"00"),"")</f>
        <v/>
      </c>
      <c r="L144" s="9" t="str">
        <f>IF(AND($BN$22&lt;&gt;"",($BM$22+17)&lt;=$BO$22),$BN$22&amp;"-"&amp;TEXT(($BM$22+17),"00"),"")</f>
        <v/>
      </c>
      <c r="N144" s="6"/>
      <c r="O144" s="9" t="str">
        <f>IF(CC144="","",CC144&amp;"-"&amp;TEXT(COUNTIF($CA$72:$CA$95,CC144)+COUNTIF($CB$72:$CB$95,CC144)+COUNTIF($CC$72:$CC$95,CC144)+COUNTIF($CD$72:$CD$95,CC144)+COUNTIF($CA$100:$CA$123,CC144)+COUNTIF($CB$100:$CB$123,CC144)+COUNTIF($CC$100:$CC$123,CC144)+COUNTIF($CD$100:$CD$123,CC144)+COUNTIF($CA$128:$CA$151,CC144)+COUNTIF($CB$128:$CB$151,CC144)+COUNTIF($CC$128:CC144,CC144),"000"))</f>
        <v/>
      </c>
      <c r="P144" s="9" t="str">
        <f>IF(AND($BN$23&lt;&gt;"",($BM$23+17)&lt;=$BO$23),$BN$23,"")</f>
        <v/>
      </c>
      <c r="Q144" s="9" t="str">
        <f>IF(AND($BN$23&lt;&gt;"",($BM$23+17)&lt;=$BO$23),TEXT(($BM$23+17),"00"),"")</f>
        <v/>
      </c>
      <c r="R144" s="9" t="str">
        <f>IF(AND($BN$23&lt;&gt;"",($BM$23+17)&lt;=$BO$23),$BN$23&amp;"-"&amp;TEXT(($BM$23+17),"00"),"")</f>
        <v/>
      </c>
      <c r="T144" s="6"/>
      <c r="U144" s="9" t="str">
        <f>IF(CD144="","",CD144&amp;"-"&amp;TEXT(COUNTIF($CA$72:$CA$95,CD144)+COUNTIF($CB$72:$CB$95,CD144)+COUNTIF($CC$72:$CC$95,CD144)+COUNTIF($CD$72:$CD$95,CD144)+COUNTIF($CA$100:$CA$123,CD144)+COUNTIF($CB$100:$CB$123,CD144)+COUNTIF($CC$100:$CC$123,CD144)+COUNTIF($CD$100:$CD$123,CD144)+COUNTIF($CA$128:$CA$151,CD144)+COUNTIF($CB$128:$CB$151,CD144)+COUNTIF($CC$128:$CC$151,CD144)+COUNTIF($CD$128:CD144,CD144),"000"))</f>
        <v/>
      </c>
      <c r="V144" s="9" t="str">
        <f>IF(AND($BN$24&lt;&gt;"",($BM$24+17)&lt;=$BO$24),$BN$24,"")</f>
        <v/>
      </c>
      <c r="W144" s="9" t="str">
        <f>IF(AND($BN$24&lt;&gt;"",($BM$24+17)&lt;=$BO$24),TEXT(($BM$24+17),"00"),"")</f>
        <v/>
      </c>
      <c r="X144" s="9" t="str">
        <f>IF(AND($BN$24&lt;&gt;"",($BM$24+17)&lt;=$BO$24),$BN$24&amp;"-"&amp;TEXT(($BM$24+17),"00"),"")</f>
        <v/>
      </c>
      <c r="CA144" t="str" cm="1">
        <f t="array" ref="CA144">IF(NOT(AND($BN$21&lt;&gt;"",($BM$21+17)&lt;=$BO$21)),"",IF(B144&lt;&gt;"",IF(B144="-","",B144),IF(ISNUMBER(SEARCH(":",$BP$21)),IFERROR(_xlfn.LET(_xlpm.s,_xlfn.TEXTSPLIT($BP$21,","),_xlpm.k,FIND(":",_xlpm.s),INDEX(TRIM(LEFT(_xlpm.s,_xlpm.k-1)),_xlfn.XMATCH(($BM$21+17),_xlfn.SCAN(0,--MID(_xlpm.s,_xlpm.k+1,9),_xlfn.LAMBDA(_xlpm.a,_xlpm.v,_xlpm.a+_xlpm.v)),1))),""),IF(($BM$21+17)&lt;=$BQ$21,$BP$21,""))))</f>
        <v/>
      </c>
      <c r="CB144" t="str" cm="1">
        <f t="array" ref="CB144">IF(NOT(AND($BN$22&lt;&gt;"",($BM$22+17)&lt;=$BO$22)),"",IF(H144&lt;&gt;"",IF(H144="-","",H144),IF(ISNUMBER(SEARCH(":",$BP$22)),IFERROR(_xlfn.LET(_xlpm.s,_xlfn.TEXTSPLIT($BP$22,","),_xlpm.k,FIND(":",_xlpm.s),INDEX(TRIM(LEFT(_xlpm.s,_xlpm.k-1)),_xlfn.XMATCH(($BM$22+17),_xlfn.SCAN(0,--MID(_xlpm.s,_xlpm.k+1,9),_xlfn.LAMBDA(_xlpm.a,_xlpm.v,_xlpm.a+_xlpm.v)),1))),""),IF(($BM$22+17)&lt;=$BQ$22,$BP$22,""))))</f>
        <v/>
      </c>
      <c r="CC144" t="str" cm="1">
        <f t="array" ref="CC144">IF(NOT(AND($BN$23&lt;&gt;"",($BM$23+17)&lt;=$BO$23)),"",IF(N144&lt;&gt;"",IF(N144="-","",N144),IF(ISNUMBER(SEARCH(":",$BP$23)),IFERROR(_xlfn.LET(_xlpm.s,_xlfn.TEXTSPLIT($BP$23,","),_xlpm.k,FIND(":",_xlpm.s),INDEX(TRIM(LEFT(_xlpm.s,_xlpm.k-1)),_xlfn.XMATCH(($BM$23+17),_xlfn.SCAN(0,--MID(_xlpm.s,_xlpm.k+1,9),_xlfn.LAMBDA(_xlpm.a,_xlpm.v,_xlpm.a+_xlpm.v)),1))),""),IF(($BM$23+17)&lt;=$BQ$23,$BP$23,""))))</f>
        <v/>
      </c>
      <c r="CD144" t="str" cm="1">
        <f t="array" ref="CD144">IF(NOT(AND($BN$24&lt;&gt;"",($BM$24+17)&lt;=$BO$24)),"",IF(T144&lt;&gt;"",IF(T144="-","",T144),IF(ISNUMBER(SEARCH(":",$BP$24)),IFERROR(_xlfn.LET(_xlpm.s,_xlfn.TEXTSPLIT($BP$24,","),_xlpm.k,FIND(":",_xlpm.s),INDEX(TRIM(LEFT(_xlpm.s,_xlpm.k-1)),_xlfn.XMATCH(($BM$24+17),_xlfn.SCAN(0,--MID(_xlpm.s,_xlpm.k+1,9),_xlfn.LAMBDA(_xlpm.a,_xlpm.v,_xlpm.a+_xlpm.v)),1))),""),IF(($BM$24+17)&lt;=$BQ$24,$BP$24,""))))</f>
        <v/>
      </c>
    </row>
    <row r="145" spans="2:82" x14ac:dyDescent="0.45">
      <c r="B145" s="6"/>
      <c r="C145" s="9" t="str">
        <f>IF(CA145="","",CA145&amp;"-"&amp;TEXT(COUNTIF($CA$72:$CA$95,CA145)+COUNTIF($CB$72:$CB$95,CA145)+COUNTIF($CC$72:$CC$95,CA145)+COUNTIF($CD$72:$CD$95,CA145)+COUNTIF($CA$100:$CA$123,CA145)+COUNTIF($CB$100:$CB$123,CA145)+COUNTIF($CC$100:$CC$123,CA145)+COUNTIF($CD$100:$CD$123,CA145)+COUNTIF($CA$128:CA145,CA145),"000"))</f>
        <v/>
      </c>
      <c r="D145" s="9" t="str">
        <f>IF(AND($BN$21&lt;&gt;"",($BM$21+18)&lt;=$BO$21),$BN$21,"")</f>
        <v/>
      </c>
      <c r="E145" s="9" t="str">
        <f>IF(AND($BN$21&lt;&gt;"",($BM$21+18)&lt;=$BO$21),TEXT(($BM$21+18),"00"),"")</f>
        <v/>
      </c>
      <c r="F145" s="9" t="str">
        <f>IF(AND($BN$21&lt;&gt;"",($BM$21+18)&lt;=$BO$21),$BN$21&amp;"-"&amp;TEXT(($BM$21+18),"00"),"")</f>
        <v/>
      </c>
      <c r="H145" s="6"/>
      <c r="I145" s="9" t="str">
        <f>IF(CB145="","",CB145&amp;"-"&amp;TEXT(COUNTIF($CA$72:$CA$95,CB145)+COUNTIF($CB$72:$CB$95,CB145)+COUNTIF($CC$72:$CC$95,CB145)+COUNTIF($CD$72:$CD$95,CB145)+COUNTIF($CA$100:$CA$123,CB145)+COUNTIF($CB$100:$CB$123,CB145)+COUNTIF($CC$100:$CC$123,CB145)+COUNTIF($CD$100:$CD$123,CB145)+COUNTIF($CA$128:$CA$151,CB145)+COUNTIF($CB$128:CB145,CB145),"000"))</f>
        <v/>
      </c>
      <c r="J145" s="9" t="str">
        <f>IF(AND($BN$22&lt;&gt;"",($BM$22+18)&lt;=$BO$22),$BN$22,"")</f>
        <v/>
      </c>
      <c r="K145" s="9" t="str">
        <f>IF(AND($BN$22&lt;&gt;"",($BM$22+18)&lt;=$BO$22),TEXT(($BM$22+18),"00"),"")</f>
        <v/>
      </c>
      <c r="L145" s="9" t="str">
        <f>IF(AND($BN$22&lt;&gt;"",($BM$22+18)&lt;=$BO$22),$BN$22&amp;"-"&amp;TEXT(($BM$22+18),"00"),"")</f>
        <v/>
      </c>
      <c r="N145" s="6"/>
      <c r="O145" s="9" t="str">
        <f>IF(CC145="","",CC145&amp;"-"&amp;TEXT(COUNTIF($CA$72:$CA$95,CC145)+COUNTIF($CB$72:$CB$95,CC145)+COUNTIF($CC$72:$CC$95,CC145)+COUNTIF($CD$72:$CD$95,CC145)+COUNTIF($CA$100:$CA$123,CC145)+COUNTIF($CB$100:$CB$123,CC145)+COUNTIF($CC$100:$CC$123,CC145)+COUNTIF($CD$100:$CD$123,CC145)+COUNTIF($CA$128:$CA$151,CC145)+COUNTIF($CB$128:$CB$151,CC145)+COUNTIF($CC$128:CC145,CC145),"000"))</f>
        <v/>
      </c>
      <c r="P145" s="9" t="str">
        <f>IF(AND($BN$23&lt;&gt;"",($BM$23+18)&lt;=$BO$23),$BN$23,"")</f>
        <v/>
      </c>
      <c r="Q145" s="9" t="str">
        <f>IF(AND($BN$23&lt;&gt;"",($BM$23+18)&lt;=$BO$23),TEXT(($BM$23+18),"00"),"")</f>
        <v/>
      </c>
      <c r="R145" s="9" t="str">
        <f>IF(AND($BN$23&lt;&gt;"",($BM$23+18)&lt;=$BO$23),$BN$23&amp;"-"&amp;TEXT(($BM$23+18),"00"),"")</f>
        <v/>
      </c>
      <c r="T145" s="6"/>
      <c r="U145" s="9" t="str">
        <f>IF(CD145="","",CD145&amp;"-"&amp;TEXT(COUNTIF($CA$72:$CA$95,CD145)+COUNTIF($CB$72:$CB$95,CD145)+COUNTIF($CC$72:$CC$95,CD145)+COUNTIF($CD$72:$CD$95,CD145)+COUNTIF($CA$100:$CA$123,CD145)+COUNTIF($CB$100:$CB$123,CD145)+COUNTIF($CC$100:$CC$123,CD145)+COUNTIF($CD$100:$CD$123,CD145)+COUNTIF($CA$128:$CA$151,CD145)+COUNTIF($CB$128:$CB$151,CD145)+COUNTIF($CC$128:$CC$151,CD145)+COUNTIF($CD$128:CD145,CD145),"000"))</f>
        <v/>
      </c>
      <c r="V145" s="9" t="str">
        <f>IF(AND($BN$24&lt;&gt;"",($BM$24+18)&lt;=$BO$24),$BN$24,"")</f>
        <v/>
      </c>
      <c r="W145" s="9" t="str">
        <f>IF(AND($BN$24&lt;&gt;"",($BM$24+18)&lt;=$BO$24),TEXT(($BM$24+18),"00"),"")</f>
        <v/>
      </c>
      <c r="X145" s="9" t="str">
        <f>IF(AND($BN$24&lt;&gt;"",($BM$24+18)&lt;=$BO$24),$BN$24&amp;"-"&amp;TEXT(($BM$24+18),"00"),"")</f>
        <v/>
      </c>
      <c r="CA145" t="str" cm="1">
        <f t="array" ref="CA145">IF(NOT(AND($BN$21&lt;&gt;"",($BM$21+18)&lt;=$BO$21)),"",IF(B145&lt;&gt;"",IF(B145="-","",B145),IF(ISNUMBER(SEARCH(":",$BP$21)),IFERROR(_xlfn.LET(_xlpm.s,_xlfn.TEXTSPLIT($BP$21,","),_xlpm.k,FIND(":",_xlpm.s),INDEX(TRIM(LEFT(_xlpm.s,_xlpm.k-1)),_xlfn.XMATCH(($BM$21+18),_xlfn.SCAN(0,--MID(_xlpm.s,_xlpm.k+1,9),_xlfn.LAMBDA(_xlpm.a,_xlpm.v,_xlpm.a+_xlpm.v)),1))),""),IF(($BM$21+18)&lt;=$BQ$21,$BP$21,""))))</f>
        <v/>
      </c>
      <c r="CB145" t="str" cm="1">
        <f t="array" ref="CB145">IF(NOT(AND($BN$22&lt;&gt;"",($BM$22+18)&lt;=$BO$22)),"",IF(H145&lt;&gt;"",IF(H145="-","",H145),IF(ISNUMBER(SEARCH(":",$BP$22)),IFERROR(_xlfn.LET(_xlpm.s,_xlfn.TEXTSPLIT($BP$22,","),_xlpm.k,FIND(":",_xlpm.s),INDEX(TRIM(LEFT(_xlpm.s,_xlpm.k-1)),_xlfn.XMATCH(($BM$22+18),_xlfn.SCAN(0,--MID(_xlpm.s,_xlpm.k+1,9),_xlfn.LAMBDA(_xlpm.a,_xlpm.v,_xlpm.a+_xlpm.v)),1))),""),IF(($BM$22+18)&lt;=$BQ$22,$BP$22,""))))</f>
        <v/>
      </c>
      <c r="CC145" t="str" cm="1">
        <f t="array" ref="CC145">IF(NOT(AND($BN$23&lt;&gt;"",($BM$23+18)&lt;=$BO$23)),"",IF(N145&lt;&gt;"",IF(N145="-","",N145),IF(ISNUMBER(SEARCH(":",$BP$23)),IFERROR(_xlfn.LET(_xlpm.s,_xlfn.TEXTSPLIT($BP$23,","),_xlpm.k,FIND(":",_xlpm.s),INDEX(TRIM(LEFT(_xlpm.s,_xlpm.k-1)),_xlfn.XMATCH(($BM$23+18),_xlfn.SCAN(0,--MID(_xlpm.s,_xlpm.k+1,9),_xlfn.LAMBDA(_xlpm.a,_xlpm.v,_xlpm.a+_xlpm.v)),1))),""),IF(($BM$23+18)&lt;=$BQ$23,$BP$23,""))))</f>
        <v/>
      </c>
      <c r="CD145" t="str" cm="1">
        <f t="array" ref="CD145">IF(NOT(AND($BN$24&lt;&gt;"",($BM$24+18)&lt;=$BO$24)),"",IF(T145&lt;&gt;"",IF(T145="-","",T145),IF(ISNUMBER(SEARCH(":",$BP$24)),IFERROR(_xlfn.LET(_xlpm.s,_xlfn.TEXTSPLIT($BP$24,","),_xlpm.k,FIND(":",_xlpm.s),INDEX(TRIM(LEFT(_xlpm.s,_xlpm.k-1)),_xlfn.XMATCH(($BM$24+18),_xlfn.SCAN(0,--MID(_xlpm.s,_xlpm.k+1,9),_xlfn.LAMBDA(_xlpm.a,_xlpm.v,_xlpm.a+_xlpm.v)),1))),""),IF(($BM$24+18)&lt;=$BQ$24,$BP$24,""))))</f>
        <v/>
      </c>
    </row>
    <row r="146" spans="2:82" x14ac:dyDescent="0.45">
      <c r="B146" s="6"/>
      <c r="C146" s="9" t="str">
        <f>IF(CA146="","",CA146&amp;"-"&amp;TEXT(COUNTIF($CA$72:$CA$95,CA146)+COUNTIF($CB$72:$CB$95,CA146)+COUNTIF($CC$72:$CC$95,CA146)+COUNTIF($CD$72:$CD$95,CA146)+COUNTIF($CA$100:$CA$123,CA146)+COUNTIF($CB$100:$CB$123,CA146)+COUNTIF($CC$100:$CC$123,CA146)+COUNTIF($CD$100:$CD$123,CA146)+COUNTIF($CA$128:CA146,CA146),"000"))</f>
        <v/>
      </c>
      <c r="D146" s="9" t="str">
        <f>IF(AND($BN$21&lt;&gt;"",($BM$21+19)&lt;=$BO$21),$BN$21,"")</f>
        <v/>
      </c>
      <c r="E146" s="9" t="str">
        <f>IF(AND($BN$21&lt;&gt;"",($BM$21+19)&lt;=$BO$21),TEXT(($BM$21+19),"00"),"")</f>
        <v/>
      </c>
      <c r="F146" s="9" t="str">
        <f>IF(AND($BN$21&lt;&gt;"",($BM$21+19)&lt;=$BO$21),$BN$21&amp;"-"&amp;TEXT(($BM$21+19),"00"),"")</f>
        <v/>
      </c>
      <c r="H146" s="6"/>
      <c r="I146" s="9" t="str">
        <f>IF(CB146="","",CB146&amp;"-"&amp;TEXT(COUNTIF($CA$72:$CA$95,CB146)+COUNTIF($CB$72:$CB$95,CB146)+COUNTIF($CC$72:$CC$95,CB146)+COUNTIF($CD$72:$CD$95,CB146)+COUNTIF($CA$100:$CA$123,CB146)+COUNTIF($CB$100:$CB$123,CB146)+COUNTIF($CC$100:$CC$123,CB146)+COUNTIF($CD$100:$CD$123,CB146)+COUNTIF($CA$128:$CA$151,CB146)+COUNTIF($CB$128:CB146,CB146),"000"))</f>
        <v/>
      </c>
      <c r="J146" s="9" t="str">
        <f>IF(AND($BN$22&lt;&gt;"",($BM$22+19)&lt;=$BO$22),$BN$22,"")</f>
        <v/>
      </c>
      <c r="K146" s="9" t="str">
        <f>IF(AND($BN$22&lt;&gt;"",($BM$22+19)&lt;=$BO$22),TEXT(($BM$22+19),"00"),"")</f>
        <v/>
      </c>
      <c r="L146" s="9" t="str">
        <f>IF(AND($BN$22&lt;&gt;"",($BM$22+19)&lt;=$BO$22),$BN$22&amp;"-"&amp;TEXT(($BM$22+19),"00"),"")</f>
        <v/>
      </c>
      <c r="N146" s="6"/>
      <c r="O146" s="9" t="str">
        <f>IF(CC146="","",CC146&amp;"-"&amp;TEXT(COUNTIF($CA$72:$CA$95,CC146)+COUNTIF($CB$72:$CB$95,CC146)+COUNTIF($CC$72:$CC$95,CC146)+COUNTIF($CD$72:$CD$95,CC146)+COUNTIF($CA$100:$CA$123,CC146)+COUNTIF($CB$100:$CB$123,CC146)+COUNTIF($CC$100:$CC$123,CC146)+COUNTIF($CD$100:$CD$123,CC146)+COUNTIF($CA$128:$CA$151,CC146)+COUNTIF($CB$128:$CB$151,CC146)+COUNTIF($CC$128:CC146,CC146),"000"))</f>
        <v/>
      </c>
      <c r="P146" s="9" t="str">
        <f>IF(AND($BN$23&lt;&gt;"",($BM$23+19)&lt;=$BO$23),$BN$23,"")</f>
        <v/>
      </c>
      <c r="Q146" s="9" t="str">
        <f>IF(AND($BN$23&lt;&gt;"",($BM$23+19)&lt;=$BO$23),TEXT(($BM$23+19),"00"),"")</f>
        <v/>
      </c>
      <c r="R146" s="9" t="str">
        <f>IF(AND($BN$23&lt;&gt;"",($BM$23+19)&lt;=$BO$23),$BN$23&amp;"-"&amp;TEXT(($BM$23+19),"00"),"")</f>
        <v/>
      </c>
      <c r="T146" s="6"/>
      <c r="U146" s="9" t="str">
        <f>IF(CD146="","",CD146&amp;"-"&amp;TEXT(COUNTIF($CA$72:$CA$95,CD146)+COUNTIF($CB$72:$CB$95,CD146)+COUNTIF($CC$72:$CC$95,CD146)+COUNTIF($CD$72:$CD$95,CD146)+COUNTIF($CA$100:$CA$123,CD146)+COUNTIF($CB$100:$CB$123,CD146)+COUNTIF($CC$100:$CC$123,CD146)+COUNTIF($CD$100:$CD$123,CD146)+COUNTIF($CA$128:$CA$151,CD146)+COUNTIF($CB$128:$CB$151,CD146)+COUNTIF($CC$128:$CC$151,CD146)+COUNTIF($CD$128:CD146,CD146),"000"))</f>
        <v/>
      </c>
      <c r="V146" s="9" t="str">
        <f>IF(AND($BN$24&lt;&gt;"",($BM$24+19)&lt;=$BO$24),$BN$24,"")</f>
        <v/>
      </c>
      <c r="W146" s="9" t="str">
        <f>IF(AND($BN$24&lt;&gt;"",($BM$24+19)&lt;=$BO$24),TEXT(($BM$24+19),"00"),"")</f>
        <v/>
      </c>
      <c r="X146" s="9" t="str">
        <f>IF(AND($BN$24&lt;&gt;"",($BM$24+19)&lt;=$BO$24),$BN$24&amp;"-"&amp;TEXT(($BM$24+19),"00"),"")</f>
        <v/>
      </c>
      <c r="CA146" t="str" cm="1">
        <f t="array" ref="CA146">IF(NOT(AND($BN$21&lt;&gt;"",($BM$21+19)&lt;=$BO$21)),"",IF(B146&lt;&gt;"",IF(B146="-","",B146),IF(ISNUMBER(SEARCH(":",$BP$21)),IFERROR(_xlfn.LET(_xlpm.s,_xlfn.TEXTSPLIT($BP$21,","),_xlpm.k,FIND(":",_xlpm.s),INDEX(TRIM(LEFT(_xlpm.s,_xlpm.k-1)),_xlfn.XMATCH(($BM$21+19),_xlfn.SCAN(0,--MID(_xlpm.s,_xlpm.k+1,9),_xlfn.LAMBDA(_xlpm.a,_xlpm.v,_xlpm.a+_xlpm.v)),1))),""),IF(($BM$21+19)&lt;=$BQ$21,$BP$21,""))))</f>
        <v/>
      </c>
      <c r="CB146" t="str" cm="1">
        <f t="array" ref="CB146">IF(NOT(AND($BN$22&lt;&gt;"",($BM$22+19)&lt;=$BO$22)),"",IF(H146&lt;&gt;"",IF(H146="-","",H146),IF(ISNUMBER(SEARCH(":",$BP$22)),IFERROR(_xlfn.LET(_xlpm.s,_xlfn.TEXTSPLIT($BP$22,","),_xlpm.k,FIND(":",_xlpm.s),INDEX(TRIM(LEFT(_xlpm.s,_xlpm.k-1)),_xlfn.XMATCH(($BM$22+19),_xlfn.SCAN(0,--MID(_xlpm.s,_xlpm.k+1,9),_xlfn.LAMBDA(_xlpm.a,_xlpm.v,_xlpm.a+_xlpm.v)),1))),""),IF(($BM$22+19)&lt;=$BQ$22,$BP$22,""))))</f>
        <v/>
      </c>
      <c r="CC146" t="str" cm="1">
        <f t="array" ref="CC146">IF(NOT(AND($BN$23&lt;&gt;"",($BM$23+19)&lt;=$BO$23)),"",IF(N146&lt;&gt;"",IF(N146="-","",N146),IF(ISNUMBER(SEARCH(":",$BP$23)),IFERROR(_xlfn.LET(_xlpm.s,_xlfn.TEXTSPLIT($BP$23,","),_xlpm.k,FIND(":",_xlpm.s),INDEX(TRIM(LEFT(_xlpm.s,_xlpm.k-1)),_xlfn.XMATCH(($BM$23+19),_xlfn.SCAN(0,--MID(_xlpm.s,_xlpm.k+1,9),_xlfn.LAMBDA(_xlpm.a,_xlpm.v,_xlpm.a+_xlpm.v)),1))),""),IF(($BM$23+19)&lt;=$BQ$23,$BP$23,""))))</f>
        <v/>
      </c>
      <c r="CD146" t="str" cm="1">
        <f t="array" ref="CD146">IF(NOT(AND($BN$24&lt;&gt;"",($BM$24+19)&lt;=$BO$24)),"",IF(T146&lt;&gt;"",IF(T146="-","",T146),IF(ISNUMBER(SEARCH(":",$BP$24)),IFERROR(_xlfn.LET(_xlpm.s,_xlfn.TEXTSPLIT($BP$24,","),_xlpm.k,FIND(":",_xlpm.s),INDEX(TRIM(LEFT(_xlpm.s,_xlpm.k-1)),_xlfn.XMATCH(($BM$24+19),_xlfn.SCAN(0,--MID(_xlpm.s,_xlpm.k+1,9),_xlfn.LAMBDA(_xlpm.a,_xlpm.v,_xlpm.a+_xlpm.v)),1))),""),IF(($BM$24+19)&lt;=$BQ$24,$BP$24,""))))</f>
        <v/>
      </c>
    </row>
    <row r="147" spans="2:82" x14ac:dyDescent="0.45">
      <c r="B147" s="6"/>
      <c r="C147" s="9" t="str">
        <f>IF(CA147="","",CA147&amp;"-"&amp;TEXT(COUNTIF($CA$72:$CA$95,CA147)+COUNTIF($CB$72:$CB$95,CA147)+COUNTIF($CC$72:$CC$95,CA147)+COUNTIF($CD$72:$CD$95,CA147)+COUNTIF($CA$100:$CA$123,CA147)+COUNTIF($CB$100:$CB$123,CA147)+COUNTIF($CC$100:$CC$123,CA147)+COUNTIF($CD$100:$CD$123,CA147)+COUNTIF($CA$128:CA147,CA147),"000"))</f>
        <v/>
      </c>
      <c r="D147" s="9" t="str">
        <f>IF(AND($BN$21&lt;&gt;"",($BM$21+20)&lt;=$BO$21),$BN$21,"")</f>
        <v/>
      </c>
      <c r="E147" s="9" t="str">
        <f>IF(AND($BN$21&lt;&gt;"",($BM$21+20)&lt;=$BO$21),TEXT(($BM$21+20),"00"),"")</f>
        <v/>
      </c>
      <c r="F147" s="9" t="str">
        <f>IF(AND($BN$21&lt;&gt;"",($BM$21+20)&lt;=$BO$21),$BN$21&amp;"-"&amp;TEXT(($BM$21+20),"00"),"")</f>
        <v/>
      </c>
      <c r="H147" s="6"/>
      <c r="I147" s="9" t="str">
        <f>IF(CB147="","",CB147&amp;"-"&amp;TEXT(COUNTIF($CA$72:$CA$95,CB147)+COUNTIF($CB$72:$CB$95,CB147)+COUNTIF($CC$72:$CC$95,CB147)+COUNTIF($CD$72:$CD$95,CB147)+COUNTIF($CA$100:$CA$123,CB147)+COUNTIF($CB$100:$CB$123,CB147)+COUNTIF($CC$100:$CC$123,CB147)+COUNTIF($CD$100:$CD$123,CB147)+COUNTIF($CA$128:$CA$151,CB147)+COUNTIF($CB$128:CB147,CB147),"000"))</f>
        <v/>
      </c>
      <c r="J147" s="9" t="str">
        <f>IF(AND($BN$22&lt;&gt;"",($BM$22+20)&lt;=$BO$22),$BN$22,"")</f>
        <v/>
      </c>
      <c r="K147" s="9" t="str">
        <f>IF(AND($BN$22&lt;&gt;"",($BM$22+20)&lt;=$BO$22),TEXT(($BM$22+20),"00"),"")</f>
        <v/>
      </c>
      <c r="L147" s="9" t="str">
        <f>IF(AND($BN$22&lt;&gt;"",($BM$22+20)&lt;=$BO$22),$BN$22&amp;"-"&amp;TEXT(($BM$22+20),"00"),"")</f>
        <v/>
      </c>
      <c r="N147" s="6"/>
      <c r="O147" s="9" t="str">
        <f>IF(CC147="","",CC147&amp;"-"&amp;TEXT(COUNTIF($CA$72:$CA$95,CC147)+COUNTIF($CB$72:$CB$95,CC147)+COUNTIF($CC$72:$CC$95,CC147)+COUNTIF($CD$72:$CD$95,CC147)+COUNTIF($CA$100:$CA$123,CC147)+COUNTIF($CB$100:$CB$123,CC147)+COUNTIF($CC$100:$CC$123,CC147)+COUNTIF($CD$100:$CD$123,CC147)+COUNTIF($CA$128:$CA$151,CC147)+COUNTIF($CB$128:$CB$151,CC147)+COUNTIF($CC$128:CC147,CC147),"000"))</f>
        <v/>
      </c>
      <c r="P147" s="9" t="str">
        <f>IF(AND($BN$23&lt;&gt;"",($BM$23+20)&lt;=$BO$23),$BN$23,"")</f>
        <v/>
      </c>
      <c r="Q147" s="9" t="str">
        <f>IF(AND($BN$23&lt;&gt;"",($BM$23+20)&lt;=$BO$23),TEXT(($BM$23+20),"00"),"")</f>
        <v/>
      </c>
      <c r="R147" s="9" t="str">
        <f>IF(AND($BN$23&lt;&gt;"",($BM$23+20)&lt;=$BO$23),$BN$23&amp;"-"&amp;TEXT(($BM$23+20),"00"),"")</f>
        <v/>
      </c>
      <c r="T147" s="6"/>
      <c r="U147" s="9" t="str">
        <f>IF(CD147="","",CD147&amp;"-"&amp;TEXT(COUNTIF($CA$72:$CA$95,CD147)+COUNTIF($CB$72:$CB$95,CD147)+COUNTIF($CC$72:$CC$95,CD147)+COUNTIF($CD$72:$CD$95,CD147)+COUNTIF($CA$100:$CA$123,CD147)+COUNTIF($CB$100:$CB$123,CD147)+COUNTIF($CC$100:$CC$123,CD147)+COUNTIF($CD$100:$CD$123,CD147)+COUNTIF($CA$128:$CA$151,CD147)+COUNTIF($CB$128:$CB$151,CD147)+COUNTIF($CC$128:$CC$151,CD147)+COUNTIF($CD$128:CD147,CD147),"000"))</f>
        <v/>
      </c>
      <c r="V147" s="9" t="str">
        <f>IF(AND($BN$24&lt;&gt;"",($BM$24+20)&lt;=$BO$24),$BN$24,"")</f>
        <v/>
      </c>
      <c r="W147" s="9" t="str">
        <f>IF(AND($BN$24&lt;&gt;"",($BM$24+20)&lt;=$BO$24),TEXT(($BM$24+20),"00"),"")</f>
        <v/>
      </c>
      <c r="X147" s="9" t="str">
        <f>IF(AND($BN$24&lt;&gt;"",($BM$24+20)&lt;=$BO$24),$BN$24&amp;"-"&amp;TEXT(($BM$24+20),"00"),"")</f>
        <v/>
      </c>
      <c r="CA147" t="str" cm="1">
        <f t="array" ref="CA147">IF(NOT(AND($BN$21&lt;&gt;"",($BM$21+20)&lt;=$BO$21)),"",IF(B147&lt;&gt;"",IF(B147="-","",B147),IF(ISNUMBER(SEARCH(":",$BP$21)),IFERROR(_xlfn.LET(_xlpm.s,_xlfn.TEXTSPLIT($BP$21,","),_xlpm.k,FIND(":",_xlpm.s),INDEX(TRIM(LEFT(_xlpm.s,_xlpm.k-1)),_xlfn.XMATCH(($BM$21+20),_xlfn.SCAN(0,--MID(_xlpm.s,_xlpm.k+1,9),_xlfn.LAMBDA(_xlpm.a,_xlpm.v,_xlpm.a+_xlpm.v)),1))),""),IF(($BM$21+20)&lt;=$BQ$21,$BP$21,""))))</f>
        <v/>
      </c>
      <c r="CB147" t="str" cm="1">
        <f t="array" ref="CB147">IF(NOT(AND($BN$22&lt;&gt;"",($BM$22+20)&lt;=$BO$22)),"",IF(H147&lt;&gt;"",IF(H147="-","",H147),IF(ISNUMBER(SEARCH(":",$BP$22)),IFERROR(_xlfn.LET(_xlpm.s,_xlfn.TEXTSPLIT($BP$22,","),_xlpm.k,FIND(":",_xlpm.s),INDEX(TRIM(LEFT(_xlpm.s,_xlpm.k-1)),_xlfn.XMATCH(($BM$22+20),_xlfn.SCAN(0,--MID(_xlpm.s,_xlpm.k+1,9),_xlfn.LAMBDA(_xlpm.a,_xlpm.v,_xlpm.a+_xlpm.v)),1))),""),IF(($BM$22+20)&lt;=$BQ$22,$BP$22,""))))</f>
        <v/>
      </c>
      <c r="CC147" t="str" cm="1">
        <f t="array" ref="CC147">IF(NOT(AND($BN$23&lt;&gt;"",($BM$23+20)&lt;=$BO$23)),"",IF(N147&lt;&gt;"",IF(N147="-","",N147),IF(ISNUMBER(SEARCH(":",$BP$23)),IFERROR(_xlfn.LET(_xlpm.s,_xlfn.TEXTSPLIT($BP$23,","),_xlpm.k,FIND(":",_xlpm.s),INDEX(TRIM(LEFT(_xlpm.s,_xlpm.k-1)),_xlfn.XMATCH(($BM$23+20),_xlfn.SCAN(0,--MID(_xlpm.s,_xlpm.k+1,9),_xlfn.LAMBDA(_xlpm.a,_xlpm.v,_xlpm.a+_xlpm.v)),1))),""),IF(($BM$23+20)&lt;=$BQ$23,$BP$23,""))))</f>
        <v/>
      </c>
      <c r="CD147" t="str" cm="1">
        <f t="array" ref="CD147">IF(NOT(AND($BN$24&lt;&gt;"",($BM$24+20)&lt;=$BO$24)),"",IF(T147&lt;&gt;"",IF(T147="-","",T147),IF(ISNUMBER(SEARCH(":",$BP$24)),IFERROR(_xlfn.LET(_xlpm.s,_xlfn.TEXTSPLIT($BP$24,","),_xlpm.k,FIND(":",_xlpm.s),INDEX(TRIM(LEFT(_xlpm.s,_xlpm.k-1)),_xlfn.XMATCH(($BM$24+20),_xlfn.SCAN(0,--MID(_xlpm.s,_xlpm.k+1,9),_xlfn.LAMBDA(_xlpm.a,_xlpm.v,_xlpm.a+_xlpm.v)),1))),""),IF(($BM$24+20)&lt;=$BQ$24,$BP$24,""))))</f>
        <v/>
      </c>
    </row>
    <row r="148" spans="2:82" x14ac:dyDescent="0.45">
      <c r="B148" s="6"/>
      <c r="C148" s="9" t="str">
        <f>IF(CA148="","",CA148&amp;"-"&amp;TEXT(COUNTIF($CA$72:$CA$95,CA148)+COUNTIF($CB$72:$CB$95,CA148)+COUNTIF($CC$72:$CC$95,CA148)+COUNTIF($CD$72:$CD$95,CA148)+COUNTIF($CA$100:$CA$123,CA148)+COUNTIF($CB$100:$CB$123,CA148)+COUNTIF($CC$100:$CC$123,CA148)+COUNTIF($CD$100:$CD$123,CA148)+COUNTIF($CA$128:CA148,CA148),"000"))</f>
        <v/>
      </c>
      <c r="D148" s="9" t="str">
        <f>IF(AND($BN$21&lt;&gt;"",($BM$21+21)&lt;=$BO$21),$BN$21,"")</f>
        <v/>
      </c>
      <c r="E148" s="9" t="str">
        <f>IF(AND($BN$21&lt;&gt;"",($BM$21+21)&lt;=$BO$21),TEXT(($BM$21+21),"00"),"")</f>
        <v/>
      </c>
      <c r="F148" s="9" t="str">
        <f>IF(AND($BN$21&lt;&gt;"",($BM$21+21)&lt;=$BO$21),$BN$21&amp;"-"&amp;TEXT(($BM$21+21),"00"),"")</f>
        <v/>
      </c>
      <c r="H148" s="6"/>
      <c r="I148" s="9" t="str">
        <f>IF(CB148="","",CB148&amp;"-"&amp;TEXT(COUNTIF($CA$72:$CA$95,CB148)+COUNTIF($CB$72:$CB$95,CB148)+COUNTIF($CC$72:$CC$95,CB148)+COUNTIF($CD$72:$CD$95,CB148)+COUNTIF($CA$100:$CA$123,CB148)+COUNTIF($CB$100:$CB$123,CB148)+COUNTIF($CC$100:$CC$123,CB148)+COUNTIF($CD$100:$CD$123,CB148)+COUNTIF($CA$128:$CA$151,CB148)+COUNTIF($CB$128:CB148,CB148),"000"))</f>
        <v/>
      </c>
      <c r="J148" s="9" t="str">
        <f>IF(AND($BN$22&lt;&gt;"",($BM$22+21)&lt;=$BO$22),$BN$22,"")</f>
        <v/>
      </c>
      <c r="K148" s="9" t="str">
        <f>IF(AND($BN$22&lt;&gt;"",($BM$22+21)&lt;=$BO$22),TEXT(($BM$22+21),"00"),"")</f>
        <v/>
      </c>
      <c r="L148" s="9" t="str">
        <f>IF(AND($BN$22&lt;&gt;"",($BM$22+21)&lt;=$BO$22),$BN$22&amp;"-"&amp;TEXT(($BM$22+21),"00"),"")</f>
        <v/>
      </c>
      <c r="N148" s="6"/>
      <c r="O148" s="9" t="str">
        <f>IF(CC148="","",CC148&amp;"-"&amp;TEXT(COUNTIF($CA$72:$CA$95,CC148)+COUNTIF($CB$72:$CB$95,CC148)+COUNTIF($CC$72:$CC$95,CC148)+COUNTIF($CD$72:$CD$95,CC148)+COUNTIF($CA$100:$CA$123,CC148)+COUNTIF($CB$100:$CB$123,CC148)+COUNTIF($CC$100:$CC$123,CC148)+COUNTIF($CD$100:$CD$123,CC148)+COUNTIF($CA$128:$CA$151,CC148)+COUNTIF($CB$128:$CB$151,CC148)+COUNTIF($CC$128:CC148,CC148),"000"))</f>
        <v/>
      </c>
      <c r="P148" s="9" t="str">
        <f>IF(AND($BN$23&lt;&gt;"",($BM$23+21)&lt;=$BO$23),$BN$23,"")</f>
        <v/>
      </c>
      <c r="Q148" s="9" t="str">
        <f>IF(AND($BN$23&lt;&gt;"",($BM$23+21)&lt;=$BO$23),TEXT(($BM$23+21),"00"),"")</f>
        <v/>
      </c>
      <c r="R148" s="9" t="str">
        <f>IF(AND($BN$23&lt;&gt;"",($BM$23+21)&lt;=$BO$23),$BN$23&amp;"-"&amp;TEXT(($BM$23+21),"00"),"")</f>
        <v/>
      </c>
      <c r="T148" s="6"/>
      <c r="U148" s="9" t="str">
        <f>IF(CD148="","",CD148&amp;"-"&amp;TEXT(COUNTIF($CA$72:$CA$95,CD148)+COUNTIF($CB$72:$CB$95,CD148)+COUNTIF($CC$72:$CC$95,CD148)+COUNTIF($CD$72:$CD$95,CD148)+COUNTIF($CA$100:$CA$123,CD148)+COUNTIF($CB$100:$CB$123,CD148)+COUNTIF($CC$100:$CC$123,CD148)+COUNTIF($CD$100:$CD$123,CD148)+COUNTIF($CA$128:$CA$151,CD148)+COUNTIF($CB$128:$CB$151,CD148)+COUNTIF($CC$128:$CC$151,CD148)+COUNTIF($CD$128:CD148,CD148),"000"))</f>
        <v/>
      </c>
      <c r="V148" s="9" t="str">
        <f>IF(AND($BN$24&lt;&gt;"",($BM$24+21)&lt;=$BO$24),$BN$24,"")</f>
        <v/>
      </c>
      <c r="W148" s="9" t="str">
        <f>IF(AND($BN$24&lt;&gt;"",($BM$24+21)&lt;=$BO$24),TEXT(($BM$24+21),"00"),"")</f>
        <v/>
      </c>
      <c r="X148" s="9" t="str">
        <f>IF(AND($BN$24&lt;&gt;"",($BM$24+21)&lt;=$BO$24),$BN$24&amp;"-"&amp;TEXT(($BM$24+21),"00"),"")</f>
        <v/>
      </c>
      <c r="CA148" t="str" cm="1">
        <f t="array" ref="CA148">IF(NOT(AND($BN$21&lt;&gt;"",($BM$21+21)&lt;=$BO$21)),"",IF(B148&lt;&gt;"",IF(B148="-","",B148),IF(ISNUMBER(SEARCH(":",$BP$21)),IFERROR(_xlfn.LET(_xlpm.s,_xlfn.TEXTSPLIT($BP$21,","),_xlpm.k,FIND(":",_xlpm.s),INDEX(TRIM(LEFT(_xlpm.s,_xlpm.k-1)),_xlfn.XMATCH(($BM$21+21),_xlfn.SCAN(0,--MID(_xlpm.s,_xlpm.k+1,9),_xlfn.LAMBDA(_xlpm.a,_xlpm.v,_xlpm.a+_xlpm.v)),1))),""),IF(($BM$21+21)&lt;=$BQ$21,$BP$21,""))))</f>
        <v/>
      </c>
      <c r="CB148" t="str" cm="1">
        <f t="array" ref="CB148">IF(NOT(AND($BN$22&lt;&gt;"",($BM$22+21)&lt;=$BO$22)),"",IF(H148&lt;&gt;"",IF(H148="-","",H148),IF(ISNUMBER(SEARCH(":",$BP$22)),IFERROR(_xlfn.LET(_xlpm.s,_xlfn.TEXTSPLIT($BP$22,","),_xlpm.k,FIND(":",_xlpm.s),INDEX(TRIM(LEFT(_xlpm.s,_xlpm.k-1)),_xlfn.XMATCH(($BM$22+21),_xlfn.SCAN(0,--MID(_xlpm.s,_xlpm.k+1,9),_xlfn.LAMBDA(_xlpm.a,_xlpm.v,_xlpm.a+_xlpm.v)),1))),""),IF(($BM$22+21)&lt;=$BQ$22,$BP$22,""))))</f>
        <v/>
      </c>
      <c r="CC148" t="str" cm="1">
        <f t="array" ref="CC148">IF(NOT(AND($BN$23&lt;&gt;"",($BM$23+21)&lt;=$BO$23)),"",IF(N148&lt;&gt;"",IF(N148="-","",N148),IF(ISNUMBER(SEARCH(":",$BP$23)),IFERROR(_xlfn.LET(_xlpm.s,_xlfn.TEXTSPLIT($BP$23,","),_xlpm.k,FIND(":",_xlpm.s),INDEX(TRIM(LEFT(_xlpm.s,_xlpm.k-1)),_xlfn.XMATCH(($BM$23+21),_xlfn.SCAN(0,--MID(_xlpm.s,_xlpm.k+1,9),_xlfn.LAMBDA(_xlpm.a,_xlpm.v,_xlpm.a+_xlpm.v)),1))),""),IF(($BM$23+21)&lt;=$BQ$23,$BP$23,""))))</f>
        <v/>
      </c>
      <c r="CD148" t="str" cm="1">
        <f t="array" ref="CD148">IF(NOT(AND($BN$24&lt;&gt;"",($BM$24+21)&lt;=$BO$24)),"",IF(T148&lt;&gt;"",IF(T148="-","",T148),IF(ISNUMBER(SEARCH(":",$BP$24)),IFERROR(_xlfn.LET(_xlpm.s,_xlfn.TEXTSPLIT($BP$24,","),_xlpm.k,FIND(":",_xlpm.s),INDEX(TRIM(LEFT(_xlpm.s,_xlpm.k-1)),_xlfn.XMATCH(($BM$24+21),_xlfn.SCAN(0,--MID(_xlpm.s,_xlpm.k+1,9),_xlfn.LAMBDA(_xlpm.a,_xlpm.v,_xlpm.a+_xlpm.v)),1))),""),IF(($BM$24+21)&lt;=$BQ$24,$BP$24,""))))</f>
        <v/>
      </c>
    </row>
    <row r="149" spans="2:82" x14ac:dyDescent="0.45">
      <c r="B149" s="6"/>
      <c r="C149" s="9" t="str">
        <f>IF(CA149="","",CA149&amp;"-"&amp;TEXT(COUNTIF($CA$72:$CA$95,CA149)+COUNTIF($CB$72:$CB$95,CA149)+COUNTIF($CC$72:$CC$95,CA149)+COUNTIF($CD$72:$CD$95,CA149)+COUNTIF($CA$100:$CA$123,CA149)+COUNTIF($CB$100:$CB$123,CA149)+COUNTIF($CC$100:$CC$123,CA149)+COUNTIF($CD$100:$CD$123,CA149)+COUNTIF($CA$128:CA149,CA149),"000"))</f>
        <v/>
      </c>
      <c r="D149" s="9" t="str">
        <f>IF(AND($BN$21&lt;&gt;"",($BM$21+22)&lt;=$BO$21),$BN$21,"")</f>
        <v/>
      </c>
      <c r="E149" s="9" t="str">
        <f>IF(AND($BN$21&lt;&gt;"",($BM$21+22)&lt;=$BO$21),TEXT(($BM$21+22),"00"),"")</f>
        <v/>
      </c>
      <c r="F149" s="9" t="str">
        <f>IF(AND($BN$21&lt;&gt;"",($BM$21+22)&lt;=$BO$21),$BN$21&amp;"-"&amp;TEXT(($BM$21+22),"00"),"")</f>
        <v/>
      </c>
      <c r="H149" s="6"/>
      <c r="I149" s="9" t="str">
        <f>IF(CB149="","",CB149&amp;"-"&amp;TEXT(COUNTIF($CA$72:$CA$95,CB149)+COUNTIF($CB$72:$CB$95,CB149)+COUNTIF($CC$72:$CC$95,CB149)+COUNTIF($CD$72:$CD$95,CB149)+COUNTIF($CA$100:$CA$123,CB149)+COUNTIF($CB$100:$CB$123,CB149)+COUNTIF($CC$100:$CC$123,CB149)+COUNTIF($CD$100:$CD$123,CB149)+COUNTIF($CA$128:$CA$151,CB149)+COUNTIF($CB$128:CB149,CB149),"000"))</f>
        <v/>
      </c>
      <c r="J149" s="9" t="str">
        <f>IF(AND($BN$22&lt;&gt;"",($BM$22+22)&lt;=$BO$22),$BN$22,"")</f>
        <v/>
      </c>
      <c r="K149" s="9" t="str">
        <f>IF(AND($BN$22&lt;&gt;"",($BM$22+22)&lt;=$BO$22),TEXT(($BM$22+22),"00"),"")</f>
        <v/>
      </c>
      <c r="L149" s="9" t="str">
        <f>IF(AND($BN$22&lt;&gt;"",($BM$22+22)&lt;=$BO$22),$BN$22&amp;"-"&amp;TEXT(($BM$22+22),"00"),"")</f>
        <v/>
      </c>
      <c r="N149" s="6"/>
      <c r="O149" s="9" t="str">
        <f>IF(CC149="","",CC149&amp;"-"&amp;TEXT(COUNTIF($CA$72:$CA$95,CC149)+COUNTIF($CB$72:$CB$95,CC149)+COUNTIF($CC$72:$CC$95,CC149)+COUNTIF($CD$72:$CD$95,CC149)+COUNTIF($CA$100:$CA$123,CC149)+COUNTIF($CB$100:$CB$123,CC149)+COUNTIF($CC$100:$CC$123,CC149)+COUNTIF($CD$100:$CD$123,CC149)+COUNTIF($CA$128:$CA$151,CC149)+COUNTIF($CB$128:$CB$151,CC149)+COUNTIF($CC$128:CC149,CC149),"000"))</f>
        <v/>
      </c>
      <c r="P149" s="9" t="str">
        <f>IF(AND($BN$23&lt;&gt;"",($BM$23+22)&lt;=$BO$23),$BN$23,"")</f>
        <v/>
      </c>
      <c r="Q149" s="9" t="str">
        <f>IF(AND($BN$23&lt;&gt;"",($BM$23+22)&lt;=$BO$23),TEXT(($BM$23+22),"00"),"")</f>
        <v/>
      </c>
      <c r="R149" s="9" t="str">
        <f>IF(AND($BN$23&lt;&gt;"",($BM$23+22)&lt;=$BO$23),$BN$23&amp;"-"&amp;TEXT(($BM$23+22),"00"),"")</f>
        <v/>
      </c>
      <c r="T149" s="6"/>
      <c r="U149" s="9" t="str">
        <f>IF(CD149="","",CD149&amp;"-"&amp;TEXT(COUNTIF($CA$72:$CA$95,CD149)+COUNTIF($CB$72:$CB$95,CD149)+COUNTIF($CC$72:$CC$95,CD149)+COUNTIF($CD$72:$CD$95,CD149)+COUNTIF($CA$100:$CA$123,CD149)+COUNTIF($CB$100:$CB$123,CD149)+COUNTIF($CC$100:$CC$123,CD149)+COUNTIF($CD$100:$CD$123,CD149)+COUNTIF($CA$128:$CA$151,CD149)+COUNTIF($CB$128:$CB$151,CD149)+COUNTIF($CC$128:$CC$151,CD149)+COUNTIF($CD$128:CD149,CD149),"000"))</f>
        <v/>
      </c>
      <c r="V149" s="9" t="str">
        <f>IF(AND($BN$24&lt;&gt;"",($BM$24+22)&lt;=$BO$24),$BN$24,"")</f>
        <v/>
      </c>
      <c r="W149" s="9" t="str">
        <f>IF(AND($BN$24&lt;&gt;"",($BM$24+22)&lt;=$BO$24),TEXT(($BM$24+22),"00"),"")</f>
        <v/>
      </c>
      <c r="X149" s="9" t="str">
        <f>IF(AND($BN$24&lt;&gt;"",($BM$24+22)&lt;=$BO$24),$BN$24&amp;"-"&amp;TEXT(($BM$24+22),"00"),"")</f>
        <v/>
      </c>
      <c r="CA149" t="str" cm="1">
        <f t="array" ref="CA149">IF(NOT(AND($BN$21&lt;&gt;"",($BM$21+22)&lt;=$BO$21)),"",IF(B149&lt;&gt;"",IF(B149="-","",B149),IF(ISNUMBER(SEARCH(":",$BP$21)),IFERROR(_xlfn.LET(_xlpm.s,_xlfn.TEXTSPLIT($BP$21,","),_xlpm.k,FIND(":",_xlpm.s),INDEX(TRIM(LEFT(_xlpm.s,_xlpm.k-1)),_xlfn.XMATCH(($BM$21+22),_xlfn.SCAN(0,--MID(_xlpm.s,_xlpm.k+1,9),_xlfn.LAMBDA(_xlpm.a,_xlpm.v,_xlpm.a+_xlpm.v)),1))),""),IF(($BM$21+22)&lt;=$BQ$21,$BP$21,""))))</f>
        <v/>
      </c>
      <c r="CB149" t="str" cm="1">
        <f t="array" ref="CB149">IF(NOT(AND($BN$22&lt;&gt;"",($BM$22+22)&lt;=$BO$22)),"",IF(H149&lt;&gt;"",IF(H149="-","",H149),IF(ISNUMBER(SEARCH(":",$BP$22)),IFERROR(_xlfn.LET(_xlpm.s,_xlfn.TEXTSPLIT($BP$22,","),_xlpm.k,FIND(":",_xlpm.s),INDEX(TRIM(LEFT(_xlpm.s,_xlpm.k-1)),_xlfn.XMATCH(($BM$22+22),_xlfn.SCAN(0,--MID(_xlpm.s,_xlpm.k+1,9),_xlfn.LAMBDA(_xlpm.a,_xlpm.v,_xlpm.a+_xlpm.v)),1))),""),IF(($BM$22+22)&lt;=$BQ$22,$BP$22,""))))</f>
        <v/>
      </c>
      <c r="CC149" t="str" cm="1">
        <f t="array" ref="CC149">IF(NOT(AND($BN$23&lt;&gt;"",($BM$23+22)&lt;=$BO$23)),"",IF(N149&lt;&gt;"",IF(N149="-","",N149),IF(ISNUMBER(SEARCH(":",$BP$23)),IFERROR(_xlfn.LET(_xlpm.s,_xlfn.TEXTSPLIT($BP$23,","),_xlpm.k,FIND(":",_xlpm.s),INDEX(TRIM(LEFT(_xlpm.s,_xlpm.k-1)),_xlfn.XMATCH(($BM$23+22),_xlfn.SCAN(0,--MID(_xlpm.s,_xlpm.k+1,9),_xlfn.LAMBDA(_xlpm.a,_xlpm.v,_xlpm.a+_xlpm.v)),1))),""),IF(($BM$23+22)&lt;=$BQ$23,$BP$23,""))))</f>
        <v/>
      </c>
      <c r="CD149" t="str" cm="1">
        <f t="array" ref="CD149">IF(NOT(AND($BN$24&lt;&gt;"",($BM$24+22)&lt;=$BO$24)),"",IF(T149&lt;&gt;"",IF(T149="-","",T149),IF(ISNUMBER(SEARCH(":",$BP$24)),IFERROR(_xlfn.LET(_xlpm.s,_xlfn.TEXTSPLIT($BP$24,","),_xlpm.k,FIND(":",_xlpm.s),INDEX(TRIM(LEFT(_xlpm.s,_xlpm.k-1)),_xlfn.XMATCH(($BM$24+22),_xlfn.SCAN(0,--MID(_xlpm.s,_xlpm.k+1,9),_xlfn.LAMBDA(_xlpm.a,_xlpm.v,_xlpm.a+_xlpm.v)),1))),""),IF(($BM$24+22)&lt;=$BQ$24,$BP$24,""))))</f>
        <v/>
      </c>
    </row>
    <row r="150" spans="2:82" x14ac:dyDescent="0.45">
      <c r="B150" s="6"/>
      <c r="C150" s="9" t="str">
        <f>IF(CA150="","",CA150&amp;"-"&amp;TEXT(COUNTIF($CA$72:$CA$95,CA150)+COUNTIF($CB$72:$CB$95,CA150)+COUNTIF($CC$72:$CC$95,CA150)+COUNTIF($CD$72:$CD$95,CA150)+COUNTIF($CA$100:$CA$123,CA150)+COUNTIF($CB$100:$CB$123,CA150)+COUNTIF($CC$100:$CC$123,CA150)+COUNTIF($CD$100:$CD$123,CA150)+COUNTIF($CA$128:CA150,CA150),"000"))</f>
        <v/>
      </c>
      <c r="D150" s="9" t="str">
        <f>IF(AND($BN$21&lt;&gt;"",($BM$21+23)&lt;=$BO$21),$BN$21,"")</f>
        <v/>
      </c>
      <c r="E150" s="9" t="str">
        <f>IF(AND($BN$21&lt;&gt;"",($BM$21+23)&lt;=$BO$21),TEXT(($BM$21+23),"00"),"")</f>
        <v/>
      </c>
      <c r="F150" s="9" t="str">
        <f>IF(AND($BN$21&lt;&gt;"",($BM$21+23)&lt;=$BO$21),$BN$21&amp;"-"&amp;TEXT(($BM$21+23),"00"),"")</f>
        <v/>
      </c>
      <c r="H150" s="6"/>
      <c r="I150" s="9" t="str">
        <f>IF(CB150="","",CB150&amp;"-"&amp;TEXT(COUNTIF($CA$72:$CA$95,CB150)+COUNTIF($CB$72:$CB$95,CB150)+COUNTIF($CC$72:$CC$95,CB150)+COUNTIF($CD$72:$CD$95,CB150)+COUNTIF($CA$100:$CA$123,CB150)+COUNTIF($CB$100:$CB$123,CB150)+COUNTIF($CC$100:$CC$123,CB150)+COUNTIF($CD$100:$CD$123,CB150)+COUNTIF($CA$128:$CA$151,CB150)+COUNTIF($CB$128:CB150,CB150),"000"))</f>
        <v/>
      </c>
      <c r="J150" s="9" t="str">
        <f>IF(AND($BN$22&lt;&gt;"",($BM$22+23)&lt;=$BO$22),$BN$22,"")</f>
        <v/>
      </c>
      <c r="K150" s="9" t="str">
        <f>IF(AND($BN$22&lt;&gt;"",($BM$22+23)&lt;=$BO$22),TEXT(($BM$22+23),"00"),"")</f>
        <v/>
      </c>
      <c r="L150" s="9" t="str">
        <f>IF(AND($BN$22&lt;&gt;"",($BM$22+23)&lt;=$BO$22),$BN$22&amp;"-"&amp;TEXT(($BM$22+23),"00"),"")</f>
        <v/>
      </c>
      <c r="N150" s="6"/>
      <c r="O150" s="9" t="str">
        <f>IF(CC150="","",CC150&amp;"-"&amp;TEXT(COUNTIF($CA$72:$CA$95,CC150)+COUNTIF($CB$72:$CB$95,CC150)+COUNTIF($CC$72:$CC$95,CC150)+COUNTIF($CD$72:$CD$95,CC150)+COUNTIF($CA$100:$CA$123,CC150)+COUNTIF($CB$100:$CB$123,CC150)+COUNTIF($CC$100:$CC$123,CC150)+COUNTIF($CD$100:$CD$123,CC150)+COUNTIF($CA$128:$CA$151,CC150)+COUNTIF($CB$128:$CB$151,CC150)+COUNTIF($CC$128:CC150,CC150),"000"))</f>
        <v/>
      </c>
      <c r="P150" s="9" t="str">
        <f>IF(AND($BN$23&lt;&gt;"",($BM$23+23)&lt;=$BO$23),$BN$23,"")</f>
        <v/>
      </c>
      <c r="Q150" s="9" t="str">
        <f>IF(AND($BN$23&lt;&gt;"",($BM$23+23)&lt;=$BO$23),TEXT(($BM$23+23),"00"),"")</f>
        <v/>
      </c>
      <c r="R150" s="9" t="str">
        <f>IF(AND($BN$23&lt;&gt;"",($BM$23+23)&lt;=$BO$23),$BN$23&amp;"-"&amp;TEXT(($BM$23+23),"00"),"")</f>
        <v/>
      </c>
      <c r="T150" s="6"/>
      <c r="U150" s="9" t="str">
        <f>IF(CD150="","",CD150&amp;"-"&amp;TEXT(COUNTIF($CA$72:$CA$95,CD150)+COUNTIF($CB$72:$CB$95,CD150)+COUNTIF($CC$72:$CC$95,CD150)+COUNTIF($CD$72:$CD$95,CD150)+COUNTIF($CA$100:$CA$123,CD150)+COUNTIF($CB$100:$CB$123,CD150)+COUNTIF($CC$100:$CC$123,CD150)+COUNTIF($CD$100:$CD$123,CD150)+COUNTIF($CA$128:$CA$151,CD150)+COUNTIF($CB$128:$CB$151,CD150)+COUNTIF($CC$128:$CC$151,CD150)+COUNTIF($CD$128:CD150,CD150),"000"))</f>
        <v/>
      </c>
      <c r="V150" s="9" t="str">
        <f>IF(AND($BN$24&lt;&gt;"",($BM$24+23)&lt;=$BO$24),$BN$24,"")</f>
        <v/>
      </c>
      <c r="W150" s="9" t="str">
        <f>IF(AND($BN$24&lt;&gt;"",($BM$24+23)&lt;=$BO$24),TEXT(($BM$24+23),"00"),"")</f>
        <v/>
      </c>
      <c r="X150" s="9" t="str">
        <f>IF(AND($BN$24&lt;&gt;"",($BM$24+23)&lt;=$BO$24),$BN$24&amp;"-"&amp;TEXT(($BM$24+23),"00"),"")</f>
        <v/>
      </c>
      <c r="CA150" t="str" cm="1">
        <f t="array" ref="CA150">IF(NOT(AND($BN$21&lt;&gt;"",($BM$21+23)&lt;=$BO$21)),"",IF(B150&lt;&gt;"",IF(B150="-","",B150),IF(ISNUMBER(SEARCH(":",$BP$21)),IFERROR(_xlfn.LET(_xlpm.s,_xlfn.TEXTSPLIT($BP$21,","),_xlpm.k,FIND(":",_xlpm.s),INDEX(TRIM(LEFT(_xlpm.s,_xlpm.k-1)),_xlfn.XMATCH(($BM$21+23),_xlfn.SCAN(0,--MID(_xlpm.s,_xlpm.k+1,9),_xlfn.LAMBDA(_xlpm.a,_xlpm.v,_xlpm.a+_xlpm.v)),1))),""),IF(($BM$21+23)&lt;=$BQ$21,$BP$21,""))))</f>
        <v/>
      </c>
      <c r="CB150" t="str" cm="1">
        <f t="array" ref="CB150">IF(NOT(AND($BN$22&lt;&gt;"",($BM$22+23)&lt;=$BO$22)),"",IF(H150&lt;&gt;"",IF(H150="-","",H150),IF(ISNUMBER(SEARCH(":",$BP$22)),IFERROR(_xlfn.LET(_xlpm.s,_xlfn.TEXTSPLIT($BP$22,","),_xlpm.k,FIND(":",_xlpm.s),INDEX(TRIM(LEFT(_xlpm.s,_xlpm.k-1)),_xlfn.XMATCH(($BM$22+23),_xlfn.SCAN(0,--MID(_xlpm.s,_xlpm.k+1,9),_xlfn.LAMBDA(_xlpm.a,_xlpm.v,_xlpm.a+_xlpm.v)),1))),""),IF(($BM$22+23)&lt;=$BQ$22,$BP$22,""))))</f>
        <v/>
      </c>
      <c r="CC150" t="str" cm="1">
        <f t="array" ref="CC150">IF(NOT(AND($BN$23&lt;&gt;"",($BM$23+23)&lt;=$BO$23)),"",IF(N150&lt;&gt;"",IF(N150="-","",N150),IF(ISNUMBER(SEARCH(":",$BP$23)),IFERROR(_xlfn.LET(_xlpm.s,_xlfn.TEXTSPLIT($BP$23,","),_xlpm.k,FIND(":",_xlpm.s),INDEX(TRIM(LEFT(_xlpm.s,_xlpm.k-1)),_xlfn.XMATCH(($BM$23+23),_xlfn.SCAN(0,--MID(_xlpm.s,_xlpm.k+1,9),_xlfn.LAMBDA(_xlpm.a,_xlpm.v,_xlpm.a+_xlpm.v)),1))),""),IF(($BM$23+23)&lt;=$BQ$23,$BP$23,""))))</f>
        <v/>
      </c>
      <c r="CD150" t="str" cm="1">
        <f t="array" ref="CD150">IF(NOT(AND($BN$24&lt;&gt;"",($BM$24+23)&lt;=$BO$24)),"",IF(T150&lt;&gt;"",IF(T150="-","",T150),IF(ISNUMBER(SEARCH(":",$BP$24)),IFERROR(_xlfn.LET(_xlpm.s,_xlfn.TEXTSPLIT($BP$24,","),_xlpm.k,FIND(":",_xlpm.s),INDEX(TRIM(LEFT(_xlpm.s,_xlpm.k-1)),_xlfn.XMATCH(($BM$24+23),_xlfn.SCAN(0,--MID(_xlpm.s,_xlpm.k+1,9),_xlfn.LAMBDA(_xlpm.a,_xlpm.v,_xlpm.a+_xlpm.v)),1))),""),IF(($BM$24+23)&lt;=$BQ$24,$BP$24,""))))</f>
        <v/>
      </c>
    </row>
    <row r="151" spans="2:82" x14ac:dyDescent="0.45">
      <c r="B151" s="6"/>
      <c r="C151" s="9" t="str">
        <f>IF(CA151="","",CA151&amp;"-"&amp;TEXT(COUNTIF($CA$72:$CA$95,CA151)+COUNTIF($CB$72:$CB$95,CA151)+COUNTIF($CC$72:$CC$95,CA151)+COUNTIF($CD$72:$CD$95,CA151)+COUNTIF($CA$100:$CA$123,CA151)+COUNTIF($CB$100:$CB$123,CA151)+COUNTIF($CC$100:$CC$123,CA151)+COUNTIF($CD$100:$CD$123,CA151)+COUNTIF($CA$128:CA151,CA151),"000"))</f>
        <v/>
      </c>
      <c r="D151" s="9" t="str">
        <f>IF(AND($BN$21&lt;&gt;"",($BM$21+24)&lt;=$BO$21),$BN$21,"")</f>
        <v/>
      </c>
      <c r="E151" s="9" t="str">
        <f>IF(AND($BN$21&lt;&gt;"",($BM$21+24)&lt;=$BO$21),TEXT(($BM$21+24),"00"),"")</f>
        <v/>
      </c>
      <c r="F151" s="9" t="str">
        <f>IF(AND($BN$21&lt;&gt;"",($BM$21+24)&lt;=$BO$21),$BN$21&amp;"-"&amp;TEXT(($BM$21+24),"00"),"")</f>
        <v/>
      </c>
      <c r="H151" s="6"/>
      <c r="I151" s="9" t="str">
        <f>IF(CB151="","",CB151&amp;"-"&amp;TEXT(COUNTIF($CA$72:$CA$95,CB151)+COUNTIF($CB$72:$CB$95,CB151)+COUNTIF($CC$72:$CC$95,CB151)+COUNTIF($CD$72:$CD$95,CB151)+COUNTIF($CA$100:$CA$123,CB151)+COUNTIF($CB$100:$CB$123,CB151)+COUNTIF($CC$100:$CC$123,CB151)+COUNTIF($CD$100:$CD$123,CB151)+COUNTIF($CA$128:$CA$151,CB151)+COUNTIF($CB$128:CB151,CB151),"000"))</f>
        <v/>
      </c>
      <c r="J151" s="9" t="str">
        <f>IF(AND($BN$22&lt;&gt;"",($BM$22+24)&lt;=$BO$22),$BN$22,"")</f>
        <v/>
      </c>
      <c r="K151" s="9" t="str">
        <f>IF(AND($BN$22&lt;&gt;"",($BM$22+24)&lt;=$BO$22),TEXT(($BM$22+24),"00"),"")</f>
        <v/>
      </c>
      <c r="L151" s="9" t="str">
        <f>IF(AND($BN$22&lt;&gt;"",($BM$22+24)&lt;=$BO$22),$BN$22&amp;"-"&amp;TEXT(($BM$22+24),"00"),"")</f>
        <v/>
      </c>
      <c r="N151" s="6"/>
      <c r="O151" s="9" t="str">
        <f>IF(CC151="","",CC151&amp;"-"&amp;TEXT(COUNTIF($CA$72:$CA$95,CC151)+COUNTIF($CB$72:$CB$95,CC151)+COUNTIF($CC$72:$CC$95,CC151)+COUNTIF($CD$72:$CD$95,CC151)+COUNTIF($CA$100:$CA$123,CC151)+COUNTIF($CB$100:$CB$123,CC151)+COUNTIF($CC$100:$CC$123,CC151)+COUNTIF($CD$100:$CD$123,CC151)+COUNTIF($CA$128:$CA$151,CC151)+COUNTIF($CB$128:$CB$151,CC151)+COUNTIF($CC$128:CC151,CC151),"000"))</f>
        <v/>
      </c>
      <c r="P151" s="9" t="str">
        <f>IF(AND($BN$23&lt;&gt;"",($BM$23+24)&lt;=$BO$23),$BN$23,"")</f>
        <v/>
      </c>
      <c r="Q151" s="9" t="str">
        <f>IF(AND($BN$23&lt;&gt;"",($BM$23+24)&lt;=$BO$23),TEXT(($BM$23+24),"00"),"")</f>
        <v/>
      </c>
      <c r="R151" s="9" t="str">
        <f>IF(AND($BN$23&lt;&gt;"",($BM$23+24)&lt;=$BO$23),$BN$23&amp;"-"&amp;TEXT(($BM$23+24),"00"),"")</f>
        <v/>
      </c>
      <c r="T151" s="6"/>
      <c r="U151" s="9" t="str">
        <f>IF(CD151="","",CD151&amp;"-"&amp;TEXT(COUNTIF($CA$72:$CA$95,CD151)+COUNTIF($CB$72:$CB$95,CD151)+COUNTIF($CC$72:$CC$95,CD151)+COUNTIF($CD$72:$CD$95,CD151)+COUNTIF($CA$100:$CA$123,CD151)+COUNTIF($CB$100:$CB$123,CD151)+COUNTIF($CC$100:$CC$123,CD151)+COUNTIF($CD$100:$CD$123,CD151)+COUNTIF($CA$128:$CA$151,CD151)+COUNTIF($CB$128:$CB$151,CD151)+COUNTIF($CC$128:$CC$151,CD151)+COUNTIF($CD$128:CD151,CD151),"000"))</f>
        <v/>
      </c>
      <c r="V151" s="9" t="str">
        <f>IF(AND($BN$24&lt;&gt;"",($BM$24+24)&lt;=$BO$24),$BN$24,"")</f>
        <v/>
      </c>
      <c r="W151" s="9" t="str">
        <f>IF(AND($BN$24&lt;&gt;"",($BM$24+24)&lt;=$BO$24),TEXT(($BM$24+24),"00"),"")</f>
        <v/>
      </c>
      <c r="X151" s="9" t="str">
        <f>IF(AND($BN$24&lt;&gt;"",($BM$24+24)&lt;=$BO$24),$BN$24&amp;"-"&amp;TEXT(($BM$24+24),"00"),"")</f>
        <v/>
      </c>
      <c r="CA151" t="str" cm="1">
        <f t="array" ref="CA151">IF(NOT(AND($BN$21&lt;&gt;"",($BM$21+24)&lt;=$BO$21)),"",IF(B151&lt;&gt;"",IF(B151="-","",B151),IF(ISNUMBER(SEARCH(":",$BP$21)),IFERROR(_xlfn.LET(_xlpm.s,_xlfn.TEXTSPLIT($BP$21,","),_xlpm.k,FIND(":",_xlpm.s),INDEX(TRIM(LEFT(_xlpm.s,_xlpm.k-1)),_xlfn.XMATCH(($BM$21+24),_xlfn.SCAN(0,--MID(_xlpm.s,_xlpm.k+1,9),_xlfn.LAMBDA(_xlpm.a,_xlpm.v,_xlpm.a+_xlpm.v)),1))),""),IF(($BM$21+24)&lt;=$BQ$21,$BP$21,""))))</f>
        <v/>
      </c>
      <c r="CB151" t="str" cm="1">
        <f t="array" ref="CB151">IF(NOT(AND($BN$22&lt;&gt;"",($BM$22+24)&lt;=$BO$22)),"",IF(H151&lt;&gt;"",IF(H151="-","",H151),IF(ISNUMBER(SEARCH(":",$BP$22)),IFERROR(_xlfn.LET(_xlpm.s,_xlfn.TEXTSPLIT($BP$22,","),_xlpm.k,FIND(":",_xlpm.s),INDEX(TRIM(LEFT(_xlpm.s,_xlpm.k-1)),_xlfn.XMATCH(($BM$22+24),_xlfn.SCAN(0,--MID(_xlpm.s,_xlpm.k+1,9),_xlfn.LAMBDA(_xlpm.a,_xlpm.v,_xlpm.a+_xlpm.v)),1))),""),IF(($BM$22+24)&lt;=$BQ$22,$BP$22,""))))</f>
        <v/>
      </c>
      <c r="CC151" t="str" cm="1">
        <f t="array" ref="CC151">IF(NOT(AND($BN$23&lt;&gt;"",($BM$23+24)&lt;=$BO$23)),"",IF(N151&lt;&gt;"",IF(N151="-","",N151),IF(ISNUMBER(SEARCH(":",$BP$23)),IFERROR(_xlfn.LET(_xlpm.s,_xlfn.TEXTSPLIT($BP$23,","),_xlpm.k,FIND(":",_xlpm.s),INDEX(TRIM(LEFT(_xlpm.s,_xlpm.k-1)),_xlfn.XMATCH(($BM$23+24),_xlfn.SCAN(0,--MID(_xlpm.s,_xlpm.k+1,9),_xlfn.LAMBDA(_xlpm.a,_xlpm.v,_xlpm.a+_xlpm.v)),1))),""),IF(($BM$23+24)&lt;=$BQ$23,$BP$23,""))))</f>
        <v/>
      </c>
      <c r="CD151" t="str" cm="1">
        <f t="array" ref="CD151">IF(NOT(AND($BN$24&lt;&gt;"",($BM$24+24)&lt;=$BO$24)),"",IF(T151&lt;&gt;"",IF(T151="-","",T151),IF(ISNUMBER(SEARCH(":",$BP$24)),IFERROR(_xlfn.LET(_xlpm.s,_xlfn.TEXTSPLIT($BP$24,","),_xlpm.k,FIND(":",_xlpm.s),INDEX(TRIM(LEFT(_xlpm.s,_xlpm.k-1)),_xlfn.XMATCH(($BM$24+24),_xlfn.SCAN(0,--MID(_xlpm.s,_xlpm.k+1,9),_xlfn.LAMBDA(_xlpm.a,_xlpm.v,_xlpm.a+_xlpm.v)),1))),""),IF(($BM$24+24)&lt;=$BQ$24,$BP$24,""))))</f>
        <v/>
      </c>
    </row>
    <row r="154" spans="2:82" x14ac:dyDescent="0.45">
      <c r="B154" s="51" t="str">
        <f>IF($BN$25="","Bloque 13 — sin panel","Panel "&amp;$BN$25&amp;"  (puertos "&amp;($BM$25+1)&amp;"-"&amp;MIN($BM$25+24,$BO$25)&amp;")"&amp;IF($BP$25&lt;&gt;"","  · "&amp;$BP$25,"")&amp;"  · "&amp;TEXT(IFERROR(INDEX($BS$13:$BS$28,$BL$25)/$BO$25,0),"0%"))</f>
        <v>Bloque 13 — sin panel</v>
      </c>
      <c r="C154" s="40"/>
      <c r="D154" s="40"/>
      <c r="E154" s="40"/>
      <c r="F154" s="40"/>
      <c r="H154" s="51" t="str">
        <f>IF($BN$26="","Bloque 14 — sin panel","Panel "&amp;$BN$26&amp;"  (puertos "&amp;($BM$26+1)&amp;"-"&amp;MIN($BM$26+24,$BO$26)&amp;")"&amp;IF($BP$26&lt;&gt;"","  · "&amp;$BP$26,"")&amp;"  · "&amp;TEXT(IFERROR(INDEX($BS$13:$BS$28,$BL$26)/$BO$26,0),"0%"))</f>
        <v>Bloque 14 — sin panel</v>
      </c>
      <c r="I154" s="40"/>
      <c r="J154" s="40"/>
      <c r="K154" s="40"/>
      <c r="L154" s="40"/>
      <c r="N154" s="51" t="str">
        <f>IF($BN$27="","Bloque 15 — sin panel","Panel "&amp;$BN$27&amp;"  (puertos "&amp;($BM$27+1)&amp;"-"&amp;MIN($BM$27+24,$BO$27)&amp;")"&amp;IF($BP$27&lt;&gt;"","  · "&amp;$BP$27,"")&amp;"  · "&amp;TEXT(IFERROR(INDEX($BS$13:$BS$28,$BL$27)/$BO$27,0),"0%"))</f>
        <v>Bloque 15 — sin panel</v>
      </c>
      <c r="O154" s="40"/>
      <c r="P154" s="40"/>
      <c r="Q154" s="40"/>
      <c r="R154" s="40"/>
      <c r="T154" s="51" t="str">
        <f>IF($BN$28="","Bloque 16 — sin panel","Panel "&amp;$BN$28&amp;"  (puertos "&amp;($BM$28+1)&amp;"-"&amp;MIN($BM$28+24,$BO$28)&amp;")"&amp;IF($BP$28&lt;&gt;"","  · "&amp;$BP$28,"")&amp;"  · "&amp;TEXT(IFERROR(INDEX($BS$13:$BS$28,$BL$28)/$BO$28,0),"0%"))</f>
        <v>Bloque 16 — sin panel</v>
      </c>
      <c r="U154" s="40"/>
      <c r="V154" s="40"/>
      <c r="W154" s="40"/>
      <c r="X154" s="40"/>
    </row>
    <row r="155" spans="2:82" x14ac:dyDescent="0.45">
      <c r="B155" s="5" t="s">
        <v>410</v>
      </c>
      <c r="C155" s="5" t="s">
        <v>411</v>
      </c>
      <c r="D155" s="5" t="s">
        <v>389</v>
      </c>
      <c r="E155" s="5" t="s">
        <v>412</v>
      </c>
      <c r="F155" s="5" t="s">
        <v>413</v>
      </c>
      <c r="H155" s="5" t="s">
        <v>410</v>
      </c>
      <c r="I155" s="5" t="s">
        <v>411</v>
      </c>
      <c r="J155" s="5" t="s">
        <v>389</v>
      </c>
      <c r="K155" s="5" t="s">
        <v>412</v>
      </c>
      <c r="L155" s="5" t="s">
        <v>413</v>
      </c>
      <c r="N155" s="5" t="s">
        <v>410</v>
      </c>
      <c r="O155" s="5" t="s">
        <v>411</v>
      </c>
      <c r="P155" s="5" t="s">
        <v>389</v>
      </c>
      <c r="Q155" s="5" t="s">
        <v>412</v>
      </c>
      <c r="R155" s="5" t="s">
        <v>413</v>
      </c>
      <c r="T155" s="5" t="s">
        <v>410</v>
      </c>
      <c r="U155" s="5" t="s">
        <v>411</v>
      </c>
      <c r="V155" s="5" t="s">
        <v>389</v>
      </c>
      <c r="W155" s="5" t="s">
        <v>412</v>
      </c>
      <c r="X155" s="5" t="s">
        <v>413</v>
      </c>
    </row>
    <row r="156" spans="2:82" x14ac:dyDescent="0.45">
      <c r="B156" s="6"/>
      <c r="C156" s="9" t="str">
        <f>IF(CA156="","",CA156&amp;"-"&amp;TEXT(COUNTIF($CA$72:$CA$95,CA156)+COUNTIF($CB$72:$CB$95,CA156)+COUNTIF($CC$72:$CC$95,CA156)+COUNTIF($CD$72:$CD$95,CA156)+COUNTIF($CA$100:$CA$123,CA156)+COUNTIF($CB$100:$CB$123,CA156)+COUNTIF($CC$100:$CC$123,CA156)+COUNTIF($CD$100:$CD$123,CA156)+COUNTIF($CA$128:$CA$151,CA156)+COUNTIF($CB$128:$CB$151,CA156)+COUNTIF($CC$128:$CC$151,CA156)+COUNTIF($CD$128:$CD$151,CA156)+COUNTIF($CA$156:CA156,CA156),"000"))</f>
        <v/>
      </c>
      <c r="D156" s="9" t="str">
        <f>IF(AND($BN$25&lt;&gt;"",($BM$25+1)&lt;=$BO$25),$BN$25,"")</f>
        <v/>
      </c>
      <c r="E156" s="9" t="str">
        <f>IF(AND($BN$25&lt;&gt;"",($BM$25+1)&lt;=$BO$25),TEXT(($BM$25+1),"00"),"")</f>
        <v/>
      </c>
      <c r="F156" s="9" t="str">
        <f>IF(AND($BN$25&lt;&gt;"",($BM$25+1)&lt;=$BO$25),$BN$25&amp;"-"&amp;TEXT(($BM$25+1),"00"),"")</f>
        <v/>
      </c>
      <c r="H156" s="6"/>
      <c r="I156" s="9" t="str">
        <f>IF(CB156="","",CB156&amp;"-"&amp;TEXT(COUNTIF($CA$72:$CA$95,CB156)+COUNTIF($CB$72:$CB$95,CB156)+COUNTIF($CC$72:$CC$95,CB156)+COUNTIF($CD$72:$CD$95,CB156)+COUNTIF($CA$100:$CA$123,CB156)+COUNTIF($CB$100:$CB$123,CB156)+COUNTIF($CC$100:$CC$123,CB156)+COUNTIF($CD$100:$CD$123,CB156)+COUNTIF($CA$128:$CA$151,CB156)+COUNTIF($CB$128:$CB$151,CB156)+COUNTIF($CC$128:$CC$151,CB156)+COUNTIF($CD$128:$CD$151,CB156)+COUNTIF($CA$156:$CA$179,CB156)+COUNTIF($CB$156:CB156,CB156),"000"))</f>
        <v/>
      </c>
      <c r="J156" s="9" t="str">
        <f>IF(AND($BN$26&lt;&gt;"",($BM$26+1)&lt;=$BO$26),$BN$26,"")</f>
        <v/>
      </c>
      <c r="K156" s="9" t="str">
        <f>IF(AND($BN$26&lt;&gt;"",($BM$26+1)&lt;=$BO$26),TEXT(($BM$26+1),"00"),"")</f>
        <v/>
      </c>
      <c r="L156" s="9" t="str">
        <f>IF(AND($BN$26&lt;&gt;"",($BM$26+1)&lt;=$BO$26),$BN$26&amp;"-"&amp;TEXT(($BM$26+1),"00"),"")</f>
        <v/>
      </c>
      <c r="N156" s="6"/>
      <c r="O156" s="9" t="str">
        <f>IF(CC156="","",CC156&amp;"-"&amp;TEXT(COUNTIF($CA$72:$CA$95,CC156)+COUNTIF($CB$72:$CB$95,CC156)+COUNTIF($CC$72:$CC$95,CC156)+COUNTIF($CD$72:$CD$95,CC156)+COUNTIF($CA$100:$CA$123,CC156)+COUNTIF($CB$100:$CB$123,CC156)+COUNTIF($CC$100:$CC$123,CC156)+COUNTIF($CD$100:$CD$123,CC156)+COUNTIF($CA$128:$CA$151,CC156)+COUNTIF($CB$128:$CB$151,CC156)+COUNTIF($CC$128:$CC$151,CC156)+COUNTIF($CD$128:$CD$151,CC156)+COUNTIF($CA$156:$CA$179,CC156)+COUNTIF($CB$156:$CB$179,CC156)+COUNTIF($CC$156:CC156,CC156),"000"))</f>
        <v/>
      </c>
      <c r="P156" s="9" t="str">
        <f>IF(AND($BN$27&lt;&gt;"",($BM$27+1)&lt;=$BO$27),$BN$27,"")</f>
        <v/>
      </c>
      <c r="Q156" s="9" t="str">
        <f>IF(AND($BN$27&lt;&gt;"",($BM$27+1)&lt;=$BO$27),TEXT(($BM$27+1),"00"),"")</f>
        <v/>
      </c>
      <c r="R156" s="9" t="str">
        <f>IF(AND($BN$27&lt;&gt;"",($BM$27+1)&lt;=$BO$27),$BN$27&amp;"-"&amp;TEXT(($BM$27+1),"00"),"")</f>
        <v/>
      </c>
      <c r="T156" s="6"/>
      <c r="U156" s="9" t="str">
        <f>IF(CD156="","",CD156&amp;"-"&amp;TEXT(COUNTIF($CA$72:$CA$95,CD156)+COUNTIF($CB$72:$CB$95,CD156)+COUNTIF($CC$72:$CC$95,CD156)+COUNTIF($CD$72:$CD$95,CD156)+COUNTIF($CA$100:$CA$123,CD156)+COUNTIF($CB$100:$CB$123,CD156)+COUNTIF($CC$100:$CC$123,CD156)+COUNTIF($CD$100:$CD$123,CD156)+COUNTIF($CA$128:$CA$151,CD156)+COUNTIF($CB$128:$CB$151,CD156)+COUNTIF($CC$128:$CC$151,CD156)+COUNTIF($CD$128:$CD$151,CD156)+COUNTIF($CA$156:$CA$179,CD156)+COUNTIF($CB$156:$CB$179,CD156)+COUNTIF($CC$156:$CC$179,CD156)+COUNTIF($CD$156:CD156,CD156),"000"))</f>
        <v/>
      </c>
      <c r="V156" s="9" t="str">
        <f>IF(AND($BN$28&lt;&gt;"",($BM$28+1)&lt;=$BO$28),$BN$28,"")</f>
        <v/>
      </c>
      <c r="W156" s="9" t="str">
        <f>IF(AND($BN$28&lt;&gt;"",($BM$28+1)&lt;=$BO$28),TEXT(($BM$28+1),"00"),"")</f>
        <v/>
      </c>
      <c r="X156" s="9" t="str">
        <f>IF(AND($BN$28&lt;&gt;"",($BM$28+1)&lt;=$BO$28),$BN$28&amp;"-"&amp;TEXT(($BM$28+1),"00"),"")</f>
        <v/>
      </c>
      <c r="CA156" t="str" cm="1">
        <f t="array" ref="CA156">IF(NOT(AND($BN$25&lt;&gt;"",($BM$25+1)&lt;=$BO$25)),"",IF(B156&lt;&gt;"",IF(B156="-","",B156),IF(ISNUMBER(SEARCH(":",$BP$25)),IFERROR(_xlfn.LET(_xlpm.s,_xlfn.TEXTSPLIT($BP$25,","),_xlpm.k,FIND(":",_xlpm.s),INDEX(TRIM(LEFT(_xlpm.s,_xlpm.k-1)),_xlfn.XMATCH(($BM$25+1),_xlfn.SCAN(0,--MID(_xlpm.s,_xlpm.k+1,9),_xlfn.LAMBDA(_xlpm.a,_xlpm.v,_xlpm.a+_xlpm.v)),1))),""),IF(($BM$25+1)&lt;=$BQ$25,$BP$25,""))))</f>
        <v/>
      </c>
      <c r="CB156" t="str" cm="1">
        <f t="array" ref="CB156">IF(NOT(AND($BN$26&lt;&gt;"",($BM$26+1)&lt;=$BO$26)),"",IF(H156&lt;&gt;"",IF(H156="-","",H156),IF(ISNUMBER(SEARCH(":",$BP$26)),IFERROR(_xlfn.LET(_xlpm.s,_xlfn.TEXTSPLIT($BP$26,","),_xlpm.k,FIND(":",_xlpm.s),INDEX(TRIM(LEFT(_xlpm.s,_xlpm.k-1)),_xlfn.XMATCH(($BM$26+1),_xlfn.SCAN(0,--MID(_xlpm.s,_xlpm.k+1,9),_xlfn.LAMBDA(_xlpm.a,_xlpm.v,_xlpm.a+_xlpm.v)),1))),""),IF(($BM$26+1)&lt;=$BQ$26,$BP$26,""))))</f>
        <v/>
      </c>
      <c r="CC156" t="str" cm="1">
        <f t="array" ref="CC156">IF(NOT(AND($BN$27&lt;&gt;"",($BM$27+1)&lt;=$BO$27)),"",IF(N156&lt;&gt;"",IF(N156="-","",N156),IF(ISNUMBER(SEARCH(":",$BP$27)),IFERROR(_xlfn.LET(_xlpm.s,_xlfn.TEXTSPLIT($BP$27,","),_xlpm.k,FIND(":",_xlpm.s),INDEX(TRIM(LEFT(_xlpm.s,_xlpm.k-1)),_xlfn.XMATCH(($BM$27+1),_xlfn.SCAN(0,--MID(_xlpm.s,_xlpm.k+1,9),_xlfn.LAMBDA(_xlpm.a,_xlpm.v,_xlpm.a+_xlpm.v)),1))),""),IF(($BM$27+1)&lt;=$BQ$27,$BP$27,""))))</f>
        <v/>
      </c>
      <c r="CD156" t="str" cm="1">
        <f t="array" ref="CD156">IF(NOT(AND($BN$28&lt;&gt;"",($BM$28+1)&lt;=$BO$28)),"",IF(T156&lt;&gt;"",IF(T156="-","",T156),IF(ISNUMBER(SEARCH(":",$BP$28)),IFERROR(_xlfn.LET(_xlpm.s,_xlfn.TEXTSPLIT($BP$28,","),_xlpm.k,FIND(":",_xlpm.s),INDEX(TRIM(LEFT(_xlpm.s,_xlpm.k-1)),_xlfn.XMATCH(($BM$28+1),_xlfn.SCAN(0,--MID(_xlpm.s,_xlpm.k+1,9),_xlfn.LAMBDA(_xlpm.a,_xlpm.v,_xlpm.a+_xlpm.v)),1))),""),IF(($BM$28+1)&lt;=$BQ$28,$BP$28,""))))</f>
        <v/>
      </c>
    </row>
    <row r="157" spans="2:82" x14ac:dyDescent="0.45">
      <c r="B157" s="6"/>
      <c r="C157" s="9" t="str">
        <f>IF(CA157="","",CA157&amp;"-"&amp;TEXT(COUNTIF($CA$72:$CA$95,CA157)+COUNTIF($CB$72:$CB$95,CA157)+COUNTIF($CC$72:$CC$95,CA157)+COUNTIF($CD$72:$CD$95,CA157)+COUNTIF($CA$100:$CA$123,CA157)+COUNTIF($CB$100:$CB$123,CA157)+COUNTIF($CC$100:$CC$123,CA157)+COUNTIF($CD$100:$CD$123,CA157)+COUNTIF($CA$128:$CA$151,CA157)+COUNTIF($CB$128:$CB$151,CA157)+COUNTIF($CC$128:$CC$151,CA157)+COUNTIF($CD$128:$CD$151,CA157)+COUNTIF($CA$156:CA157,CA157),"000"))</f>
        <v/>
      </c>
      <c r="D157" s="9" t="str">
        <f>IF(AND($BN$25&lt;&gt;"",($BM$25+2)&lt;=$BO$25),$BN$25,"")</f>
        <v/>
      </c>
      <c r="E157" s="9" t="str">
        <f>IF(AND($BN$25&lt;&gt;"",($BM$25+2)&lt;=$BO$25),TEXT(($BM$25+2),"00"),"")</f>
        <v/>
      </c>
      <c r="F157" s="9" t="str">
        <f>IF(AND($BN$25&lt;&gt;"",($BM$25+2)&lt;=$BO$25),$BN$25&amp;"-"&amp;TEXT(($BM$25+2),"00"),"")</f>
        <v/>
      </c>
      <c r="H157" s="6"/>
      <c r="I157" s="9" t="str">
        <f>IF(CB157="","",CB157&amp;"-"&amp;TEXT(COUNTIF($CA$72:$CA$95,CB157)+COUNTIF($CB$72:$CB$95,CB157)+COUNTIF($CC$72:$CC$95,CB157)+COUNTIF($CD$72:$CD$95,CB157)+COUNTIF($CA$100:$CA$123,CB157)+COUNTIF($CB$100:$CB$123,CB157)+COUNTIF($CC$100:$CC$123,CB157)+COUNTIF($CD$100:$CD$123,CB157)+COUNTIF($CA$128:$CA$151,CB157)+COUNTIF($CB$128:$CB$151,CB157)+COUNTIF($CC$128:$CC$151,CB157)+COUNTIF($CD$128:$CD$151,CB157)+COUNTIF($CA$156:$CA$179,CB157)+COUNTIF($CB$156:CB157,CB157),"000"))</f>
        <v/>
      </c>
      <c r="J157" s="9" t="str">
        <f>IF(AND($BN$26&lt;&gt;"",($BM$26+2)&lt;=$BO$26),$BN$26,"")</f>
        <v/>
      </c>
      <c r="K157" s="9" t="str">
        <f>IF(AND($BN$26&lt;&gt;"",($BM$26+2)&lt;=$BO$26),TEXT(($BM$26+2),"00"),"")</f>
        <v/>
      </c>
      <c r="L157" s="9" t="str">
        <f>IF(AND($BN$26&lt;&gt;"",($BM$26+2)&lt;=$BO$26),$BN$26&amp;"-"&amp;TEXT(($BM$26+2),"00"),"")</f>
        <v/>
      </c>
      <c r="N157" s="6"/>
      <c r="O157" s="9" t="str">
        <f>IF(CC157="","",CC157&amp;"-"&amp;TEXT(COUNTIF($CA$72:$CA$95,CC157)+COUNTIF($CB$72:$CB$95,CC157)+COUNTIF($CC$72:$CC$95,CC157)+COUNTIF($CD$72:$CD$95,CC157)+COUNTIF($CA$100:$CA$123,CC157)+COUNTIF($CB$100:$CB$123,CC157)+COUNTIF($CC$100:$CC$123,CC157)+COUNTIF($CD$100:$CD$123,CC157)+COUNTIF($CA$128:$CA$151,CC157)+COUNTIF($CB$128:$CB$151,CC157)+COUNTIF($CC$128:$CC$151,CC157)+COUNTIF($CD$128:$CD$151,CC157)+COUNTIF($CA$156:$CA$179,CC157)+COUNTIF($CB$156:$CB$179,CC157)+COUNTIF($CC$156:CC157,CC157),"000"))</f>
        <v/>
      </c>
      <c r="P157" s="9" t="str">
        <f>IF(AND($BN$27&lt;&gt;"",($BM$27+2)&lt;=$BO$27),$BN$27,"")</f>
        <v/>
      </c>
      <c r="Q157" s="9" t="str">
        <f>IF(AND($BN$27&lt;&gt;"",($BM$27+2)&lt;=$BO$27),TEXT(($BM$27+2),"00"),"")</f>
        <v/>
      </c>
      <c r="R157" s="9" t="str">
        <f>IF(AND($BN$27&lt;&gt;"",($BM$27+2)&lt;=$BO$27),$BN$27&amp;"-"&amp;TEXT(($BM$27+2),"00"),"")</f>
        <v/>
      </c>
      <c r="T157" s="6"/>
      <c r="U157" s="9" t="str">
        <f>IF(CD157="","",CD157&amp;"-"&amp;TEXT(COUNTIF($CA$72:$CA$95,CD157)+COUNTIF($CB$72:$CB$95,CD157)+COUNTIF($CC$72:$CC$95,CD157)+COUNTIF($CD$72:$CD$95,CD157)+COUNTIF($CA$100:$CA$123,CD157)+COUNTIF($CB$100:$CB$123,CD157)+COUNTIF($CC$100:$CC$123,CD157)+COUNTIF($CD$100:$CD$123,CD157)+COUNTIF($CA$128:$CA$151,CD157)+COUNTIF($CB$128:$CB$151,CD157)+COUNTIF($CC$128:$CC$151,CD157)+COUNTIF($CD$128:$CD$151,CD157)+COUNTIF($CA$156:$CA$179,CD157)+COUNTIF($CB$156:$CB$179,CD157)+COUNTIF($CC$156:$CC$179,CD157)+COUNTIF($CD$156:CD157,CD157),"000"))</f>
        <v/>
      </c>
      <c r="V157" s="9" t="str">
        <f>IF(AND($BN$28&lt;&gt;"",($BM$28+2)&lt;=$BO$28),$BN$28,"")</f>
        <v/>
      </c>
      <c r="W157" s="9" t="str">
        <f>IF(AND($BN$28&lt;&gt;"",($BM$28+2)&lt;=$BO$28),TEXT(($BM$28+2),"00"),"")</f>
        <v/>
      </c>
      <c r="X157" s="9" t="str">
        <f>IF(AND($BN$28&lt;&gt;"",($BM$28+2)&lt;=$BO$28),$BN$28&amp;"-"&amp;TEXT(($BM$28+2),"00"),"")</f>
        <v/>
      </c>
      <c r="CA157" t="str" cm="1">
        <f t="array" ref="CA157">IF(NOT(AND($BN$25&lt;&gt;"",($BM$25+2)&lt;=$BO$25)),"",IF(B157&lt;&gt;"",IF(B157="-","",B157),IF(ISNUMBER(SEARCH(":",$BP$25)),IFERROR(_xlfn.LET(_xlpm.s,_xlfn.TEXTSPLIT($BP$25,","),_xlpm.k,FIND(":",_xlpm.s),INDEX(TRIM(LEFT(_xlpm.s,_xlpm.k-1)),_xlfn.XMATCH(($BM$25+2),_xlfn.SCAN(0,--MID(_xlpm.s,_xlpm.k+1,9),_xlfn.LAMBDA(_xlpm.a,_xlpm.v,_xlpm.a+_xlpm.v)),1))),""),IF(($BM$25+2)&lt;=$BQ$25,$BP$25,""))))</f>
        <v/>
      </c>
      <c r="CB157" t="str" cm="1">
        <f t="array" ref="CB157">IF(NOT(AND($BN$26&lt;&gt;"",($BM$26+2)&lt;=$BO$26)),"",IF(H157&lt;&gt;"",IF(H157="-","",H157),IF(ISNUMBER(SEARCH(":",$BP$26)),IFERROR(_xlfn.LET(_xlpm.s,_xlfn.TEXTSPLIT($BP$26,","),_xlpm.k,FIND(":",_xlpm.s),INDEX(TRIM(LEFT(_xlpm.s,_xlpm.k-1)),_xlfn.XMATCH(($BM$26+2),_xlfn.SCAN(0,--MID(_xlpm.s,_xlpm.k+1,9),_xlfn.LAMBDA(_xlpm.a,_xlpm.v,_xlpm.a+_xlpm.v)),1))),""),IF(($BM$26+2)&lt;=$BQ$26,$BP$26,""))))</f>
        <v/>
      </c>
      <c r="CC157" t="str" cm="1">
        <f t="array" ref="CC157">IF(NOT(AND($BN$27&lt;&gt;"",($BM$27+2)&lt;=$BO$27)),"",IF(N157&lt;&gt;"",IF(N157="-","",N157),IF(ISNUMBER(SEARCH(":",$BP$27)),IFERROR(_xlfn.LET(_xlpm.s,_xlfn.TEXTSPLIT($BP$27,","),_xlpm.k,FIND(":",_xlpm.s),INDEX(TRIM(LEFT(_xlpm.s,_xlpm.k-1)),_xlfn.XMATCH(($BM$27+2),_xlfn.SCAN(0,--MID(_xlpm.s,_xlpm.k+1,9),_xlfn.LAMBDA(_xlpm.a,_xlpm.v,_xlpm.a+_xlpm.v)),1))),""),IF(($BM$27+2)&lt;=$BQ$27,$BP$27,""))))</f>
        <v/>
      </c>
      <c r="CD157" t="str" cm="1">
        <f t="array" ref="CD157">IF(NOT(AND($BN$28&lt;&gt;"",($BM$28+2)&lt;=$BO$28)),"",IF(T157&lt;&gt;"",IF(T157="-","",T157),IF(ISNUMBER(SEARCH(":",$BP$28)),IFERROR(_xlfn.LET(_xlpm.s,_xlfn.TEXTSPLIT($BP$28,","),_xlpm.k,FIND(":",_xlpm.s),INDEX(TRIM(LEFT(_xlpm.s,_xlpm.k-1)),_xlfn.XMATCH(($BM$28+2),_xlfn.SCAN(0,--MID(_xlpm.s,_xlpm.k+1,9),_xlfn.LAMBDA(_xlpm.a,_xlpm.v,_xlpm.a+_xlpm.v)),1))),""),IF(($BM$28+2)&lt;=$BQ$28,$BP$28,""))))</f>
        <v/>
      </c>
    </row>
    <row r="158" spans="2:82" x14ac:dyDescent="0.45">
      <c r="B158" s="6"/>
      <c r="C158" s="9" t="str">
        <f>IF(CA158="","",CA158&amp;"-"&amp;TEXT(COUNTIF($CA$72:$CA$95,CA158)+COUNTIF($CB$72:$CB$95,CA158)+COUNTIF($CC$72:$CC$95,CA158)+COUNTIF($CD$72:$CD$95,CA158)+COUNTIF($CA$100:$CA$123,CA158)+COUNTIF($CB$100:$CB$123,CA158)+COUNTIF($CC$100:$CC$123,CA158)+COUNTIF($CD$100:$CD$123,CA158)+COUNTIF($CA$128:$CA$151,CA158)+COUNTIF($CB$128:$CB$151,CA158)+COUNTIF($CC$128:$CC$151,CA158)+COUNTIF($CD$128:$CD$151,CA158)+COUNTIF($CA$156:CA158,CA158),"000"))</f>
        <v/>
      </c>
      <c r="D158" s="9" t="str">
        <f>IF(AND($BN$25&lt;&gt;"",($BM$25+3)&lt;=$BO$25),$BN$25,"")</f>
        <v/>
      </c>
      <c r="E158" s="9" t="str">
        <f>IF(AND($BN$25&lt;&gt;"",($BM$25+3)&lt;=$BO$25),TEXT(($BM$25+3),"00"),"")</f>
        <v/>
      </c>
      <c r="F158" s="9" t="str">
        <f>IF(AND($BN$25&lt;&gt;"",($BM$25+3)&lt;=$BO$25),$BN$25&amp;"-"&amp;TEXT(($BM$25+3),"00"),"")</f>
        <v/>
      </c>
      <c r="H158" s="6"/>
      <c r="I158" s="9" t="str">
        <f>IF(CB158="","",CB158&amp;"-"&amp;TEXT(COUNTIF($CA$72:$CA$95,CB158)+COUNTIF($CB$72:$CB$95,CB158)+COUNTIF($CC$72:$CC$95,CB158)+COUNTIF($CD$72:$CD$95,CB158)+COUNTIF($CA$100:$CA$123,CB158)+COUNTIF($CB$100:$CB$123,CB158)+COUNTIF($CC$100:$CC$123,CB158)+COUNTIF($CD$100:$CD$123,CB158)+COUNTIF($CA$128:$CA$151,CB158)+COUNTIF($CB$128:$CB$151,CB158)+COUNTIF($CC$128:$CC$151,CB158)+COUNTIF($CD$128:$CD$151,CB158)+COUNTIF($CA$156:$CA$179,CB158)+COUNTIF($CB$156:CB158,CB158),"000"))</f>
        <v/>
      </c>
      <c r="J158" s="9" t="str">
        <f>IF(AND($BN$26&lt;&gt;"",($BM$26+3)&lt;=$BO$26),$BN$26,"")</f>
        <v/>
      </c>
      <c r="K158" s="9" t="str">
        <f>IF(AND($BN$26&lt;&gt;"",($BM$26+3)&lt;=$BO$26),TEXT(($BM$26+3),"00"),"")</f>
        <v/>
      </c>
      <c r="L158" s="9" t="str">
        <f>IF(AND($BN$26&lt;&gt;"",($BM$26+3)&lt;=$BO$26),$BN$26&amp;"-"&amp;TEXT(($BM$26+3),"00"),"")</f>
        <v/>
      </c>
      <c r="N158" s="6"/>
      <c r="O158" s="9" t="str">
        <f>IF(CC158="","",CC158&amp;"-"&amp;TEXT(COUNTIF($CA$72:$CA$95,CC158)+COUNTIF($CB$72:$CB$95,CC158)+COUNTIF($CC$72:$CC$95,CC158)+COUNTIF($CD$72:$CD$95,CC158)+COUNTIF($CA$100:$CA$123,CC158)+COUNTIF($CB$100:$CB$123,CC158)+COUNTIF($CC$100:$CC$123,CC158)+COUNTIF($CD$100:$CD$123,CC158)+COUNTIF($CA$128:$CA$151,CC158)+COUNTIF($CB$128:$CB$151,CC158)+COUNTIF($CC$128:$CC$151,CC158)+COUNTIF($CD$128:$CD$151,CC158)+COUNTIF($CA$156:$CA$179,CC158)+COUNTIF($CB$156:$CB$179,CC158)+COUNTIF($CC$156:CC158,CC158),"000"))</f>
        <v/>
      </c>
      <c r="P158" s="9" t="str">
        <f>IF(AND($BN$27&lt;&gt;"",($BM$27+3)&lt;=$BO$27),$BN$27,"")</f>
        <v/>
      </c>
      <c r="Q158" s="9" t="str">
        <f>IF(AND($BN$27&lt;&gt;"",($BM$27+3)&lt;=$BO$27),TEXT(($BM$27+3),"00"),"")</f>
        <v/>
      </c>
      <c r="R158" s="9" t="str">
        <f>IF(AND($BN$27&lt;&gt;"",($BM$27+3)&lt;=$BO$27),$BN$27&amp;"-"&amp;TEXT(($BM$27+3),"00"),"")</f>
        <v/>
      </c>
      <c r="T158" s="6"/>
      <c r="U158" s="9" t="str">
        <f>IF(CD158="","",CD158&amp;"-"&amp;TEXT(COUNTIF($CA$72:$CA$95,CD158)+COUNTIF($CB$72:$CB$95,CD158)+COUNTIF($CC$72:$CC$95,CD158)+COUNTIF($CD$72:$CD$95,CD158)+COUNTIF($CA$100:$CA$123,CD158)+COUNTIF($CB$100:$CB$123,CD158)+COUNTIF($CC$100:$CC$123,CD158)+COUNTIF($CD$100:$CD$123,CD158)+COUNTIF($CA$128:$CA$151,CD158)+COUNTIF($CB$128:$CB$151,CD158)+COUNTIF($CC$128:$CC$151,CD158)+COUNTIF($CD$128:$CD$151,CD158)+COUNTIF($CA$156:$CA$179,CD158)+COUNTIF($CB$156:$CB$179,CD158)+COUNTIF($CC$156:$CC$179,CD158)+COUNTIF($CD$156:CD158,CD158),"000"))</f>
        <v/>
      </c>
      <c r="V158" s="9" t="str">
        <f>IF(AND($BN$28&lt;&gt;"",($BM$28+3)&lt;=$BO$28),$BN$28,"")</f>
        <v/>
      </c>
      <c r="W158" s="9" t="str">
        <f>IF(AND($BN$28&lt;&gt;"",($BM$28+3)&lt;=$BO$28),TEXT(($BM$28+3),"00"),"")</f>
        <v/>
      </c>
      <c r="X158" s="9" t="str">
        <f>IF(AND($BN$28&lt;&gt;"",($BM$28+3)&lt;=$BO$28),$BN$28&amp;"-"&amp;TEXT(($BM$28+3),"00"),"")</f>
        <v/>
      </c>
      <c r="CA158" t="str" cm="1">
        <f t="array" ref="CA158">IF(NOT(AND($BN$25&lt;&gt;"",($BM$25+3)&lt;=$BO$25)),"",IF(B158&lt;&gt;"",IF(B158="-","",B158),IF(ISNUMBER(SEARCH(":",$BP$25)),IFERROR(_xlfn.LET(_xlpm.s,_xlfn.TEXTSPLIT($BP$25,","),_xlpm.k,FIND(":",_xlpm.s),INDEX(TRIM(LEFT(_xlpm.s,_xlpm.k-1)),_xlfn.XMATCH(($BM$25+3),_xlfn.SCAN(0,--MID(_xlpm.s,_xlpm.k+1,9),_xlfn.LAMBDA(_xlpm.a,_xlpm.v,_xlpm.a+_xlpm.v)),1))),""),IF(($BM$25+3)&lt;=$BQ$25,$BP$25,""))))</f>
        <v/>
      </c>
      <c r="CB158" t="str" cm="1">
        <f t="array" ref="CB158">IF(NOT(AND($BN$26&lt;&gt;"",($BM$26+3)&lt;=$BO$26)),"",IF(H158&lt;&gt;"",IF(H158="-","",H158),IF(ISNUMBER(SEARCH(":",$BP$26)),IFERROR(_xlfn.LET(_xlpm.s,_xlfn.TEXTSPLIT($BP$26,","),_xlpm.k,FIND(":",_xlpm.s),INDEX(TRIM(LEFT(_xlpm.s,_xlpm.k-1)),_xlfn.XMATCH(($BM$26+3),_xlfn.SCAN(0,--MID(_xlpm.s,_xlpm.k+1,9),_xlfn.LAMBDA(_xlpm.a,_xlpm.v,_xlpm.a+_xlpm.v)),1))),""),IF(($BM$26+3)&lt;=$BQ$26,$BP$26,""))))</f>
        <v/>
      </c>
      <c r="CC158" t="str" cm="1">
        <f t="array" ref="CC158">IF(NOT(AND($BN$27&lt;&gt;"",($BM$27+3)&lt;=$BO$27)),"",IF(N158&lt;&gt;"",IF(N158="-","",N158),IF(ISNUMBER(SEARCH(":",$BP$27)),IFERROR(_xlfn.LET(_xlpm.s,_xlfn.TEXTSPLIT($BP$27,","),_xlpm.k,FIND(":",_xlpm.s),INDEX(TRIM(LEFT(_xlpm.s,_xlpm.k-1)),_xlfn.XMATCH(($BM$27+3),_xlfn.SCAN(0,--MID(_xlpm.s,_xlpm.k+1,9),_xlfn.LAMBDA(_xlpm.a,_xlpm.v,_xlpm.a+_xlpm.v)),1))),""),IF(($BM$27+3)&lt;=$BQ$27,$BP$27,""))))</f>
        <v/>
      </c>
      <c r="CD158" t="str" cm="1">
        <f t="array" ref="CD158">IF(NOT(AND($BN$28&lt;&gt;"",($BM$28+3)&lt;=$BO$28)),"",IF(T158&lt;&gt;"",IF(T158="-","",T158),IF(ISNUMBER(SEARCH(":",$BP$28)),IFERROR(_xlfn.LET(_xlpm.s,_xlfn.TEXTSPLIT($BP$28,","),_xlpm.k,FIND(":",_xlpm.s),INDEX(TRIM(LEFT(_xlpm.s,_xlpm.k-1)),_xlfn.XMATCH(($BM$28+3),_xlfn.SCAN(0,--MID(_xlpm.s,_xlpm.k+1,9),_xlfn.LAMBDA(_xlpm.a,_xlpm.v,_xlpm.a+_xlpm.v)),1))),""),IF(($BM$28+3)&lt;=$BQ$28,$BP$28,""))))</f>
        <v/>
      </c>
    </row>
    <row r="159" spans="2:82" x14ac:dyDescent="0.45">
      <c r="B159" s="6"/>
      <c r="C159" s="9" t="str">
        <f>IF(CA159="","",CA159&amp;"-"&amp;TEXT(COUNTIF($CA$72:$CA$95,CA159)+COUNTIF($CB$72:$CB$95,CA159)+COUNTIF($CC$72:$CC$95,CA159)+COUNTIF($CD$72:$CD$95,CA159)+COUNTIF($CA$100:$CA$123,CA159)+COUNTIF($CB$100:$CB$123,CA159)+COUNTIF($CC$100:$CC$123,CA159)+COUNTIF($CD$100:$CD$123,CA159)+COUNTIF($CA$128:$CA$151,CA159)+COUNTIF($CB$128:$CB$151,CA159)+COUNTIF($CC$128:$CC$151,CA159)+COUNTIF($CD$128:$CD$151,CA159)+COUNTIF($CA$156:CA159,CA159),"000"))</f>
        <v/>
      </c>
      <c r="D159" s="9" t="str">
        <f>IF(AND($BN$25&lt;&gt;"",($BM$25+4)&lt;=$BO$25),$BN$25,"")</f>
        <v/>
      </c>
      <c r="E159" s="9" t="str">
        <f>IF(AND($BN$25&lt;&gt;"",($BM$25+4)&lt;=$BO$25),TEXT(($BM$25+4),"00"),"")</f>
        <v/>
      </c>
      <c r="F159" s="9" t="str">
        <f>IF(AND($BN$25&lt;&gt;"",($BM$25+4)&lt;=$BO$25),$BN$25&amp;"-"&amp;TEXT(($BM$25+4),"00"),"")</f>
        <v/>
      </c>
      <c r="H159" s="6"/>
      <c r="I159" s="9" t="str">
        <f>IF(CB159="","",CB159&amp;"-"&amp;TEXT(COUNTIF($CA$72:$CA$95,CB159)+COUNTIF($CB$72:$CB$95,CB159)+COUNTIF($CC$72:$CC$95,CB159)+COUNTIF($CD$72:$CD$95,CB159)+COUNTIF($CA$100:$CA$123,CB159)+COUNTIF($CB$100:$CB$123,CB159)+COUNTIF($CC$100:$CC$123,CB159)+COUNTIF($CD$100:$CD$123,CB159)+COUNTIF($CA$128:$CA$151,CB159)+COUNTIF($CB$128:$CB$151,CB159)+COUNTIF($CC$128:$CC$151,CB159)+COUNTIF($CD$128:$CD$151,CB159)+COUNTIF($CA$156:$CA$179,CB159)+COUNTIF($CB$156:CB159,CB159),"000"))</f>
        <v/>
      </c>
      <c r="J159" s="9" t="str">
        <f>IF(AND($BN$26&lt;&gt;"",($BM$26+4)&lt;=$BO$26),$BN$26,"")</f>
        <v/>
      </c>
      <c r="K159" s="9" t="str">
        <f>IF(AND($BN$26&lt;&gt;"",($BM$26+4)&lt;=$BO$26),TEXT(($BM$26+4),"00"),"")</f>
        <v/>
      </c>
      <c r="L159" s="9" t="str">
        <f>IF(AND($BN$26&lt;&gt;"",($BM$26+4)&lt;=$BO$26),$BN$26&amp;"-"&amp;TEXT(($BM$26+4),"00"),"")</f>
        <v/>
      </c>
      <c r="N159" s="6"/>
      <c r="O159" s="9" t="str">
        <f>IF(CC159="","",CC159&amp;"-"&amp;TEXT(COUNTIF($CA$72:$CA$95,CC159)+COUNTIF($CB$72:$CB$95,CC159)+COUNTIF($CC$72:$CC$95,CC159)+COUNTIF($CD$72:$CD$95,CC159)+COUNTIF($CA$100:$CA$123,CC159)+COUNTIF($CB$100:$CB$123,CC159)+COUNTIF($CC$100:$CC$123,CC159)+COUNTIF($CD$100:$CD$123,CC159)+COUNTIF($CA$128:$CA$151,CC159)+COUNTIF($CB$128:$CB$151,CC159)+COUNTIF($CC$128:$CC$151,CC159)+COUNTIF($CD$128:$CD$151,CC159)+COUNTIF($CA$156:$CA$179,CC159)+COUNTIF($CB$156:$CB$179,CC159)+COUNTIF($CC$156:CC159,CC159),"000"))</f>
        <v/>
      </c>
      <c r="P159" s="9" t="str">
        <f>IF(AND($BN$27&lt;&gt;"",($BM$27+4)&lt;=$BO$27),$BN$27,"")</f>
        <v/>
      </c>
      <c r="Q159" s="9" t="str">
        <f>IF(AND($BN$27&lt;&gt;"",($BM$27+4)&lt;=$BO$27),TEXT(($BM$27+4),"00"),"")</f>
        <v/>
      </c>
      <c r="R159" s="9" t="str">
        <f>IF(AND($BN$27&lt;&gt;"",($BM$27+4)&lt;=$BO$27),$BN$27&amp;"-"&amp;TEXT(($BM$27+4),"00"),"")</f>
        <v/>
      </c>
      <c r="T159" s="6"/>
      <c r="U159" s="9" t="str">
        <f>IF(CD159="","",CD159&amp;"-"&amp;TEXT(COUNTIF($CA$72:$CA$95,CD159)+COUNTIF($CB$72:$CB$95,CD159)+COUNTIF($CC$72:$CC$95,CD159)+COUNTIF($CD$72:$CD$95,CD159)+COUNTIF($CA$100:$CA$123,CD159)+COUNTIF($CB$100:$CB$123,CD159)+COUNTIF($CC$100:$CC$123,CD159)+COUNTIF($CD$100:$CD$123,CD159)+COUNTIF($CA$128:$CA$151,CD159)+COUNTIF($CB$128:$CB$151,CD159)+COUNTIF($CC$128:$CC$151,CD159)+COUNTIF($CD$128:$CD$151,CD159)+COUNTIF($CA$156:$CA$179,CD159)+COUNTIF($CB$156:$CB$179,CD159)+COUNTIF($CC$156:$CC$179,CD159)+COUNTIF($CD$156:CD159,CD159),"000"))</f>
        <v/>
      </c>
      <c r="V159" s="9" t="str">
        <f>IF(AND($BN$28&lt;&gt;"",($BM$28+4)&lt;=$BO$28),$BN$28,"")</f>
        <v/>
      </c>
      <c r="W159" s="9" t="str">
        <f>IF(AND($BN$28&lt;&gt;"",($BM$28+4)&lt;=$BO$28),TEXT(($BM$28+4),"00"),"")</f>
        <v/>
      </c>
      <c r="X159" s="9" t="str">
        <f>IF(AND($BN$28&lt;&gt;"",($BM$28+4)&lt;=$BO$28),$BN$28&amp;"-"&amp;TEXT(($BM$28+4),"00"),"")</f>
        <v/>
      </c>
      <c r="CA159" t="str" cm="1">
        <f t="array" ref="CA159">IF(NOT(AND($BN$25&lt;&gt;"",($BM$25+4)&lt;=$BO$25)),"",IF(B159&lt;&gt;"",IF(B159="-","",B159),IF(ISNUMBER(SEARCH(":",$BP$25)),IFERROR(_xlfn.LET(_xlpm.s,_xlfn.TEXTSPLIT($BP$25,","),_xlpm.k,FIND(":",_xlpm.s),INDEX(TRIM(LEFT(_xlpm.s,_xlpm.k-1)),_xlfn.XMATCH(($BM$25+4),_xlfn.SCAN(0,--MID(_xlpm.s,_xlpm.k+1,9),_xlfn.LAMBDA(_xlpm.a,_xlpm.v,_xlpm.a+_xlpm.v)),1))),""),IF(($BM$25+4)&lt;=$BQ$25,$BP$25,""))))</f>
        <v/>
      </c>
      <c r="CB159" t="str" cm="1">
        <f t="array" ref="CB159">IF(NOT(AND($BN$26&lt;&gt;"",($BM$26+4)&lt;=$BO$26)),"",IF(H159&lt;&gt;"",IF(H159="-","",H159),IF(ISNUMBER(SEARCH(":",$BP$26)),IFERROR(_xlfn.LET(_xlpm.s,_xlfn.TEXTSPLIT($BP$26,","),_xlpm.k,FIND(":",_xlpm.s),INDEX(TRIM(LEFT(_xlpm.s,_xlpm.k-1)),_xlfn.XMATCH(($BM$26+4),_xlfn.SCAN(0,--MID(_xlpm.s,_xlpm.k+1,9),_xlfn.LAMBDA(_xlpm.a,_xlpm.v,_xlpm.a+_xlpm.v)),1))),""),IF(($BM$26+4)&lt;=$BQ$26,$BP$26,""))))</f>
        <v/>
      </c>
      <c r="CC159" t="str" cm="1">
        <f t="array" ref="CC159">IF(NOT(AND($BN$27&lt;&gt;"",($BM$27+4)&lt;=$BO$27)),"",IF(N159&lt;&gt;"",IF(N159="-","",N159),IF(ISNUMBER(SEARCH(":",$BP$27)),IFERROR(_xlfn.LET(_xlpm.s,_xlfn.TEXTSPLIT($BP$27,","),_xlpm.k,FIND(":",_xlpm.s),INDEX(TRIM(LEFT(_xlpm.s,_xlpm.k-1)),_xlfn.XMATCH(($BM$27+4),_xlfn.SCAN(0,--MID(_xlpm.s,_xlpm.k+1,9),_xlfn.LAMBDA(_xlpm.a,_xlpm.v,_xlpm.a+_xlpm.v)),1))),""),IF(($BM$27+4)&lt;=$BQ$27,$BP$27,""))))</f>
        <v/>
      </c>
      <c r="CD159" t="str" cm="1">
        <f t="array" ref="CD159">IF(NOT(AND($BN$28&lt;&gt;"",($BM$28+4)&lt;=$BO$28)),"",IF(T159&lt;&gt;"",IF(T159="-","",T159),IF(ISNUMBER(SEARCH(":",$BP$28)),IFERROR(_xlfn.LET(_xlpm.s,_xlfn.TEXTSPLIT($BP$28,","),_xlpm.k,FIND(":",_xlpm.s),INDEX(TRIM(LEFT(_xlpm.s,_xlpm.k-1)),_xlfn.XMATCH(($BM$28+4),_xlfn.SCAN(0,--MID(_xlpm.s,_xlpm.k+1,9),_xlfn.LAMBDA(_xlpm.a,_xlpm.v,_xlpm.a+_xlpm.v)),1))),""),IF(($BM$28+4)&lt;=$BQ$28,$BP$28,""))))</f>
        <v/>
      </c>
    </row>
    <row r="160" spans="2:82" x14ac:dyDescent="0.45">
      <c r="B160" s="6"/>
      <c r="C160" s="9" t="str">
        <f>IF(CA160="","",CA160&amp;"-"&amp;TEXT(COUNTIF($CA$72:$CA$95,CA160)+COUNTIF($CB$72:$CB$95,CA160)+COUNTIF($CC$72:$CC$95,CA160)+COUNTIF($CD$72:$CD$95,CA160)+COUNTIF($CA$100:$CA$123,CA160)+COUNTIF($CB$100:$CB$123,CA160)+COUNTIF($CC$100:$CC$123,CA160)+COUNTIF($CD$100:$CD$123,CA160)+COUNTIF($CA$128:$CA$151,CA160)+COUNTIF($CB$128:$CB$151,CA160)+COUNTIF($CC$128:$CC$151,CA160)+COUNTIF($CD$128:$CD$151,CA160)+COUNTIF($CA$156:CA160,CA160),"000"))</f>
        <v/>
      </c>
      <c r="D160" s="9" t="str">
        <f>IF(AND($BN$25&lt;&gt;"",($BM$25+5)&lt;=$BO$25),$BN$25,"")</f>
        <v/>
      </c>
      <c r="E160" s="9" t="str">
        <f>IF(AND($BN$25&lt;&gt;"",($BM$25+5)&lt;=$BO$25),TEXT(($BM$25+5),"00"),"")</f>
        <v/>
      </c>
      <c r="F160" s="9" t="str">
        <f>IF(AND($BN$25&lt;&gt;"",($BM$25+5)&lt;=$BO$25),$BN$25&amp;"-"&amp;TEXT(($BM$25+5),"00"),"")</f>
        <v/>
      </c>
      <c r="H160" s="6"/>
      <c r="I160" s="9" t="str">
        <f>IF(CB160="","",CB160&amp;"-"&amp;TEXT(COUNTIF($CA$72:$CA$95,CB160)+COUNTIF($CB$72:$CB$95,CB160)+COUNTIF($CC$72:$CC$95,CB160)+COUNTIF($CD$72:$CD$95,CB160)+COUNTIF($CA$100:$CA$123,CB160)+COUNTIF($CB$100:$CB$123,CB160)+COUNTIF($CC$100:$CC$123,CB160)+COUNTIF($CD$100:$CD$123,CB160)+COUNTIF($CA$128:$CA$151,CB160)+COUNTIF($CB$128:$CB$151,CB160)+COUNTIF($CC$128:$CC$151,CB160)+COUNTIF($CD$128:$CD$151,CB160)+COUNTIF($CA$156:$CA$179,CB160)+COUNTIF($CB$156:CB160,CB160),"000"))</f>
        <v/>
      </c>
      <c r="J160" s="9" t="str">
        <f>IF(AND($BN$26&lt;&gt;"",($BM$26+5)&lt;=$BO$26),$BN$26,"")</f>
        <v/>
      </c>
      <c r="K160" s="9" t="str">
        <f>IF(AND($BN$26&lt;&gt;"",($BM$26+5)&lt;=$BO$26),TEXT(($BM$26+5),"00"),"")</f>
        <v/>
      </c>
      <c r="L160" s="9" t="str">
        <f>IF(AND($BN$26&lt;&gt;"",($BM$26+5)&lt;=$BO$26),$BN$26&amp;"-"&amp;TEXT(($BM$26+5),"00"),"")</f>
        <v/>
      </c>
      <c r="N160" s="6"/>
      <c r="O160" s="9" t="str">
        <f>IF(CC160="","",CC160&amp;"-"&amp;TEXT(COUNTIF($CA$72:$CA$95,CC160)+COUNTIF($CB$72:$CB$95,CC160)+COUNTIF($CC$72:$CC$95,CC160)+COUNTIF($CD$72:$CD$95,CC160)+COUNTIF($CA$100:$CA$123,CC160)+COUNTIF($CB$100:$CB$123,CC160)+COUNTIF($CC$100:$CC$123,CC160)+COUNTIF($CD$100:$CD$123,CC160)+COUNTIF($CA$128:$CA$151,CC160)+COUNTIF($CB$128:$CB$151,CC160)+COUNTIF($CC$128:$CC$151,CC160)+COUNTIF($CD$128:$CD$151,CC160)+COUNTIF($CA$156:$CA$179,CC160)+COUNTIF($CB$156:$CB$179,CC160)+COUNTIF($CC$156:CC160,CC160),"000"))</f>
        <v/>
      </c>
      <c r="P160" s="9" t="str">
        <f>IF(AND($BN$27&lt;&gt;"",($BM$27+5)&lt;=$BO$27),$BN$27,"")</f>
        <v/>
      </c>
      <c r="Q160" s="9" t="str">
        <f>IF(AND($BN$27&lt;&gt;"",($BM$27+5)&lt;=$BO$27),TEXT(($BM$27+5),"00"),"")</f>
        <v/>
      </c>
      <c r="R160" s="9" t="str">
        <f>IF(AND($BN$27&lt;&gt;"",($BM$27+5)&lt;=$BO$27),$BN$27&amp;"-"&amp;TEXT(($BM$27+5),"00"),"")</f>
        <v/>
      </c>
      <c r="T160" s="6"/>
      <c r="U160" s="9" t="str">
        <f>IF(CD160="","",CD160&amp;"-"&amp;TEXT(COUNTIF($CA$72:$CA$95,CD160)+COUNTIF($CB$72:$CB$95,CD160)+COUNTIF($CC$72:$CC$95,CD160)+COUNTIF($CD$72:$CD$95,CD160)+COUNTIF($CA$100:$CA$123,CD160)+COUNTIF($CB$100:$CB$123,CD160)+COUNTIF($CC$100:$CC$123,CD160)+COUNTIF($CD$100:$CD$123,CD160)+COUNTIF($CA$128:$CA$151,CD160)+COUNTIF($CB$128:$CB$151,CD160)+COUNTIF($CC$128:$CC$151,CD160)+COUNTIF($CD$128:$CD$151,CD160)+COUNTIF($CA$156:$CA$179,CD160)+COUNTIF($CB$156:$CB$179,CD160)+COUNTIF($CC$156:$CC$179,CD160)+COUNTIF($CD$156:CD160,CD160),"000"))</f>
        <v/>
      </c>
      <c r="V160" s="9" t="str">
        <f>IF(AND($BN$28&lt;&gt;"",($BM$28+5)&lt;=$BO$28),$BN$28,"")</f>
        <v/>
      </c>
      <c r="W160" s="9" t="str">
        <f>IF(AND($BN$28&lt;&gt;"",($BM$28+5)&lt;=$BO$28),TEXT(($BM$28+5),"00"),"")</f>
        <v/>
      </c>
      <c r="X160" s="9" t="str">
        <f>IF(AND($BN$28&lt;&gt;"",($BM$28+5)&lt;=$BO$28),$BN$28&amp;"-"&amp;TEXT(($BM$28+5),"00"),"")</f>
        <v/>
      </c>
      <c r="CA160" t="str" cm="1">
        <f t="array" ref="CA160">IF(NOT(AND($BN$25&lt;&gt;"",($BM$25+5)&lt;=$BO$25)),"",IF(B160&lt;&gt;"",IF(B160="-","",B160),IF(ISNUMBER(SEARCH(":",$BP$25)),IFERROR(_xlfn.LET(_xlpm.s,_xlfn.TEXTSPLIT($BP$25,","),_xlpm.k,FIND(":",_xlpm.s),INDEX(TRIM(LEFT(_xlpm.s,_xlpm.k-1)),_xlfn.XMATCH(($BM$25+5),_xlfn.SCAN(0,--MID(_xlpm.s,_xlpm.k+1,9),_xlfn.LAMBDA(_xlpm.a,_xlpm.v,_xlpm.a+_xlpm.v)),1))),""),IF(($BM$25+5)&lt;=$BQ$25,$BP$25,""))))</f>
        <v/>
      </c>
      <c r="CB160" t="str" cm="1">
        <f t="array" ref="CB160">IF(NOT(AND($BN$26&lt;&gt;"",($BM$26+5)&lt;=$BO$26)),"",IF(H160&lt;&gt;"",IF(H160="-","",H160),IF(ISNUMBER(SEARCH(":",$BP$26)),IFERROR(_xlfn.LET(_xlpm.s,_xlfn.TEXTSPLIT($BP$26,","),_xlpm.k,FIND(":",_xlpm.s),INDEX(TRIM(LEFT(_xlpm.s,_xlpm.k-1)),_xlfn.XMATCH(($BM$26+5),_xlfn.SCAN(0,--MID(_xlpm.s,_xlpm.k+1,9),_xlfn.LAMBDA(_xlpm.a,_xlpm.v,_xlpm.a+_xlpm.v)),1))),""),IF(($BM$26+5)&lt;=$BQ$26,$BP$26,""))))</f>
        <v/>
      </c>
      <c r="CC160" t="str" cm="1">
        <f t="array" ref="CC160">IF(NOT(AND($BN$27&lt;&gt;"",($BM$27+5)&lt;=$BO$27)),"",IF(N160&lt;&gt;"",IF(N160="-","",N160),IF(ISNUMBER(SEARCH(":",$BP$27)),IFERROR(_xlfn.LET(_xlpm.s,_xlfn.TEXTSPLIT($BP$27,","),_xlpm.k,FIND(":",_xlpm.s),INDEX(TRIM(LEFT(_xlpm.s,_xlpm.k-1)),_xlfn.XMATCH(($BM$27+5),_xlfn.SCAN(0,--MID(_xlpm.s,_xlpm.k+1,9),_xlfn.LAMBDA(_xlpm.a,_xlpm.v,_xlpm.a+_xlpm.v)),1))),""),IF(($BM$27+5)&lt;=$BQ$27,$BP$27,""))))</f>
        <v/>
      </c>
      <c r="CD160" t="str" cm="1">
        <f t="array" ref="CD160">IF(NOT(AND($BN$28&lt;&gt;"",($BM$28+5)&lt;=$BO$28)),"",IF(T160&lt;&gt;"",IF(T160="-","",T160),IF(ISNUMBER(SEARCH(":",$BP$28)),IFERROR(_xlfn.LET(_xlpm.s,_xlfn.TEXTSPLIT($BP$28,","),_xlpm.k,FIND(":",_xlpm.s),INDEX(TRIM(LEFT(_xlpm.s,_xlpm.k-1)),_xlfn.XMATCH(($BM$28+5),_xlfn.SCAN(0,--MID(_xlpm.s,_xlpm.k+1,9),_xlfn.LAMBDA(_xlpm.a,_xlpm.v,_xlpm.a+_xlpm.v)),1))),""),IF(($BM$28+5)&lt;=$BQ$28,$BP$28,""))))</f>
        <v/>
      </c>
    </row>
    <row r="161" spans="2:82" x14ac:dyDescent="0.45">
      <c r="B161" s="6"/>
      <c r="C161" s="9" t="str">
        <f>IF(CA161="","",CA161&amp;"-"&amp;TEXT(COUNTIF($CA$72:$CA$95,CA161)+COUNTIF($CB$72:$CB$95,CA161)+COUNTIF($CC$72:$CC$95,CA161)+COUNTIF($CD$72:$CD$95,CA161)+COUNTIF($CA$100:$CA$123,CA161)+COUNTIF($CB$100:$CB$123,CA161)+COUNTIF($CC$100:$CC$123,CA161)+COUNTIF($CD$100:$CD$123,CA161)+COUNTIF($CA$128:$CA$151,CA161)+COUNTIF($CB$128:$CB$151,CA161)+COUNTIF($CC$128:$CC$151,CA161)+COUNTIF($CD$128:$CD$151,CA161)+COUNTIF($CA$156:CA161,CA161),"000"))</f>
        <v/>
      </c>
      <c r="D161" s="9" t="str">
        <f>IF(AND($BN$25&lt;&gt;"",($BM$25+6)&lt;=$BO$25),$BN$25,"")</f>
        <v/>
      </c>
      <c r="E161" s="9" t="str">
        <f>IF(AND($BN$25&lt;&gt;"",($BM$25+6)&lt;=$BO$25),TEXT(($BM$25+6),"00"),"")</f>
        <v/>
      </c>
      <c r="F161" s="9" t="str">
        <f>IF(AND($BN$25&lt;&gt;"",($BM$25+6)&lt;=$BO$25),$BN$25&amp;"-"&amp;TEXT(($BM$25+6),"00"),"")</f>
        <v/>
      </c>
      <c r="H161" s="6"/>
      <c r="I161" s="9" t="str">
        <f>IF(CB161="","",CB161&amp;"-"&amp;TEXT(COUNTIF($CA$72:$CA$95,CB161)+COUNTIF($CB$72:$CB$95,CB161)+COUNTIF($CC$72:$CC$95,CB161)+COUNTIF($CD$72:$CD$95,CB161)+COUNTIF($CA$100:$CA$123,CB161)+COUNTIF($CB$100:$CB$123,CB161)+COUNTIF($CC$100:$CC$123,CB161)+COUNTIF($CD$100:$CD$123,CB161)+COUNTIF($CA$128:$CA$151,CB161)+COUNTIF($CB$128:$CB$151,CB161)+COUNTIF($CC$128:$CC$151,CB161)+COUNTIF($CD$128:$CD$151,CB161)+COUNTIF($CA$156:$CA$179,CB161)+COUNTIF($CB$156:CB161,CB161),"000"))</f>
        <v/>
      </c>
      <c r="J161" s="9" t="str">
        <f>IF(AND($BN$26&lt;&gt;"",($BM$26+6)&lt;=$BO$26),$BN$26,"")</f>
        <v/>
      </c>
      <c r="K161" s="9" t="str">
        <f>IF(AND($BN$26&lt;&gt;"",($BM$26+6)&lt;=$BO$26),TEXT(($BM$26+6),"00"),"")</f>
        <v/>
      </c>
      <c r="L161" s="9" t="str">
        <f>IF(AND($BN$26&lt;&gt;"",($BM$26+6)&lt;=$BO$26),$BN$26&amp;"-"&amp;TEXT(($BM$26+6),"00"),"")</f>
        <v/>
      </c>
      <c r="N161" s="6"/>
      <c r="O161" s="9" t="str">
        <f>IF(CC161="","",CC161&amp;"-"&amp;TEXT(COUNTIF($CA$72:$CA$95,CC161)+COUNTIF($CB$72:$CB$95,CC161)+COUNTIF($CC$72:$CC$95,CC161)+COUNTIF($CD$72:$CD$95,CC161)+COUNTIF($CA$100:$CA$123,CC161)+COUNTIF($CB$100:$CB$123,CC161)+COUNTIF($CC$100:$CC$123,CC161)+COUNTIF($CD$100:$CD$123,CC161)+COUNTIF($CA$128:$CA$151,CC161)+COUNTIF($CB$128:$CB$151,CC161)+COUNTIF($CC$128:$CC$151,CC161)+COUNTIF($CD$128:$CD$151,CC161)+COUNTIF($CA$156:$CA$179,CC161)+COUNTIF($CB$156:$CB$179,CC161)+COUNTIF($CC$156:CC161,CC161),"000"))</f>
        <v/>
      </c>
      <c r="P161" s="9" t="str">
        <f>IF(AND($BN$27&lt;&gt;"",($BM$27+6)&lt;=$BO$27),$BN$27,"")</f>
        <v/>
      </c>
      <c r="Q161" s="9" t="str">
        <f>IF(AND($BN$27&lt;&gt;"",($BM$27+6)&lt;=$BO$27),TEXT(($BM$27+6),"00"),"")</f>
        <v/>
      </c>
      <c r="R161" s="9" t="str">
        <f>IF(AND($BN$27&lt;&gt;"",($BM$27+6)&lt;=$BO$27),$BN$27&amp;"-"&amp;TEXT(($BM$27+6),"00"),"")</f>
        <v/>
      </c>
      <c r="T161" s="6"/>
      <c r="U161" s="9" t="str">
        <f>IF(CD161="","",CD161&amp;"-"&amp;TEXT(COUNTIF($CA$72:$CA$95,CD161)+COUNTIF($CB$72:$CB$95,CD161)+COUNTIF($CC$72:$CC$95,CD161)+COUNTIF($CD$72:$CD$95,CD161)+COUNTIF($CA$100:$CA$123,CD161)+COUNTIF($CB$100:$CB$123,CD161)+COUNTIF($CC$100:$CC$123,CD161)+COUNTIF($CD$100:$CD$123,CD161)+COUNTIF($CA$128:$CA$151,CD161)+COUNTIF($CB$128:$CB$151,CD161)+COUNTIF($CC$128:$CC$151,CD161)+COUNTIF($CD$128:$CD$151,CD161)+COUNTIF($CA$156:$CA$179,CD161)+COUNTIF($CB$156:$CB$179,CD161)+COUNTIF($CC$156:$CC$179,CD161)+COUNTIF($CD$156:CD161,CD161),"000"))</f>
        <v/>
      </c>
      <c r="V161" s="9" t="str">
        <f>IF(AND($BN$28&lt;&gt;"",($BM$28+6)&lt;=$BO$28),$BN$28,"")</f>
        <v/>
      </c>
      <c r="W161" s="9" t="str">
        <f>IF(AND($BN$28&lt;&gt;"",($BM$28+6)&lt;=$BO$28),TEXT(($BM$28+6),"00"),"")</f>
        <v/>
      </c>
      <c r="X161" s="9" t="str">
        <f>IF(AND($BN$28&lt;&gt;"",($BM$28+6)&lt;=$BO$28),$BN$28&amp;"-"&amp;TEXT(($BM$28+6),"00"),"")</f>
        <v/>
      </c>
      <c r="CA161" t="str" cm="1">
        <f t="array" ref="CA161">IF(NOT(AND($BN$25&lt;&gt;"",($BM$25+6)&lt;=$BO$25)),"",IF(B161&lt;&gt;"",IF(B161="-","",B161),IF(ISNUMBER(SEARCH(":",$BP$25)),IFERROR(_xlfn.LET(_xlpm.s,_xlfn.TEXTSPLIT($BP$25,","),_xlpm.k,FIND(":",_xlpm.s),INDEX(TRIM(LEFT(_xlpm.s,_xlpm.k-1)),_xlfn.XMATCH(($BM$25+6),_xlfn.SCAN(0,--MID(_xlpm.s,_xlpm.k+1,9),_xlfn.LAMBDA(_xlpm.a,_xlpm.v,_xlpm.a+_xlpm.v)),1))),""),IF(($BM$25+6)&lt;=$BQ$25,$BP$25,""))))</f>
        <v/>
      </c>
      <c r="CB161" t="str" cm="1">
        <f t="array" ref="CB161">IF(NOT(AND($BN$26&lt;&gt;"",($BM$26+6)&lt;=$BO$26)),"",IF(H161&lt;&gt;"",IF(H161="-","",H161),IF(ISNUMBER(SEARCH(":",$BP$26)),IFERROR(_xlfn.LET(_xlpm.s,_xlfn.TEXTSPLIT($BP$26,","),_xlpm.k,FIND(":",_xlpm.s),INDEX(TRIM(LEFT(_xlpm.s,_xlpm.k-1)),_xlfn.XMATCH(($BM$26+6),_xlfn.SCAN(0,--MID(_xlpm.s,_xlpm.k+1,9),_xlfn.LAMBDA(_xlpm.a,_xlpm.v,_xlpm.a+_xlpm.v)),1))),""),IF(($BM$26+6)&lt;=$BQ$26,$BP$26,""))))</f>
        <v/>
      </c>
      <c r="CC161" t="str" cm="1">
        <f t="array" ref="CC161">IF(NOT(AND($BN$27&lt;&gt;"",($BM$27+6)&lt;=$BO$27)),"",IF(N161&lt;&gt;"",IF(N161="-","",N161),IF(ISNUMBER(SEARCH(":",$BP$27)),IFERROR(_xlfn.LET(_xlpm.s,_xlfn.TEXTSPLIT($BP$27,","),_xlpm.k,FIND(":",_xlpm.s),INDEX(TRIM(LEFT(_xlpm.s,_xlpm.k-1)),_xlfn.XMATCH(($BM$27+6),_xlfn.SCAN(0,--MID(_xlpm.s,_xlpm.k+1,9),_xlfn.LAMBDA(_xlpm.a,_xlpm.v,_xlpm.a+_xlpm.v)),1))),""),IF(($BM$27+6)&lt;=$BQ$27,$BP$27,""))))</f>
        <v/>
      </c>
      <c r="CD161" t="str" cm="1">
        <f t="array" ref="CD161">IF(NOT(AND($BN$28&lt;&gt;"",($BM$28+6)&lt;=$BO$28)),"",IF(T161&lt;&gt;"",IF(T161="-","",T161),IF(ISNUMBER(SEARCH(":",$BP$28)),IFERROR(_xlfn.LET(_xlpm.s,_xlfn.TEXTSPLIT($BP$28,","),_xlpm.k,FIND(":",_xlpm.s),INDEX(TRIM(LEFT(_xlpm.s,_xlpm.k-1)),_xlfn.XMATCH(($BM$28+6),_xlfn.SCAN(0,--MID(_xlpm.s,_xlpm.k+1,9),_xlfn.LAMBDA(_xlpm.a,_xlpm.v,_xlpm.a+_xlpm.v)),1))),""),IF(($BM$28+6)&lt;=$BQ$28,$BP$28,""))))</f>
        <v/>
      </c>
    </row>
    <row r="162" spans="2:82" x14ac:dyDescent="0.45">
      <c r="B162" s="6"/>
      <c r="C162" s="9" t="str">
        <f>IF(CA162="","",CA162&amp;"-"&amp;TEXT(COUNTIF($CA$72:$CA$95,CA162)+COUNTIF($CB$72:$CB$95,CA162)+COUNTIF($CC$72:$CC$95,CA162)+COUNTIF($CD$72:$CD$95,CA162)+COUNTIF($CA$100:$CA$123,CA162)+COUNTIF($CB$100:$CB$123,CA162)+COUNTIF($CC$100:$CC$123,CA162)+COUNTIF($CD$100:$CD$123,CA162)+COUNTIF($CA$128:$CA$151,CA162)+COUNTIF($CB$128:$CB$151,CA162)+COUNTIF($CC$128:$CC$151,CA162)+COUNTIF($CD$128:$CD$151,CA162)+COUNTIF($CA$156:CA162,CA162),"000"))</f>
        <v/>
      </c>
      <c r="D162" s="9" t="str">
        <f>IF(AND($BN$25&lt;&gt;"",($BM$25+7)&lt;=$BO$25),$BN$25,"")</f>
        <v/>
      </c>
      <c r="E162" s="9" t="str">
        <f>IF(AND($BN$25&lt;&gt;"",($BM$25+7)&lt;=$BO$25),TEXT(($BM$25+7),"00"),"")</f>
        <v/>
      </c>
      <c r="F162" s="9" t="str">
        <f>IF(AND($BN$25&lt;&gt;"",($BM$25+7)&lt;=$BO$25),$BN$25&amp;"-"&amp;TEXT(($BM$25+7),"00"),"")</f>
        <v/>
      </c>
      <c r="H162" s="6"/>
      <c r="I162" s="9" t="str">
        <f>IF(CB162="","",CB162&amp;"-"&amp;TEXT(COUNTIF($CA$72:$CA$95,CB162)+COUNTIF($CB$72:$CB$95,CB162)+COUNTIF($CC$72:$CC$95,CB162)+COUNTIF($CD$72:$CD$95,CB162)+COUNTIF($CA$100:$CA$123,CB162)+COUNTIF($CB$100:$CB$123,CB162)+COUNTIF($CC$100:$CC$123,CB162)+COUNTIF($CD$100:$CD$123,CB162)+COUNTIF($CA$128:$CA$151,CB162)+COUNTIF($CB$128:$CB$151,CB162)+COUNTIF($CC$128:$CC$151,CB162)+COUNTIF($CD$128:$CD$151,CB162)+COUNTIF($CA$156:$CA$179,CB162)+COUNTIF($CB$156:CB162,CB162),"000"))</f>
        <v/>
      </c>
      <c r="J162" s="9" t="str">
        <f>IF(AND($BN$26&lt;&gt;"",($BM$26+7)&lt;=$BO$26),$BN$26,"")</f>
        <v/>
      </c>
      <c r="K162" s="9" t="str">
        <f>IF(AND($BN$26&lt;&gt;"",($BM$26+7)&lt;=$BO$26),TEXT(($BM$26+7),"00"),"")</f>
        <v/>
      </c>
      <c r="L162" s="9" t="str">
        <f>IF(AND($BN$26&lt;&gt;"",($BM$26+7)&lt;=$BO$26),$BN$26&amp;"-"&amp;TEXT(($BM$26+7),"00"),"")</f>
        <v/>
      </c>
      <c r="N162" s="6"/>
      <c r="O162" s="9" t="str">
        <f>IF(CC162="","",CC162&amp;"-"&amp;TEXT(COUNTIF($CA$72:$CA$95,CC162)+COUNTIF($CB$72:$CB$95,CC162)+COUNTIF($CC$72:$CC$95,CC162)+COUNTIF($CD$72:$CD$95,CC162)+COUNTIF($CA$100:$CA$123,CC162)+COUNTIF($CB$100:$CB$123,CC162)+COUNTIF($CC$100:$CC$123,CC162)+COUNTIF($CD$100:$CD$123,CC162)+COUNTIF($CA$128:$CA$151,CC162)+COUNTIF($CB$128:$CB$151,CC162)+COUNTIF($CC$128:$CC$151,CC162)+COUNTIF($CD$128:$CD$151,CC162)+COUNTIF($CA$156:$CA$179,CC162)+COUNTIF($CB$156:$CB$179,CC162)+COUNTIF($CC$156:CC162,CC162),"000"))</f>
        <v/>
      </c>
      <c r="P162" s="9" t="str">
        <f>IF(AND($BN$27&lt;&gt;"",($BM$27+7)&lt;=$BO$27),$BN$27,"")</f>
        <v/>
      </c>
      <c r="Q162" s="9" t="str">
        <f>IF(AND($BN$27&lt;&gt;"",($BM$27+7)&lt;=$BO$27),TEXT(($BM$27+7),"00"),"")</f>
        <v/>
      </c>
      <c r="R162" s="9" t="str">
        <f>IF(AND($BN$27&lt;&gt;"",($BM$27+7)&lt;=$BO$27),$BN$27&amp;"-"&amp;TEXT(($BM$27+7),"00"),"")</f>
        <v/>
      </c>
      <c r="T162" s="6"/>
      <c r="U162" s="9" t="str">
        <f>IF(CD162="","",CD162&amp;"-"&amp;TEXT(COUNTIF($CA$72:$CA$95,CD162)+COUNTIF($CB$72:$CB$95,CD162)+COUNTIF($CC$72:$CC$95,CD162)+COUNTIF($CD$72:$CD$95,CD162)+COUNTIF($CA$100:$CA$123,CD162)+COUNTIF($CB$100:$CB$123,CD162)+COUNTIF($CC$100:$CC$123,CD162)+COUNTIF($CD$100:$CD$123,CD162)+COUNTIF($CA$128:$CA$151,CD162)+COUNTIF($CB$128:$CB$151,CD162)+COUNTIF($CC$128:$CC$151,CD162)+COUNTIF($CD$128:$CD$151,CD162)+COUNTIF($CA$156:$CA$179,CD162)+COUNTIF($CB$156:$CB$179,CD162)+COUNTIF($CC$156:$CC$179,CD162)+COUNTIF($CD$156:CD162,CD162),"000"))</f>
        <v/>
      </c>
      <c r="V162" s="9" t="str">
        <f>IF(AND($BN$28&lt;&gt;"",($BM$28+7)&lt;=$BO$28),$BN$28,"")</f>
        <v/>
      </c>
      <c r="W162" s="9" t="str">
        <f>IF(AND($BN$28&lt;&gt;"",($BM$28+7)&lt;=$BO$28),TEXT(($BM$28+7),"00"),"")</f>
        <v/>
      </c>
      <c r="X162" s="9" t="str">
        <f>IF(AND($BN$28&lt;&gt;"",($BM$28+7)&lt;=$BO$28),$BN$28&amp;"-"&amp;TEXT(($BM$28+7),"00"),"")</f>
        <v/>
      </c>
      <c r="CA162" t="str" cm="1">
        <f t="array" ref="CA162">IF(NOT(AND($BN$25&lt;&gt;"",($BM$25+7)&lt;=$BO$25)),"",IF(B162&lt;&gt;"",IF(B162="-","",B162),IF(ISNUMBER(SEARCH(":",$BP$25)),IFERROR(_xlfn.LET(_xlpm.s,_xlfn.TEXTSPLIT($BP$25,","),_xlpm.k,FIND(":",_xlpm.s),INDEX(TRIM(LEFT(_xlpm.s,_xlpm.k-1)),_xlfn.XMATCH(($BM$25+7),_xlfn.SCAN(0,--MID(_xlpm.s,_xlpm.k+1,9),_xlfn.LAMBDA(_xlpm.a,_xlpm.v,_xlpm.a+_xlpm.v)),1))),""),IF(($BM$25+7)&lt;=$BQ$25,$BP$25,""))))</f>
        <v/>
      </c>
      <c r="CB162" t="str" cm="1">
        <f t="array" ref="CB162">IF(NOT(AND($BN$26&lt;&gt;"",($BM$26+7)&lt;=$BO$26)),"",IF(H162&lt;&gt;"",IF(H162="-","",H162),IF(ISNUMBER(SEARCH(":",$BP$26)),IFERROR(_xlfn.LET(_xlpm.s,_xlfn.TEXTSPLIT($BP$26,","),_xlpm.k,FIND(":",_xlpm.s),INDEX(TRIM(LEFT(_xlpm.s,_xlpm.k-1)),_xlfn.XMATCH(($BM$26+7),_xlfn.SCAN(0,--MID(_xlpm.s,_xlpm.k+1,9),_xlfn.LAMBDA(_xlpm.a,_xlpm.v,_xlpm.a+_xlpm.v)),1))),""),IF(($BM$26+7)&lt;=$BQ$26,$BP$26,""))))</f>
        <v/>
      </c>
      <c r="CC162" t="str" cm="1">
        <f t="array" ref="CC162">IF(NOT(AND($BN$27&lt;&gt;"",($BM$27+7)&lt;=$BO$27)),"",IF(N162&lt;&gt;"",IF(N162="-","",N162),IF(ISNUMBER(SEARCH(":",$BP$27)),IFERROR(_xlfn.LET(_xlpm.s,_xlfn.TEXTSPLIT($BP$27,","),_xlpm.k,FIND(":",_xlpm.s),INDEX(TRIM(LEFT(_xlpm.s,_xlpm.k-1)),_xlfn.XMATCH(($BM$27+7),_xlfn.SCAN(0,--MID(_xlpm.s,_xlpm.k+1,9),_xlfn.LAMBDA(_xlpm.a,_xlpm.v,_xlpm.a+_xlpm.v)),1))),""),IF(($BM$27+7)&lt;=$BQ$27,$BP$27,""))))</f>
        <v/>
      </c>
      <c r="CD162" t="str" cm="1">
        <f t="array" ref="CD162">IF(NOT(AND($BN$28&lt;&gt;"",($BM$28+7)&lt;=$BO$28)),"",IF(T162&lt;&gt;"",IF(T162="-","",T162),IF(ISNUMBER(SEARCH(":",$BP$28)),IFERROR(_xlfn.LET(_xlpm.s,_xlfn.TEXTSPLIT($BP$28,","),_xlpm.k,FIND(":",_xlpm.s),INDEX(TRIM(LEFT(_xlpm.s,_xlpm.k-1)),_xlfn.XMATCH(($BM$28+7),_xlfn.SCAN(0,--MID(_xlpm.s,_xlpm.k+1,9),_xlfn.LAMBDA(_xlpm.a,_xlpm.v,_xlpm.a+_xlpm.v)),1))),""),IF(($BM$28+7)&lt;=$BQ$28,$BP$28,""))))</f>
        <v/>
      </c>
    </row>
    <row r="163" spans="2:82" x14ac:dyDescent="0.45">
      <c r="B163" s="6"/>
      <c r="C163" s="9" t="str">
        <f>IF(CA163="","",CA163&amp;"-"&amp;TEXT(COUNTIF($CA$72:$CA$95,CA163)+COUNTIF($CB$72:$CB$95,CA163)+COUNTIF($CC$72:$CC$95,CA163)+COUNTIF($CD$72:$CD$95,CA163)+COUNTIF($CA$100:$CA$123,CA163)+COUNTIF($CB$100:$CB$123,CA163)+COUNTIF($CC$100:$CC$123,CA163)+COUNTIF($CD$100:$CD$123,CA163)+COUNTIF($CA$128:$CA$151,CA163)+COUNTIF($CB$128:$CB$151,CA163)+COUNTIF($CC$128:$CC$151,CA163)+COUNTIF($CD$128:$CD$151,CA163)+COUNTIF($CA$156:CA163,CA163),"000"))</f>
        <v/>
      </c>
      <c r="D163" s="9" t="str">
        <f>IF(AND($BN$25&lt;&gt;"",($BM$25+8)&lt;=$BO$25),$BN$25,"")</f>
        <v/>
      </c>
      <c r="E163" s="9" t="str">
        <f>IF(AND($BN$25&lt;&gt;"",($BM$25+8)&lt;=$BO$25),TEXT(($BM$25+8),"00"),"")</f>
        <v/>
      </c>
      <c r="F163" s="9" t="str">
        <f>IF(AND($BN$25&lt;&gt;"",($BM$25+8)&lt;=$BO$25),$BN$25&amp;"-"&amp;TEXT(($BM$25+8),"00"),"")</f>
        <v/>
      </c>
      <c r="H163" s="6"/>
      <c r="I163" s="9" t="str">
        <f>IF(CB163="","",CB163&amp;"-"&amp;TEXT(COUNTIF($CA$72:$CA$95,CB163)+COUNTIF($CB$72:$CB$95,CB163)+COUNTIF($CC$72:$CC$95,CB163)+COUNTIF($CD$72:$CD$95,CB163)+COUNTIF($CA$100:$CA$123,CB163)+COUNTIF($CB$100:$CB$123,CB163)+COUNTIF($CC$100:$CC$123,CB163)+COUNTIF($CD$100:$CD$123,CB163)+COUNTIF($CA$128:$CA$151,CB163)+COUNTIF($CB$128:$CB$151,CB163)+COUNTIF($CC$128:$CC$151,CB163)+COUNTIF($CD$128:$CD$151,CB163)+COUNTIF($CA$156:$CA$179,CB163)+COUNTIF($CB$156:CB163,CB163),"000"))</f>
        <v/>
      </c>
      <c r="J163" s="9" t="str">
        <f>IF(AND($BN$26&lt;&gt;"",($BM$26+8)&lt;=$BO$26),$BN$26,"")</f>
        <v/>
      </c>
      <c r="K163" s="9" t="str">
        <f>IF(AND($BN$26&lt;&gt;"",($BM$26+8)&lt;=$BO$26),TEXT(($BM$26+8),"00"),"")</f>
        <v/>
      </c>
      <c r="L163" s="9" t="str">
        <f>IF(AND($BN$26&lt;&gt;"",($BM$26+8)&lt;=$BO$26),$BN$26&amp;"-"&amp;TEXT(($BM$26+8),"00"),"")</f>
        <v/>
      </c>
      <c r="N163" s="6"/>
      <c r="O163" s="9" t="str">
        <f>IF(CC163="","",CC163&amp;"-"&amp;TEXT(COUNTIF($CA$72:$CA$95,CC163)+COUNTIF($CB$72:$CB$95,CC163)+COUNTIF($CC$72:$CC$95,CC163)+COUNTIF($CD$72:$CD$95,CC163)+COUNTIF($CA$100:$CA$123,CC163)+COUNTIF($CB$100:$CB$123,CC163)+COUNTIF($CC$100:$CC$123,CC163)+COUNTIF($CD$100:$CD$123,CC163)+COUNTIF($CA$128:$CA$151,CC163)+COUNTIF($CB$128:$CB$151,CC163)+COUNTIF($CC$128:$CC$151,CC163)+COUNTIF($CD$128:$CD$151,CC163)+COUNTIF($CA$156:$CA$179,CC163)+COUNTIF($CB$156:$CB$179,CC163)+COUNTIF($CC$156:CC163,CC163),"000"))</f>
        <v/>
      </c>
      <c r="P163" s="9" t="str">
        <f>IF(AND($BN$27&lt;&gt;"",($BM$27+8)&lt;=$BO$27),$BN$27,"")</f>
        <v/>
      </c>
      <c r="Q163" s="9" t="str">
        <f>IF(AND($BN$27&lt;&gt;"",($BM$27+8)&lt;=$BO$27),TEXT(($BM$27+8),"00"),"")</f>
        <v/>
      </c>
      <c r="R163" s="9" t="str">
        <f>IF(AND($BN$27&lt;&gt;"",($BM$27+8)&lt;=$BO$27),$BN$27&amp;"-"&amp;TEXT(($BM$27+8),"00"),"")</f>
        <v/>
      </c>
      <c r="T163" s="6"/>
      <c r="U163" s="9" t="str">
        <f>IF(CD163="","",CD163&amp;"-"&amp;TEXT(COUNTIF($CA$72:$CA$95,CD163)+COUNTIF($CB$72:$CB$95,CD163)+COUNTIF($CC$72:$CC$95,CD163)+COUNTIF($CD$72:$CD$95,CD163)+COUNTIF($CA$100:$CA$123,CD163)+COUNTIF($CB$100:$CB$123,CD163)+COUNTIF($CC$100:$CC$123,CD163)+COUNTIF($CD$100:$CD$123,CD163)+COUNTIF($CA$128:$CA$151,CD163)+COUNTIF($CB$128:$CB$151,CD163)+COUNTIF($CC$128:$CC$151,CD163)+COUNTIF($CD$128:$CD$151,CD163)+COUNTIF($CA$156:$CA$179,CD163)+COUNTIF($CB$156:$CB$179,CD163)+COUNTIF($CC$156:$CC$179,CD163)+COUNTIF($CD$156:CD163,CD163),"000"))</f>
        <v/>
      </c>
      <c r="V163" s="9" t="str">
        <f>IF(AND($BN$28&lt;&gt;"",($BM$28+8)&lt;=$BO$28),$BN$28,"")</f>
        <v/>
      </c>
      <c r="W163" s="9" t="str">
        <f>IF(AND($BN$28&lt;&gt;"",($BM$28+8)&lt;=$BO$28),TEXT(($BM$28+8),"00"),"")</f>
        <v/>
      </c>
      <c r="X163" s="9" t="str">
        <f>IF(AND($BN$28&lt;&gt;"",($BM$28+8)&lt;=$BO$28),$BN$28&amp;"-"&amp;TEXT(($BM$28+8),"00"),"")</f>
        <v/>
      </c>
      <c r="CA163" t="str" cm="1">
        <f t="array" ref="CA163">IF(NOT(AND($BN$25&lt;&gt;"",($BM$25+8)&lt;=$BO$25)),"",IF(B163&lt;&gt;"",IF(B163="-","",B163),IF(ISNUMBER(SEARCH(":",$BP$25)),IFERROR(_xlfn.LET(_xlpm.s,_xlfn.TEXTSPLIT($BP$25,","),_xlpm.k,FIND(":",_xlpm.s),INDEX(TRIM(LEFT(_xlpm.s,_xlpm.k-1)),_xlfn.XMATCH(($BM$25+8),_xlfn.SCAN(0,--MID(_xlpm.s,_xlpm.k+1,9),_xlfn.LAMBDA(_xlpm.a,_xlpm.v,_xlpm.a+_xlpm.v)),1))),""),IF(($BM$25+8)&lt;=$BQ$25,$BP$25,""))))</f>
        <v/>
      </c>
      <c r="CB163" t="str" cm="1">
        <f t="array" ref="CB163">IF(NOT(AND($BN$26&lt;&gt;"",($BM$26+8)&lt;=$BO$26)),"",IF(H163&lt;&gt;"",IF(H163="-","",H163),IF(ISNUMBER(SEARCH(":",$BP$26)),IFERROR(_xlfn.LET(_xlpm.s,_xlfn.TEXTSPLIT($BP$26,","),_xlpm.k,FIND(":",_xlpm.s),INDEX(TRIM(LEFT(_xlpm.s,_xlpm.k-1)),_xlfn.XMATCH(($BM$26+8),_xlfn.SCAN(0,--MID(_xlpm.s,_xlpm.k+1,9),_xlfn.LAMBDA(_xlpm.a,_xlpm.v,_xlpm.a+_xlpm.v)),1))),""),IF(($BM$26+8)&lt;=$BQ$26,$BP$26,""))))</f>
        <v/>
      </c>
      <c r="CC163" t="str" cm="1">
        <f t="array" ref="CC163">IF(NOT(AND($BN$27&lt;&gt;"",($BM$27+8)&lt;=$BO$27)),"",IF(N163&lt;&gt;"",IF(N163="-","",N163),IF(ISNUMBER(SEARCH(":",$BP$27)),IFERROR(_xlfn.LET(_xlpm.s,_xlfn.TEXTSPLIT($BP$27,","),_xlpm.k,FIND(":",_xlpm.s),INDEX(TRIM(LEFT(_xlpm.s,_xlpm.k-1)),_xlfn.XMATCH(($BM$27+8),_xlfn.SCAN(0,--MID(_xlpm.s,_xlpm.k+1,9),_xlfn.LAMBDA(_xlpm.a,_xlpm.v,_xlpm.a+_xlpm.v)),1))),""),IF(($BM$27+8)&lt;=$BQ$27,$BP$27,""))))</f>
        <v/>
      </c>
      <c r="CD163" t="str" cm="1">
        <f t="array" ref="CD163">IF(NOT(AND($BN$28&lt;&gt;"",($BM$28+8)&lt;=$BO$28)),"",IF(T163&lt;&gt;"",IF(T163="-","",T163),IF(ISNUMBER(SEARCH(":",$BP$28)),IFERROR(_xlfn.LET(_xlpm.s,_xlfn.TEXTSPLIT($BP$28,","),_xlpm.k,FIND(":",_xlpm.s),INDEX(TRIM(LEFT(_xlpm.s,_xlpm.k-1)),_xlfn.XMATCH(($BM$28+8),_xlfn.SCAN(0,--MID(_xlpm.s,_xlpm.k+1,9),_xlfn.LAMBDA(_xlpm.a,_xlpm.v,_xlpm.a+_xlpm.v)),1))),""),IF(($BM$28+8)&lt;=$BQ$28,$BP$28,""))))</f>
        <v/>
      </c>
    </row>
    <row r="164" spans="2:82" x14ac:dyDescent="0.45">
      <c r="B164" s="6"/>
      <c r="C164" s="9" t="str">
        <f>IF(CA164="","",CA164&amp;"-"&amp;TEXT(COUNTIF($CA$72:$CA$95,CA164)+COUNTIF($CB$72:$CB$95,CA164)+COUNTIF($CC$72:$CC$95,CA164)+COUNTIF($CD$72:$CD$95,CA164)+COUNTIF($CA$100:$CA$123,CA164)+COUNTIF($CB$100:$CB$123,CA164)+COUNTIF($CC$100:$CC$123,CA164)+COUNTIF($CD$100:$CD$123,CA164)+COUNTIF($CA$128:$CA$151,CA164)+COUNTIF($CB$128:$CB$151,CA164)+COUNTIF($CC$128:$CC$151,CA164)+COUNTIF($CD$128:$CD$151,CA164)+COUNTIF($CA$156:CA164,CA164),"000"))</f>
        <v/>
      </c>
      <c r="D164" s="9" t="str">
        <f>IF(AND($BN$25&lt;&gt;"",($BM$25+9)&lt;=$BO$25),$BN$25,"")</f>
        <v/>
      </c>
      <c r="E164" s="9" t="str">
        <f>IF(AND($BN$25&lt;&gt;"",($BM$25+9)&lt;=$BO$25),TEXT(($BM$25+9),"00"),"")</f>
        <v/>
      </c>
      <c r="F164" s="9" t="str">
        <f>IF(AND($BN$25&lt;&gt;"",($BM$25+9)&lt;=$BO$25),$BN$25&amp;"-"&amp;TEXT(($BM$25+9),"00"),"")</f>
        <v/>
      </c>
      <c r="H164" s="6"/>
      <c r="I164" s="9" t="str">
        <f>IF(CB164="","",CB164&amp;"-"&amp;TEXT(COUNTIF($CA$72:$CA$95,CB164)+COUNTIF($CB$72:$CB$95,CB164)+COUNTIF($CC$72:$CC$95,CB164)+COUNTIF($CD$72:$CD$95,CB164)+COUNTIF($CA$100:$CA$123,CB164)+COUNTIF($CB$100:$CB$123,CB164)+COUNTIF($CC$100:$CC$123,CB164)+COUNTIF($CD$100:$CD$123,CB164)+COUNTIF($CA$128:$CA$151,CB164)+COUNTIF($CB$128:$CB$151,CB164)+COUNTIF($CC$128:$CC$151,CB164)+COUNTIF($CD$128:$CD$151,CB164)+COUNTIF($CA$156:$CA$179,CB164)+COUNTIF($CB$156:CB164,CB164),"000"))</f>
        <v/>
      </c>
      <c r="J164" s="9" t="str">
        <f>IF(AND($BN$26&lt;&gt;"",($BM$26+9)&lt;=$BO$26),$BN$26,"")</f>
        <v/>
      </c>
      <c r="K164" s="9" t="str">
        <f>IF(AND($BN$26&lt;&gt;"",($BM$26+9)&lt;=$BO$26),TEXT(($BM$26+9),"00"),"")</f>
        <v/>
      </c>
      <c r="L164" s="9" t="str">
        <f>IF(AND($BN$26&lt;&gt;"",($BM$26+9)&lt;=$BO$26),$BN$26&amp;"-"&amp;TEXT(($BM$26+9),"00"),"")</f>
        <v/>
      </c>
      <c r="N164" s="6"/>
      <c r="O164" s="9" t="str">
        <f>IF(CC164="","",CC164&amp;"-"&amp;TEXT(COUNTIF($CA$72:$CA$95,CC164)+COUNTIF($CB$72:$CB$95,CC164)+COUNTIF($CC$72:$CC$95,CC164)+COUNTIF($CD$72:$CD$95,CC164)+COUNTIF($CA$100:$CA$123,CC164)+COUNTIF($CB$100:$CB$123,CC164)+COUNTIF($CC$100:$CC$123,CC164)+COUNTIF($CD$100:$CD$123,CC164)+COUNTIF($CA$128:$CA$151,CC164)+COUNTIF($CB$128:$CB$151,CC164)+COUNTIF($CC$128:$CC$151,CC164)+COUNTIF($CD$128:$CD$151,CC164)+COUNTIF($CA$156:$CA$179,CC164)+COUNTIF($CB$156:$CB$179,CC164)+COUNTIF($CC$156:CC164,CC164),"000"))</f>
        <v/>
      </c>
      <c r="P164" s="9" t="str">
        <f>IF(AND($BN$27&lt;&gt;"",($BM$27+9)&lt;=$BO$27),$BN$27,"")</f>
        <v/>
      </c>
      <c r="Q164" s="9" t="str">
        <f>IF(AND($BN$27&lt;&gt;"",($BM$27+9)&lt;=$BO$27),TEXT(($BM$27+9),"00"),"")</f>
        <v/>
      </c>
      <c r="R164" s="9" t="str">
        <f>IF(AND($BN$27&lt;&gt;"",($BM$27+9)&lt;=$BO$27),$BN$27&amp;"-"&amp;TEXT(($BM$27+9),"00"),"")</f>
        <v/>
      </c>
      <c r="T164" s="6"/>
      <c r="U164" s="9" t="str">
        <f>IF(CD164="","",CD164&amp;"-"&amp;TEXT(COUNTIF($CA$72:$CA$95,CD164)+COUNTIF($CB$72:$CB$95,CD164)+COUNTIF($CC$72:$CC$95,CD164)+COUNTIF($CD$72:$CD$95,CD164)+COUNTIF($CA$100:$CA$123,CD164)+COUNTIF($CB$100:$CB$123,CD164)+COUNTIF($CC$100:$CC$123,CD164)+COUNTIF($CD$100:$CD$123,CD164)+COUNTIF($CA$128:$CA$151,CD164)+COUNTIF($CB$128:$CB$151,CD164)+COUNTIF($CC$128:$CC$151,CD164)+COUNTIF($CD$128:$CD$151,CD164)+COUNTIF($CA$156:$CA$179,CD164)+COUNTIF($CB$156:$CB$179,CD164)+COUNTIF($CC$156:$CC$179,CD164)+COUNTIF($CD$156:CD164,CD164),"000"))</f>
        <v/>
      </c>
      <c r="V164" s="9" t="str">
        <f>IF(AND($BN$28&lt;&gt;"",($BM$28+9)&lt;=$BO$28),$BN$28,"")</f>
        <v/>
      </c>
      <c r="W164" s="9" t="str">
        <f>IF(AND($BN$28&lt;&gt;"",($BM$28+9)&lt;=$BO$28),TEXT(($BM$28+9),"00"),"")</f>
        <v/>
      </c>
      <c r="X164" s="9" t="str">
        <f>IF(AND($BN$28&lt;&gt;"",($BM$28+9)&lt;=$BO$28),$BN$28&amp;"-"&amp;TEXT(($BM$28+9),"00"),"")</f>
        <v/>
      </c>
      <c r="CA164" t="str" cm="1">
        <f t="array" ref="CA164">IF(NOT(AND($BN$25&lt;&gt;"",($BM$25+9)&lt;=$BO$25)),"",IF(B164&lt;&gt;"",IF(B164="-","",B164),IF(ISNUMBER(SEARCH(":",$BP$25)),IFERROR(_xlfn.LET(_xlpm.s,_xlfn.TEXTSPLIT($BP$25,","),_xlpm.k,FIND(":",_xlpm.s),INDEX(TRIM(LEFT(_xlpm.s,_xlpm.k-1)),_xlfn.XMATCH(($BM$25+9),_xlfn.SCAN(0,--MID(_xlpm.s,_xlpm.k+1,9),_xlfn.LAMBDA(_xlpm.a,_xlpm.v,_xlpm.a+_xlpm.v)),1))),""),IF(($BM$25+9)&lt;=$BQ$25,$BP$25,""))))</f>
        <v/>
      </c>
      <c r="CB164" t="str" cm="1">
        <f t="array" ref="CB164">IF(NOT(AND($BN$26&lt;&gt;"",($BM$26+9)&lt;=$BO$26)),"",IF(H164&lt;&gt;"",IF(H164="-","",H164),IF(ISNUMBER(SEARCH(":",$BP$26)),IFERROR(_xlfn.LET(_xlpm.s,_xlfn.TEXTSPLIT($BP$26,","),_xlpm.k,FIND(":",_xlpm.s),INDEX(TRIM(LEFT(_xlpm.s,_xlpm.k-1)),_xlfn.XMATCH(($BM$26+9),_xlfn.SCAN(0,--MID(_xlpm.s,_xlpm.k+1,9),_xlfn.LAMBDA(_xlpm.a,_xlpm.v,_xlpm.a+_xlpm.v)),1))),""),IF(($BM$26+9)&lt;=$BQ$26,$BP$26,""))))</f>
        <v/>
      </c>
      <c r="CC164" t="str" cm="1">
        <f t="array" ref="CC164">IF(NOT(AND($BN$27&lt;&gt;"",($BM$27+9)&lt;=$BO$27)),"",IF(N164&lt;&gt;"",IF(N164="-","",N164),IF(ISNUMBER(SEARCH(":",$BP$27)),IFERROR(_xlfn.LET(_xlpm.s,_xlfn.TEXTSPLIT($BP$27,","),_xlpm.k,FIND(":",_xlpm.s),INDEX(TRIM(LEFT(_xlpm.s,_xlpm.k-1)),_xlfn.XMATCH(($BM$27+9),_xlfn.SCAN(0,--MID(_xlpm.s,_xlpm.k+1,9),_xlfn.LAMBDA(_xlpm.a,_xlpm.v,_xlpm.a+_xlpm.v)),1))),""),IF(($BM$27+9)&lt;=$BQ$27,$BP$27,""))))</f>
        <v/>
      </c>
      <c r="CD164" t="str" cm="1">
        <f t="array" ref="CD164">IF(NOT(AND($BN$28&lt;&gt;"",($BM$28+9)&lt;=$BO$28)),"",IF(T164&lt;&gt;"",IF(T164="-","",T164),IF(ISNUMBER(SEARCH(":",$BP$28)),IFERROR(_xlfn.LET(_xlpm.s,_xlfn.TEXTSPLIT($BP$28,","),_xlpm.k,FIND(":",_xlpm.s),INDEX(TRIM(LEFT(_xlpm.s,_xlpm.k-1)),_xlfn.XMATCH(($BM$28+9),_xlfn.SCAN(0,--MID(_xlpm.s,_xlpm.k+1,9),_xlfn.LAMBDA(_xlpm.a,_xlpm.v,_xlpm.a+_xlpm.v)),1))),""),IF(($BM$28+9)&lt;=$BQ$28,$BP$28,""))))</f>
        <v/>
      </c>
    </row>
    <row r="165" spans="2:82" x14ac:dyDescent="0.45">
      <c r="B165" s="6"/>
      <c r="C165" s="9" t="str">
        <f>IF(CA165="","",CA165&amp;"-"&amp;TEXT(COUNTIF($CA$72:$CA$95,CA165)+COUNTIF($CB$72:$CB$95,CA165)+COUNTIF($CC$72:$CC$95,CA165)+COUNTIF($CD$72:$CD$95,CA165)+COUNTIF($CA$100:$CA$123,CA165)+COUNTIF($CB$100:$CB$123,CA165)+COUNTIF($CC$100:$CC$123,CA165)+COUNTIF($CD$100:$CD$123,CA165)+COUNTIF($CA$128:$CA$151,CA165)+COUNTIF($CB$128:$CB$151,CA165)+COUNTIF($CC$128:$CC$151,CA165)+COUNTIF($CD$128:$CD$151,CA165)+COUNTIF($CA$156:CA165,CA165),"000"))</f>
        <v/>
      </c>
      <c r="D165" s="9" t="str">
        <f>IF(AND($BN$25&lt;&gt;"",($BM$25+10)&lt;=$BO$25),$BN$25,"")</f>
        <v/>
      </c>
      <c r="E165" s="9" t="str">
        <f>IF(AND($BN$25&lt;&gt;"",($BM$25+10)&lt;=$BO$25),TEXT(($BM$25+10),"00"),"")</f>
        <v/>
      </c>
      <c r="F165" s="9" t="str">
        <f>IF(AND($BN$25&lt;&gt;"",($BM$25+10)&lt;=$BO$25),$BN$25&amp;"-"&amp;TEXT(($BM$25+10),"00"),"")</f>
        <v/>
      </c>
      <c r="H165" s="6"/>
      <c r="I165" s="9" t="str">
        <f>IF(CB165="","",CB165&amp;"-"&amp;TEXT(COUNTIF($CA$72:$CA$95,CB165)+COUNTIF($CB$72:$CB$95,CB165)+COUNTIF($CC$72:$CC$95,CB165)+COUNTIF($CD$72:$CD$95,CB165)+COUNTIF($CA$100:$CA$123,CB165)+COUNTIF($CB$100:$CB$123,CB165)+COUNTIF($CC$100:$CC$123,CB165)+COUNTIF($CD$100:$CD$123,CB165)+COUNTIF($CA$128:$CA$151,CB165)+COUNTIF($CB$128:$CB$151,CB165)+COUNTIF($CC$128:$CC$151,CB165)+COUNTIF($CD$128:$CD$151,CB165)+COUNTIF($CA$156:$CA$179,CB165)+COUNTIF($CB$156:CB165,CB165),"000"))</f>
        <v/>
      </c>
      <c r="J165" s="9" t="str">
        <f>IF(AND($BN$26&lt;&gt;"",($BM$26+10)&lt;=$BO$26),$BN$26,"")</f>
        <v/>
      </c>
      <c r="K165" s="9" t="str">
        <f>IF(AND($BN$26&lt;&gt;"",($BM$26+10)&lt;=$BO$26),TEXT(($BM$26+10),"00"),"")</f>
        <v/>
      </c>
      <c r="L165" s="9" t="str">
        <f>IF(AND($BN$26&lt;&gt;"",($BM$26+10)&lt;=$BO$26),$BN$26&amp;"-"&amp;TEXT(($BM$26+10),"00"),"")</f>
        <v/>
      </c>
      <c r="N165" s="6"/>
      <c r="O165" s="9" t="str">
        <f>IF(CC165="","",CC165&amp;"-"&amp;TEXT(COUNTIF($CA$72:$CA$95,CC165)+COUNTIF($CB$72:$CB$95,CC165)+COUNTIF($CC$72:$CC$95,CC165)+COUNTIF($CD$72:$CD$95,CC165)+COUNTIF($CA$100:$CA$123,CC165)+COUNTIF($CB$100:$CB$123,CC165)+COUNTIF($CC$100:$CC$123,CC165)+COUNTIF($CD$100:$CD$123,CC165)+COUNTIF($CA$128:$CA$151,CC165)+COUNTIF($CB$128:$CB$151,CC165)+COUNTIF($CC$128:$CC$151,CC165)+COUNTIF($CD$128:$CD$151,CC165)+COUNTIF($CA$156:$CA$179,CC165)+COUNTIF($CB$156:$CB$179,CC165)+COUNTIF($CC$156:CC165,CC165),"000"))</f>
        <v/>
      </c>
      <c r="P165" s="9" t="str">
        <f>IF(AND($BN$27&lt;&gt;"",($BM$27+10)&lt;=$BO$27),$BN$27,"")</f>
        <v/>
      </c>
      <c r="Q165" s="9" t="str">
        <f>IF(AND($BN$27&lt;&gt;"",($BM$27+10)&lt;=$BO$27),TEXT(($BM$27+10),"00"),"")</f>
        <v/>
      </c>
      <c r="R165" s="9" t="str">
        <f>IF(AND($BN$27&lt;&gt;"",($BM$27+10)&lt;=$BO$27),$BN$27&amp;"-"&amp;TEXT(($BM$27+10),"00"),"")</f>
        <v/>
      </c>
      <c r="T165" s="6"/>
      <c r="U165" s="9" t="str">
        <f>IF(CD165="","",CD165&amp;"-"&amp;TEXT(COUNTIF($CA$72:$CA$95,CD165)+COUNTIF($CB$72:$CB$95,CD165)+COUNTIF($CC$72:$CC$95,CD165)+COUNTIF($CD$72:$CD$95,CD165)+COUNTIF($CA$100:$CA$123,CD165)+COUNTIF($CB$100:$CB$123,CD165)+COUNTIF($CC$100:$CC$123,CD165)+COUNTIF($CD$100:$CD$123,CD165)+COUNTIF($CA$128:$CA$151,CD165)+COUNTIF($CB$128:$CB$151,CD165)+COUNTIF($CC$128:$CC$151,CD165)+COUNTIF($CD$128:$CD$151,CD165)+COUNTIF($CA$156:$CA$179,CD165)+COUNTIF($CB$156:$CB$179,CD165)+COUNTIF($CC$156:$CC$179,CD165)+COUNTIF($CD$156:CD165,CD165),"000"))</f>
        <v/>
      </c>
      <c r="V165" s="9" t="str">
        <f>IF(AND($BN$28&lt;&gt;"",($BM$28+10)&lt;=$BO$28),$BN$28,"")</f>
        <v/>
      </c>
      <c r="W165" s="9" t="str">
        <f>IF(AND($BN$28&lt;&gt;"",($BM$28+10)&lt;=$BO$28),TEXT(($BM$28+10),"00"),"")</f>
        <v/>
      </c>
      <c r="X165" s="9" t="str">
        <f>IF(AND($BN$28&lt;&gt;"",($BM$28+10)&lt;=$BO$28),$BN$28&amp;"-"&amp;TEXT(($BM$28+10),"00"),"")</f>
        <v/>
      </c>
      <c r="CA165" t="str" cm="1">
        <f t="array" ref="CA165">IF(NOT(AND($BN$25&lt;&gt;"",($BM$25+10)&lt;=$BO$25)),"",IF(B165&lt;&gt;"",IF(B165="-","",B165),IF(ISNUMBER(SEARCH(":",$BP$25)),IFERROR(_xlfn.LET(_xlpm.s,_xlfn.TEXTSPLIT($BP$25,","),_xlpm.k,FIND(":",_xlpm.s),INDEX(TRIM(LEFT(_xlpm.s,_xlpm.k-1)),_xlfn.XMATCH(($BM$25+10),_xlfn.SCAN(0,--MID(_xlpm.s,_xlpm.k+1,9),_xlfn.LAMBDA(_xlpm.a,_xlpm.v,_xlpm.a+_xlpm.v)),1))),""),IF(($BM$25+10)&lt;=$BQ$25,$BP$25,""))))</f>
        <v/>
      </c>
      <c r="CB165" t="str" cm="1">
        <f t="array" ref="CB165">IF(NOT(AND($BN$26&lt;&gt;"",($BM$26+10)&lt;=$BO$26)),"",IF(H165&lt;&gt;"",IF(H165="-","",H165),IF(ISNUMBER(SEARCH(":",$BP$26)),IFERROR(_xlfn.LET(_xlpm.s,_xlfn.TEXTSPLIT($BP$26,","),_xlpm.k,FIND(":",_xlpm.s),INDEX(TRIM(LEFT(_xlpm.s,_xlpm.k-1)),_xlfn.XMATCH(($BM$26+10),_xlfn.SCAN(0,--MID(_xlpm.s,_xlpm.k+1,9),_xlfn.LAMBDA(_xlpm.a,_xlpm.v,_xlpm.a+_xlpm.v)),1))),""),IF(($BM$26+10)&lt;=$BQ$26,$BP$26,""))))</f>
        <v/>
      </c>
      <c r="CC165" t="str" cm="1">
        <f t="array" ref="CC165">IF(NOT(AND($BN$27&lt;&gt;"",($BM$27+10)&lt;=$BO$27)),"",IF(N165&lt;&gt;"",IF(N165="-","",N165),IF(ISNUMBER(SEARCH(":",$BP$27)),IFERROR(_xlfn.LET(_xlpm.s,_xlfn.TEXTSPLIT($BP$27,","),_xlpm.k,FIND(":",_xlpm.s),INDEX(TRIM(LEFT(_xlpm.s,_xlpm.k-1)),_xlfn.XMATCH(($BM$27+10),_xlfn.SCAN(0,--MID(_xlpm.s,_xlpm.k+1,9),_xlfn.LAMBDA(_xlpm.a,_xlpm.v,_xlpm.a+_xlpm.v)),1))),""),IF(($BM$27+10)&lt;=$BQ$27,$BP$27,""))))</f>
        <v/>
      </c>
      <c r="CD165" t="str" cm="1">
        <f t="array" ref="CD165">IF(NOT(AND($BN$28&lt;&gt;"",($BM$28+10)&lt;=$BO$28)),"",IF(T165&lt;&gt;"",IF(T165="-","",T165),IF(ISNUMBER(SEARCH(":",$BP$28)),IFERROR(_xlfn.LET(_xlpm.s,_xlfn.TEXTSPLIT($BP$28,","),_xlpm.k,FIND(":",_xlpm.s),INDEX(TRIM(LEFT(_xlpm.s,_xlpm.k-1)),_xlfn.XMATCH(($BM$28+10),_xlfn.SCAN(0,--MID(_xlpm.s,_xlpm.k+1,9),_xlfn.LAMBDA(_xlpm.a,_xlpm.v,_xlpm.a+_xlpm.v)),1))),""),IF(($BM$28+10)&lt;=$BQ$28,$BP$28,""))))</f>
        <v/>
      </c>
    </row>
    <row r="166" spans="2:82" x14ac:dyDescent="0.45">
      <c r="B166" s="6"/>
      <c r="C166" s="9" t="str">
        <f>IF(CA166="","",CA166&amp;"-"&amp;TEXT(COUNTIF($CA$72:$CA$95,CA166)+COUNTIF($CB$72:$CB$95,CA166)+COUNTIF($CC$72:$CC$95,CA166)+COUNTIF($CD$72:$CD$95,CA166)+COUNTIF($CA$100:$CA$123,CA166)+COUNTIF($CB$100:$CB$123,CA166)+COUNTIF($CC$100:$CC$123,CA166)+COUNTIF($CD$100:$CD$123,CA166)+COUNTIF($CA$128:$CA$151,CA166)+COUNTIF($CB$128:$CB$151,CA166)+COUNTIF($CC$128:$CC$151,CA166)+COUNTIF($CD$128:$CD$151,CA166)+COUNTIF($CA$156:CA166,CA166),"000"))</f>
        <v/>
      </c>
      <c r="D166" s="9" t="str">
        <f>IF(AND($BN$25&lt;&gt;"",($BM$25+11)&lt;=$BO$25),$BN$25,"")</f>
        <v/>
      </c>
      <c r="E166" s="9" t="str">
        <f>IF(AND($BN$25&lt;&gt;"",($BM$25+11)&lt;=$BO$25),TEXT(($BM$25+11),"00"),"")</f>
        <v/>
      </c>
      <c r="F166" s="9" t="str">
        <f>IF(AND($BN$25&lt;&gt;"",($BM$25+11)&lt;=$BO$25),$BN$25&amp;"-"&amp;TEXT(($BM$25+11),"00"),"")</f>
        <v/>
      </c>
      <c r="H166" s="6"/>
      <c r="I166" s="9" t="str">
        <f>IF(CB166="","",CB166&amp;"-"&amp;TEXT(COUNTIF($CA$72:$CA$95,CB166)+COUNTIF($CB$72:$CB$95,CB166)+COUNTIF($CC$72:$CC$95,CB166)+COUNTIF($CD$72:$CD$95,CB166)+COUNTIF($CA$100:$CA$123,CB166)+COUNTIF($CB$100:$CB$123,CB166)+COUNTIF($CC$100:$CC$123,CB166)+COUNTIF($CD$100:$CD$123,CB166)+COUNTIF($CA$128:$CA$151,CB166)+COUNTIF($CB$128:$CB$151,CB166)+COUNTIF($CC$128:$CC$151,CB166)+COUNTIF($CD$128:$CD$151,CB166)+COUNTIF($CA$156:$CA$179,CB166)+COUNTIF($CB$156:CB166,CB166),"000"))</f>
        <v/>
      </c>
      <c r="J166" s="9" t="str">
        <f>IF(AND($BN$26&lt;&gt;"",($BM$26+11)&lt;=$BO$26),$BN$26,"")</f>
        <v/>
      </c>
      <c r="K166" s="9" t="str">
        <f>IF(AND($BN$26&lt;&gt;"",($BM$26+11)&lt;=$BO$26),TEXT(($BM$26+11),"00"),"")</f>
        <v/>
      </c>
      <c r="L166" s="9" t="str">
        <f>IF(AND($BN$26&lt;&gt;"",($BM$26+11)&lt;=$BO$26),$BN$26&amp;"-"&amp;TEXT(($BM$26+11),"00"),"")</f>
        <v/>
      </c>
      <c r="N166" s="6"/>
      <c r="O166" s="9" t="str">
        <f>IF(CC166="","",CC166&amp;"-"&amp;TEXT(COUNTIF($CA$72:$CA$95,CC166)+COUNTIF($CB$72:$CB$95,CC166)+COUNTIF($CC$72:$CC$95,CC166)+COUNTIF($CD$72:$CD$95,CC166)+COUNTIF($CA$100:$CA$123,CC166)+COUNTIF($CB$100:$CB$123,CC166)+COUNTIF($CC$100:$CC$123,CC166)+COUNTIF($CD$100:$CD$123,CC166)+COUNTIF($CA$128:$CA$151,CC166)+COUNTIF($CB$128:$CB$151,CC166)+COUNTIF($CC$128:$CC$151,CC166)+COUNTIF($CD$128:$CD$151,CC166)+COUNTIF($CA$156:$CA$179,CC166)+COUNTIF($CB$156:$CB$179,CC166)+COUNTIF($CC$156:CC166,CC166),"000"))</f>
        <v/>
      </c>
      <c r="P166" s="9" t="str">
        <f>IF(AND($BN$27&lt;&gt;"",($BM$27+11)&lt;=$BO$27),$BN$27,"")</f>
        <v/>
      </c>
      <c r="Q166" s="9" t="str">
        <f>IF(AND($BN$27&lt;&gt;"",($BM$27+11)&lt;=$BO$27),TEXT(($BM$27+11),"00"),"")</f>
        <v/>
      </c>
      <c r="R166" s="9" t="str">
        <f>IF(AND($BN$27&lt;&gt;"",($BM$27+11)&lt;=$BO$27),$BN$27&amp;"-"&amp;TEXT(($BM$27+11),"00"),"")</f>
        <v/>
      </c>
      <c r="T166" s="6"/>
      <c r="U166" s="9" t="str">
        <f>IF(CD166="","",CD166&amp;"-"&amp;TEXT(COUNTIF($CA$72:$CA$95,CD166)+COUNTIF($CB$72:$CB$95,CD166)+COUNTIF($CC$72:$CC$95,CD166)+COUNTIF($CD$72:$CD$95,CD166)+COUNTIF($CA$100:$CA$123,CD166)+COUNTIF($CB$100:$CB$123,CD166)+COUNTIF($CC$100:$CC$123,CD166)+COUNTIF($CD$100:$CD$123,CD166)+COUNTIF($CA$128:$CA$151,CD166)+COUNTIF($CB$128:$CB$151,CD166)+COUNTIF($CC$128:$CC$151,CD166)+COUNTIF($CD$128:$CD$151,CD166)+COUNTIF($CA$156:$CA$179,CD166)+COUNTIF($CB$156:$CB$179,CD166)+COUNTIF($CC$156:$CC$179,CD166)+COUNTIF($CD$156:CD166,CD166),"000"))</f>
        <v/>
      </c>
      <c r="V166" s="9" t="str">
        <f>IF(AND($BN$28&lt;&gt;"",($BM$28+11)&lt;=$BO$28),$BN$28,"")</f>
        <v/>
      </c>
      <c r="W166" s="9" t="str">
        <f>IF(AND($BN$28&lt;&gt;"",($BM$28+11)&lt;=$BO$28),TEXT(($BM$28+11),"00"),"")</f>
        <v/>
      </c>
      <c r="X166" s="9" t="str">
        <f>IF(AND($BN$28&lt;&gt;"",($BM$28+11)&lt;=$BO$28),$BN$28&amp;"-"&amp;TEXT(($BM$28+11),"00"),"")</f>
        <v/>
      </c>
      <c r="CA166" t="str" cm="1">
        <f t="array" ref="CA166">IF(NOT(AND($BN$25&lt;&gt;"",($BM$25+11)&lt;=$BO$25)),"",IF(B166&lt;&gt;"",IF(B166="-","",B166),IF(ISNUMBER(SEARCH(":",$BP$25)),IFERROR(_xlfn.LET(_xlpm.s,_xlfn.TEXTSPLIT($BP$25,","),_xlpm.k,FIND(":",_xlpm.s),INDEX(TRIM(LEFT(_xlpm.s,_xlpm.k-1)),_xlfn.XMATCH(($BM$25+11),_xlfn.SCAN(0,--MID(_xlpm.s,_xlpm.k+1,9),_xlfn.LAMBDA(_xlpm.a,_xlpm.v,_xlpm.a+_xlpm.v)),1))),""),IF(($BM$25+11)&lt;=$BQ$25,$BP$25,""))))</f>
        <v/>
      </c>
      <c r="CB166" t="str" cm="1">
        <f t="array" ref="CB166">IF(NOT(AND($BN$26&lt;&gt;"",($BM$26+11)&lt;=$BO$26)),"",IF(H166&lt;&gt;"",IF(H166="-","",H166),IF(ISNUMBER(SEARCH(":",$BP$26)),IFERROR(_xlfn.LET(_xlpm.s,_xlfn.TEXTSPLIT($BP$26,","),_xlpm.k,FIND(":",_xlpm.s),INDEX(TRIM(LEFT(_xlpm.s,_xlpm.k-1)),_xlfn.XMATCH(($BM$26+11),_xlfn.SCAN(0,--MID(_xlpm.s,_xlpm.k+1,9),_xlfn.LAMBDA(_xlpm.a,_xlpm.v,_xlpm.a+_xlpm.v)),1))),""),IF(($BM$26+11)&lt;=$BQ$26,$BP$26,""))))</f>
        <v/>
      </c>
      <c r="CC166" t="str" cm="1">
        <f t="array" ref="CC166">IF(NOT(AND($BN$27&lt;&gt;"",($BM$27+11)&lt;=$BO$27)),"",IF(N166&lt;&gt;"",IF(N166="-","",N166),IF(ISNUMBER(SEARCH(":",$BP$27)),IFERROR(_xlfn.LET(_xlpm.s,_xlfn.TEXTSPLIT($BP$27,","),_xlpm.k,FIND(":",_xlpm.s),INDEX(TRIM(LEFT(_xlpm.s,_xlpm.k-1)),_xlfn.XMATCH(($BM$27+11),_xlfn.SCAN(0,--MID(_xlpm.s,_xlpm.k+1,9),_xlfn.LAMBDA(_xlpm.a,_xlpm.v,_xlpm.a+_xlpm.v)),1))),""),IF(($BM$27+11)&lt;=$BQ$27,$BP$27,""))))</f>
        <v/>
      </c>
      <c r="CD166" t="str" cm="1">
        <f t="array" ref="CD166">IF(NOT(AND($BN$28&lt;&gt;"",($BM$28+11)&lt;=$BO$28)),"",IF(T166&lt;&gt;"",IF(T166="-","",T166),IF(ISNUMBER(SEARCH(":",$BP$28)),IFERROR(_xlfn.LET(_xlpm.s,_xlfn.TEXTSPLIT($BP$28,","),_xlpm.k,FIND(":",_xlpm.s),INDEX(TRIM(LEFT(_xlpm.s,_xlpm.k-1)),_xlfn.XMATCH(($BM$28+11),_xlfn.SCAN(0,--MID(_xlpm.s,_xlpm.k+1,9),_xlfn.LAMBDA(_xlpm.a,_xlpm.v,_xlpm.a+_xlpm.v)),1))),""),IF(($BM$28+11)&lt;=$BQ$28,$BP$28,""))))</f>
        <v/>
      </c>
    </row>
    <row r="167" spans="2:82" x14ac:dyDescent="0.45">
      <c r="B167" s="6"/>
      <c r="C167" s="9" t="str">
        <f>IF(CA167="","",CA167&amp;"-"&amp;TEXT(COUNTIF($CA$72:$CA$95,CA167)+COUNTIF($CB$72:$CB$95,CA167)+COUNTIF($CC$72:$CC$95,CA167)+COUNTIF($CD$72:$CD$95,CA167)+COUNTIF($CA$100:$CA$123,CA167)+COUNTIF($CB$100:$CB$123,CA167)+COUNTIF($CC$100:$CC$123,CA167)+COUNTIF($CD$100:$CD$123,CA167)+COUNTIF($CA$128:$CA$151,CA167)+COUNTIF($CB$128:$CB$151,CA167)+COUNTIF($CC$128:$CC$151,CA167)+COUNTIF($CD$128:$CD$151,CA167)+COUNTIF($CA$156:CA167,CA167),"000"))</f>
        <v/>
      </c>
      <c r="D167" s="9" t="str">
        <f>IF(AND($BN$25&lt;&gt;"",($BM$25+12)&lt;=$BO$25),$BN$25,"")</f>
        <v/>
      </c>
      <c r="E167" s="9" t="str">
        <f>IF(AND($BN$25&lt;&gt;"",($BM$25+12)&lt;=$BO$25),TEXT(($BM$25+12),"00"),"")</f>
        <v/>
      </c>
      <c r="F167" s="9" t="str">
        <f>IF(AND($BN$25&lt;&gt;"",($BM$25+12)&lt;=$BO$25),$BN$25&amp;"-"&amp;TEXT(($BM$25+12),"00"),"")</f>
        <v/>
      </c>
      <c r="H167" s="6"/>
      <c r="I167" s="9" t="str">
        <f>IF(CB167="","",CB167&amp;"-"&amp;TEXT(COUNTIF($CA$72:$CA$95,CB167)+COUNTIF($CB$72:$CB$95,CB167)+COUNTIF($CC$72:$CC$95,CB167)+COUNTIF($CD$72:$CD$95,CB167)+COUNTIF($CA$100:$CA$123,CB167)+COUNTIF($CB$100:$CB$123,CB167)+COUNTIF($CC$100:$CC$123,CB167)+COUNTIF($CD$100:$CD$123,CB167)+COUNTIF($CA$128:$CA$151,CB167)+COUNTIF($CB$128:$CB$151,CB167)+COUNTIF($CC$128:$CC$151,CB167)+COUNTIF($CD$128:$CD$151,CB167)+COUNTIF($CA$156:$CA$179,CB167)+COUNTIF($CB$156:CB167,CB167),"000"))</f>
        <v/>
      </c>
      <c r="J167" s="9" t="str">
        <f>IF(AND($BN$26&lt;&gt;"",($BM$26+12)&lt;=$BO$26),$BN$26,"")</f>
        <v/>
      </c>
      <c r="K167" s="9" t="str">
        <f>IF(AND($BN$26&lt;&gt;"",($BM$26+12)&lt;=$BO$26),TEXT(($BM$26+12),"00"),"")</f>
        <v/>
      </c>
      <c r="L167" s="9" t="str">
        <f>IF(AND($BN$26&lt;&gt;"",($BM$26+12)&lt;=$BO$26),$BN$26&amp;"-"&amp;TEXT(($BM$26+12),"00"),"")</f>
        <v/>
      </c>
      <c r="N167" s="6"/>
      <c r="O167" s="9" t="str">
        <f>IF(CC167="","",CC167&amp;"-"&amp;TEXT(COUNTIF($CA$72:$CA$95,CC167)+COUNTIF($CB$72:$CB$95,CC167)+COUNTIF($CC$72:$CC$95,CC167)+COUNTIF($CD$72:$CD$95,CC167)+COUNTIF($CA$100:$CA$123,CC167)+COUNTIF($CB$100:$CB$123,CC167)+COUNTIF($CC$100:$CC$123,CC167)+COUNTIF($CD$100:$CD$123,CC167)+COUNTIF($CA$128:$CA$151,CC167)+COUNTIF($CB$128:$CB$151,CC167)+COUNTIF($CC$128:$CC$151,CC167)+COUNTIF($CD$128:$CD$151,CC167)+COUNTIF($CA$156:$CA$179,CC167)+COUNTIF($CB$156:$CB$179,CC167)+COUNTIF($CC$156:CC167,CC167),"000"))</f>
        <v/>
      </c>
      <c r="P167" s="9" t="str">
        <f>IF(AND($BN$27&lt;&gt;"",($BM$27+12)&lt;=$BO$27),$BN$27,"")</f>
        <v/>
      </c>
      <c r="Q167" s="9" t="str">
        <f>IF(AND($BN$27&lt;&gt;"",($BM$27+12)&lt;=$BO$27),TEXT(($BM$27+12),"00"),"")</f>
        <v/>
      </c>
      <c r="R167" s="9" t="str">
        <f>IF(AND($BN$27&lt;&gt;"",($BM$27+12)&lt;=$BO$27),$BN$27&amp;"-"&amp;TEXT(($BM$27+12),"00"),"")</f>
        <v/>
      </c>
      <c r="T167" s="6"/>
      <c r="U167" s="9" t="str">
        <f>IF(CD167="","",CD167&amp;"-"&amp;TEXT(COUNTIF($CA$72:$CA$95,CD167)+COUNTIF($CB$72:$CB$95,CD167)+COUNTIF($CC$72:$CC$95,CD167)+COUNTIF($CD$72:$CD$95,CD167)+COUNTIF($CA$100:$CA$123,CD167)+COUNTIF($CB$100:$CB$123,CD167)+COUNTIF($CC$100:$CC$123,CD167)+COUNTIF($CD$100:$CD$123,CD167)+COUNTIF($CA$128:$CA$151,CD167)+COUNTIF($CB$128:$CB$151,CD167)+COUNTIF($CC$128:$CC$151,CD167)+COUNTIF($CD$128:$CD$151,CD167)+COUNTIF($CA$156:$CA$179,CD167)+COUNTIF($CB$156:$CB$179,CD167)+COUNTIF($CC$156:$CC$179,CD167)+COUNTIF($CD$156:CD167,CD167),"000"))</f>
        <v/>
      </c>
      <c r="V167" s="9" t="str">
        <f>IF(AND($BN$28&lt;&gt;"",($BM$28+12)&lt;=$BO$28),$BN$28,"")</f>
        <v/>
      </c>
      <c r="W167" s="9" t="str">
        <f>IF(AND($BN$28&lt;&gt;"",($BM$28+12)&lt;=$BO$28),TEXT(($BM$28+12),"00"),"")</f>
        <v/>
      </c>
      <c r="X167" s="9" t="str">
        <f>IF(AND($BN$28&lt;&gt;"",($BM$28+12)&lt;=$BO$28),$BN$28&amp;"-"&amp;TEXT(($BM$28+12),"00"),"")</f>
        <v/>
      </c>
      <c r="CA167" t="str" cm="1">
        <f t="array" ref="CA167">IF(NOT(AND($BN$25&lt;&gt;"",($BM$25+12)&lt;=$BO$25)),"",IF(B167&lt;&gt;"",IF(B167="-","",B167),IF(ISNUMBER(SEARCH(":",$BP$25)),IFERROR(_xlfn.LET(_xlpm.s,_xlfn.TEXTSPLIT($BP$25,","),_xlpm.k,FIND(":",_xlpm.s),INDEX(TRIM(LEFT(_xlpm.s,_xlpm.k-1)),_xlfn.XMATCH(($BM$25+12),_xlfn.SCAN(0,--MID(_xlpm.s,_xlpm.k+1,9),_xlfn.LAMBDA(_xlpm.a,_xlpm.v,_xlpm.a+_xlpm.v)),1))),""),IF(($BM$25+12)&lt;=$BQ$25,$BP$25,""))))</f>
        <v/>
      </c>
      <c r="CB167" t="str" cm="1">
        <f t="array" ref="CB167">IF(NOT(AND($BN$26&lt;&gt;"",($BM$26+12)&lt;=$BO$26)),"",IF(H167&lt;&gt;"",IF(H167="-","",H167),IF(ISNUMBER(SEARCH(":",$BP$26)),IFERROR(_xlfn.LET(_xlpm.s,_xlfn.TEXTSPLIT($BP$26,","),_xlpm.k,FIND(":",_xlpm.s),INDEX(TRIM(LEFT(_xlpm.s,_xlpm.k-1)),_xlfn.XMATCH(($BM$26+12),_xlfn.SCAN(0,--MID(_xlpm.s,_xlpm.k+1,9),_xlfn.LAMBDA(_xlpm.a,_xlpm.v,_xlpm.a+_xlpm.v)),1))),""),IF(($BM$26+12)&lt;=$BQ$26,$BP$26,""))))</f>
        <v/>
      </c>
      <c r="CC167" t="str" cm="1">
        <f t="array" ref="CC167">IF(NOT(AND($BN$27&lt;&gt;"",($BM$27+12)&lt;=$BO$27)),"",IF(N167&lt;&gt;"",IF(N167="-","",N167),IF(ISNUMBER(SEARCH(":",$BP$27)),IFERROR(_xlfn.LET(_xlpm.s,_xlfn.TEXTSPLIT($BP$27,","),_xlpm.k,FIND(":",_xlpm.s),INDEX(TRIM(LEFT(_xlpm.s,_xlpm.k-1)),_xlfn.XMATCH(($BM$27+12),_xlfn.SCAN(0,--MID(_xlpm.s,_xlpm.k+1,9),_xlfn.LAMBDA(_xlpm.a,_xlpm.v,_xlpm.a+_xlpm.v)),1))),""),IF(($BM$27+12)&lt;=$BQ$27,$BP$27,""))))</f>
        <v/>
      </c>
      <c r="CD167" t="str" cm="1">
        <f t="array" ref="CD167">IF(NOT(AND($BN$28&lt;&gt;"",($BM$28+12)&lt;=$BO$28)),"",IF(T167&lt;&gt;"",IF(T167="-","",T167),IF(ISNUMBER(SEARCH(":",$BP$28)),IFERROR(_xlfn.LET(_xlpm.s,_xlfn.TEXTSPLIT($BP$28,","),_xlpm.k,FIND(":",_xlpm.s),INDEX(TRIM(LEFT(_xlpm.s,_xlpm.k-1)),_xlfn.XMATCH(($BM$28+12),_xlfn.SCAN(0,--MID(_xlpm.s,_xlpm.k+1,9),_xlfn.LAMBDA(_xlpm.a,_xlpm.v,_xlpm.a+_xlpm.v)),1))),""),IF(($BM$28+12)&lt;=$BQ$28,$BP$28,""))))</f>
        <v/>
      </c>
    </row>
    <row r="168" spans="2:82" x14ac:dyDescent="0.45">
      <c r="B168" s="6"/>
      <c r="C168" s="9" t="str">
        <f>IF(CA168="","",CA168&amp;"-"&amp;TEXT(COUNTIF($CA$72:$CA$95,CA168)+COUNTIF($CB$72:$CB$95,CA168)+COUNTIF($CC$72:$CC$95,CA168)+COUNTIF($CD$72:$CD$95,CA168)+COUNTIF($CA$100:$CA$123,CA168)+COUNTIF($CB$100:$CB$123,CA168)+COUNTIF($CC$100:$CC$123,CA168)+COUNTIF($CD$100:$CD$123,CA168)+COUNTIF($CA$128:$CA$151,CA168)+COUNTIF($CB$128:$CB$151,CA168)+COUNTIF($CC$128:$CC$151,CA168)+COUNTIF($CD$128:$CD$151,CA168)+COUNTIF($CA$156:CA168,CA168),"000"))</f>
        <v/>
      </c>
      <c r="D168" s="9" t="str">
        <f>IF(AND($BN$25&lt;&gt;"",($BM$25+13)&lt;=$BO$25),$BN$25,"")</f>
        <v/>
      </c>
      <c r="E168" s="9" t="str">
        <f>IF(AND($BN$25&lt;&gt;"",($BM$25+13)&lt;=$BO$25),TEXT(($BM$25+13),"00"),"")</f>
        <v/>
      </c>
      <c r="F168" s="9" t="str">
        <f>IF(AND($BN$25&lt;&gt;"",($BM$25+13)&lt;=$BO$25),$BN$25&amp;"-"&amp;TEXT(($BM$25+13),"00"),"")</f>
        <v/>
      </c>
      <c r="H168" s="6"/>
      <c r="I168" s="9" t="str">
        <f>IF(CB168="","",CB168&amp;"-"&amp;TEXT(COUNTIF($CA$72:$CA$95,CB168)+COUNTIF($CB$72:$CB$95,CB168)+COUNTIF($CC$72:$CC$95,CB168)+COUNTIF($CD$72:$CD$95,CB168)+COUNTIF($CA$100:$CA$123,CB168)+COUNTIF($CB$100:$CB$123,CB168)+COUNTIF($CC$100:$CC$123,CB168)+COUNTIF($CD$100:$CD$123,CB168)+COUNTIF($CA$128:$CA$151,CB168)+COUNTIF($CB$128:$CB$151,CB168)+COUNTIF($CC$128:$CC$151,CB168)+COUNTIF($CD$128:$CD$151,CB168)+COUNTIF($CA$156:$CA$179,CB168)+COUNTIF($CB$156:CB168,CB168),"000"))</f>
        <v/>
      </c>
      <c r="J168" s="9" t="str">
        <f>IF(AND($BN$26&lt;&gt;"",($BM$26+13)&lt;=$BO$26),$BN$26,"")</f>
        <v/>
      </c>
      <c r="K168" s="9" t="str">
        <f>IF(AND($BN$26&lt;&gt;"",($BM$26+13)&lt;=$BO$26),TEXT(($BM$26+13),"00"),"")</f>
        <v/>
      </c>
      <c r="L168" s="9" t="str">
        <f>IF(AND($BN$26&lt;&gt;"",($BM$26+13)&lt;=$BO$26),$BN$26&amp;"-"&amp;TEXT(($BM$26+13),"00"),"")</f>
        <v/>
      </c>
      <c r="N168" s="6"/>
      <c r="O168" s="9" t="str">
        <f>IF(CC168="","",CC168&amp;"-"&amp;TEXT(COUNTIF($CA$72:$CA$95,CC168)+COUNTIF($CB$72:$CB$95,CC168)+COUNTIF($CC$72:$CC$95,CC168)+COUNTIF($CD$72:$CD$95,CC168)+COUNTIF($CA$100:$CA$123,CC168)+COUNTIF($CB$100:$CB$123,CC168)+COUNTIF($CC$100:$CC$123,CC168)+COUNTIF($CD$100:$CD$123,CC168)+COUNTIF($CA$128:$CA$151,CC168)+COUNTIF($CB$128:$CB$151,CC168)+COUNTIF($CC$128:$CC$151,CC168)+COUNTIF($CD$128:$CD$151,CC168)+COUNTIF($CA$156:$CA$179,CC168)+COUNTIF($CB$156:$CB$179,CC168)+COUNTIF($CC$156:CC168,CC168),"000"))</f>
        <v/>
      </c>
      <c r="P168" s="9" t="str">
        <f>IF(AND($BN$27&lt;&gt;"",($BM$27+13)&lt;=$BO$27),$BN$27,"")</f>
        <v/>
      </c>
      <c r="Q168" s="9" t="str">
        <f>IF(AND($BN$27&lt;&gt;"",($BM$27+13)&lt;=$BO$27),TEXT(($BM$27+13),"00"),"")</f>
        <v/>
      </c>
      <c r="R168" s="9" t="str">
        <f>IF(AND($BN$27&lt;&gt;"",($BM$27+13)&lt;=$BO$27),$BN$27&amp;"-"&amp;TEXT(($BM$27+13),"00"),"")</f>
        <v/>
      </c>
      <c r="T168" s="6"/>
      <c r="U168" s="9" t="str">
        <f>IF(CD168="","",CD168&amp;"-"&amp;TEXT(COUNTIF($CA$72:$CA$95,CD168)+COUNTIF($CB$72:$CB$95,CD168)+COUNTIF($CC$72:$CC$95,CD168)+COUNTIF($CD$72:$CD$95,CD168)+COUNTIF($CA$100:$CA$123,CD168)+COUNTIF($CB$100:$CB$123,CD168)+COUNTIF($CC$100:$CC$123,CD168)+COUNTIF($CD$100:$CD$123,CD168)+COUNTIF($CA$128:$CA$151,CD168)+COUNTIF($CB$128:$CB$151,CD168)+COUNTIF($CC$128:$CC$151,CD168)+COUNTIF($CD$128:$CD$151,CD168)+COUNTIF($CA$156:$CA$179,CD168)+COUNTIF($CB$156:$CB$179,CD168)+COUNTIF($CC$156:$CC$179,CD168)+COUNTIF($CD$156:CD168,CD168),"000"))</f>
        <v/>
      </c>
      <c r="V168" s="9" t="str">
        <f>IF(AND($BN$28&lt;&gt;"",($BM$28+13)&lt;=$BO$28),$BN$28,"")</f>
        <v/>
      </c>
      <c r="W168" s="9" t="str">
        <f>IF(AND($BN$28&lt;&gt;"",($BM$28+13)&lt;=$BO$28),TEXT(($BM$28+13),"00"),"")</f>
        <v/>
      </c>
      <c r="X168" s="9" t="str">
        <f>IF(AND($BN$28&lt;&gt;"",($BM$28+13)&lt;=$BO$28),$BN$28&amp;"-"&amp;TEXT(($BM$28+13),"00"),"")</f>
        <v/>
      </c>
      <c r="CA168" t="str" cm="1">
        <f t="array" ref="CA168">IF(NOT(AND($BN$25&lt;&gt;"",($BM$25+13)&lt;=$BO$25)),"",IF(B168&lt;&gt;"",IF(B168="-","",B168),IF(ISNUMBER(SEARCH(":",$BP$25)),IFERROR(_xlfn.LET(_xlpm.s,_xlfn.TEXTSPLIT($BP$25,","),_xlpm.k,FIND(":",_xlpm.s),INDEX(TRIM(LEFT(_xlpm.s,_xlpm.k-1)),_xlfn.XMATCH(($BM$25+13),_xlfn.SCAN(0,--MID(_xlpm.s,_xlpm.k+1,9),_xlfn.LAMBDA(_xlpm.a,_xlpm.v,_xlpm.a+_xlpm.v)),1))),""),IF(($BM$25+13)&lt;=$BQ$25,$BP$25,""))))</f>
        <v/>
      </c>
      <c r="CB168" t="str" cm="1">
        <f t="array" ref="CB168">IF(NOT(AND($BN$26&lt;&gt;"",($BM$26+13)&lt;=$BO$26)),"",IF(H168&lt;&gt;"",IF(H168="-","",H168),IF(ISNUMBER(SEARCH(":",$BP$26)),IFERROR(_xlfn.LET(_xlpm.s,_xlfn.TEXTSPLIT($BP$26,","),_xlpm.k,FIND(":",_xlpm.s),INDEX(TRIM(LEFT(_xlpm.s,_xlpm.k-1)),_xlfn.XMATCH(($BM$26+13),_xlfn.SCAN(0,--MID(_xlpm.s,_xlpm.k+1,9),_xlfn.LAMBDA(_xlpm.a,_xlpm.v,_xlpm.a+_xlpm.v)),1))),""),IF(($BM$26+13)&lt;=$BQ$26,$BP$26,""))))</f>
        <v/>
      </c>
      <c r="CC168" t="str" cm="1">
        <f t="array" ref="CC168">IF(NOT(AND($BN$27&lt;&gt;"",($BM$27+13)&lt;=$BO$27)),"",IF(N168&lt;&gt;"",IF(N168="-","",N168),IF(ISNUMBER(SEARCH(":",$BP$27)),IFERROR(_xlfn.LET(_xlpm.s,_xlfn.TEXTSPLIT($BP$27,","),_xlpm.k,FIND(":",_xlpm.s),INDEX(TRIM(LEFT(_xlpm.s,_xlpm.k-1)),_xlfn.XMATCH(($BM$27+13),_xlfn.SCAN(0,--MID(_xlpm.s,_xlpm.k+1,9),_xlfn.LAMBDA(_xlpm.a,_xlpm.v,_xlpm.a+_xlpm.v)),1))),""),IF(($BM$27+13)&lt;=$BQ$27,$BP$27,""))))</f>
        <v/>
      </c>
      <c r="CD168" t="str" cm="1">
        <f t="array" ref="CD168">IF(NOT(AND($BN$28&lt;&gt;"",($BM$28+13)&lt;=$BO$28)),"",IF(T168&lt;&gt;"",IF(T168="-","",T168),IF(ISNUMBER(SEARCH(":",$BP$28)),IFERROR(_xlfn.LET(_xlpm.s,_xlfn.TEXTSPLIT($BP$28,","),_xlpm.k,FIND(":",_xlpm.s),INDEX(TRIM(LEFT(_xlpm.s,_xlpm.k-1)),_xlfn.XMATCH(($BM$28+13),_xlfn.SCAN(0,--MID(_xlpm.s,_xlpm.k+1,9),_xlfn.LAMBDA(_xlpm.a,_xlpm.v,_xlpm.a+_xlpm.v)),1))),""),IF(($BM$28+13)&lt;=$BQ$28,$BP$28,""))))</f>
        <v/>
      </c>
    </row>
    <row r="169" spans="2:82" x14ac:dyDescent="0.45">
      <c r="B169" s="6"/>
      <c r="C169" s="9" t="str">
        <f>IF(CA169="","",CA169&amp;"-"&amp;TEXT(COUNTIF($CA$72:$CA$95,CA169)+COUNTIF($CB$72:$CB$95,CA169)+COUNTIF($CC$72:$CC$95,CA169)+COUNTIF($CD$72:$CD$95,CA169)+COUNTIF($CA$100:$CA$123,CA169)+COUNTIF($CB$100:$CB$123,CA169)+COUNTIF($CC$100:$CC$123,CA169)+COUNTIF($CD$100:$CD$123,CA169)+COUNTIF($CA$128:$CA$151,CA169)+COUNTIF($CB$128:$CB$151,CA169)+COUNTIF($CC$128:$CC$151,CA169)+COUNTIF($CD$128:$CD$151,CA169)+COUNTIF($CA$156:CA169,CA169),"000"))</f>
        <v/>
      </c>
      <c r="D169" s="9" t="str">
        <f>IF(AND($BN$25&lt;&gt;"",($BM$25+14)&lt;=$BO$25),$BN$25,"")</f>
        <v/>
      </c>
      <c r="E169" s="9" t="str">
        <f>IF(AND($BN$25&lt;&gt;"",($BM$25+14)&lt;=$BO$25),TEXT(($BM$25+14),"00"),"")</f>
        <v/>
      </c>
      <c r="F169" s="9" t="str">
        <f>IF(AND($BN$25&lt;&gt;"",($BM$25+14)&lt;=$BO$25),$BN$25&amp;"-"&amp;TEXT(($BM$25+14),"00"),"")</f>
        <v/>
      </c>
      <c r="H169" s="6"/>
      <c r="I169" s="9" t="str">
        <f>IF(CB169="","",CB169&amp;"-"&amp;TEXT(COUNTIF($CA$72:$CA$95,CB169)+COUNTIF($CB$72:$CB$95,CB169)+COUNTIF($CC$72:$CC$95,CB169)+COUNTIF($CD$72:$CD$95,CB169)+COUNTIF($CA$100:$CA$123,CB169)+COUNTIF($CB$100:$CB$123,CB169)+COUNTIF($CC$100:$CC$123,CB169)+COUNTIF($CD$100:$CD$123,CB169)+COUNTIF($CA$128:$CA$151,CB169)+COUNTIF($CB$128:$CB$151,CB169)+COUNTIF($CC$128:$CC$151,CB169)+COUNTIF($CD$128:$CD$151,CB169)+COUNTIF($CA$156:$CA$179,CB169)+COUNTIF($CB$156:CB169,CB169),"000"))</f>
        <v/>
      </c>
      <c r="J169" s="9" t="str">
        <f>IF(AND($BN$26&lt;&gt;"",($BM$26+14)&lt;=$BO$26),$BN$26,"")</f>
        <v/>
      </c>
      <c r="K169" s="9" t="str">
        <f>IF(AND($BN$26&lt;&gt;"",($BM$26+14)&lt;=$BO$26),TEXT(($BM$26+14),"00"),"")</f>
        <v/>
      </c>
      <c r="L169" s="9" t="str">
        <f>IF(AND($BN$26&lt;&gt;"",($BM$26+14)&lt;=$BO$26),$BN$26&amp;"-"&amp;TEXT(($BM$26+14),"00"),"")</f>
        <v/>
      </c>
      <c r="N169" s="6"/>
      <c r="O169" s="9" t="str">
        <f>IF(CC169="","",CC169&amp;"-"&amp;TEXT(COUNTIF($CA$72:$CA$95,CC169)+COUNTIF($CB$72:$CB$95,CC169)+COUNTIF($CC$72:$CC$95,CC169)+COUNTIF($CD$72:$CD$95,CC169)+COUNTIF($CA$100:$CA$123,CC169)+COUNTIF($CB$100:$CB$123,CC169)+COUNTIF($CC$100:$CC$123,CC169)+COUNTIF($CD$100:$CD$123,CC169)+COUNTIF($CA$128:$CA$151,CC169)+COUNTIF($CB$128:$CB$151,CC169)+COUNTIF($CC$128:$CC$151,CC169)+COUNTIF($CD$128:$CD$151,CC169)+COUNTIF($CA$156:$CA$179,CC169)+COUNTIF($CB$156:$CB$179,CC169)+COUNTIF($CC$156:CC169,CC169),"000"))</f>
        <v/>
      </c>
      <c r="P169" s="9" t="str">
        <f>IF(AND($BN$27&lt;&gt;"",($BM$27+14)&lt;=$BO$27),$BN$27,"")</f>
        <v/>
      </c>
      <c r="Q169" s="9" t="str">
        <f>IF(AND($BN$27&lt;&gt;"",($BM$27+14)&lt;=$BO$27),TEXT(($BM$27+14),"00"),"")</f>
        <v/>
      </c>
      <c r="R169" s="9" t="str">
        <f>IF(AND($BN$27&lt;&gt;"",($BM$27+14)&lt;=$BO$27),$BN$27&amp;"-"&amp;TEXT(($BM$27+14),"00"),"")</f>
        <v/>
      </c>
      <c r="T169" s="6"/>
      <c r="U169" s="9" t="str">
        <f>IF(CD169="","",CD169&amp;"-"&amp;TEXT(COUNTIF($CA$72:$CA$95,CD169)+COUNTIF($CB$72:$CB$95,CD169)+COUNTIF($CC$72:$CC$95,CD169)+COUNTIF($CD$72:$CD$95,CD169)+COUNTIF($CA$100:$CA$123,CD169)+COUNTIF($CB$100:$CB$123,CD169)+COUNTIF($CC$100:$CC$123,CD169)+COUNTIF($CD$100:$CD$123,CD169)+COUNTIF($CA$128:$CA$151,CD169)+COUNTIF($CB$128:$CB$151,CD169)+COUNTIF($CC$128:$CC$151,CD169)+COUNTIF($CD$128:$CD$151,CD169)+COUNTIF($CA$156:$CA$179,CD169)+COUNTIF($CB$156:$CB$179,CD169)+COUNTIF($CC$156:$CC$179,CD169)+COUNTIF($CD$156:CD169,CD169),"000"))</f>
        <v/>
      </c>
      <c r="V169" s="9" t="str">
        <f>IF(AND($BN$28&lt;&gt;"",($BM$28+14)&lt;=$BO$28),$BN$28,"")</f>
        <v/>
      </c>
      <c r="W169" s="9" t="str">
        <f>IF(AND($BN$28&lt;&gt;"",($BM$28+14)&lt;=$BO$28),TEXT(($BM$28+14),"00"),"")</f>
        <v/>
      </c>
      <c r="X169" s="9" t="str">
        <f>IF(AND($BN$28&lt;&gt;"",($BM$28+14)&lt;=$BO$28),$BN$28&amp;"-"&amp;TEXT(($BM$28+14),"00"),"")</f>
        <v/>
      </c>
      <c r="CA169" t="str" cm="1">
        <f t="array" ref="CA169">IF(NOT(AND($BN$25&lt;&gt;"",($BM$25+14)&lt;=$BO$25)),"",IF(B169&lt;&gt;"",IF(B169="-","",B169),IF(ISNUMBER(SEARCH(":",$BP$25)),IFERROR(_xlfn.LET(_xlpm.s,_xlfn.TEXTSPLIT($BP$25,","),_xlpm.k,FIND(":",_xlpm.s),INDEX(TRIM(LEFT(_xlpm.s,_xlpm.k-1)),_xlfn.XMATCH(($BM$25+14),_xlfn.SCAN(0,--MID(_xlpm.s,_xlpm.k+1,9),_xlfn.LAMBDA(_xlpm.a,_xlpm.v,_xlpm.a+_xlpm.v)),1))),""),IF(($BM$25+14)&lt;=$BQ$25,$BP$25,""))))</f>
        <v/>
      </c>
      <c r="CB169" t="str" cm="1">
        <f t="array" ref="CB169">IF(NOT(AND($BN$26&lt;&gt;"",($BM$26+14)&lt;=$BO$26)),"",IF(H169&lt;&gt;"",IF(H169="-","",H169),IF(ISNUMBER(SEARCH(":",$BP$26)),IFERROR(_xlfn.LET(_xlpm.s,_xlfn.TEXTSPLIT($BP$26,","),_xlpm.k,FIND(":",_xlpm.s),INDEX(TRIM(LEFT(_xlpm.s,_xlpm.k-1)),_xlfn.XMATCH(($BM$26+14),_xlfn.SCAN(0,--MID(_xlpm.s,_xlpm.k+1,9),_xlfn.LAMBDA(_xlpm.a,_xlpm.v,_xlpm.a+_xlpm.v)),1))),""),IF(($BM$26+14)&lt;=$BQ$26,$BP$26,""))))</f>
        <v/>
      </c>
      <c r="CC169" t="str" cm="1">
        <f t="array" ref="CC169">IF(NOT(AND($BN$27&lt;&gt;"",($BM$27+14)&lt;=$BO$27)),"",IF(N169&lt;&gt;"",IF(N169="-","",N169),IF(ISNUMBER(SEARCH(":",$BP$27)),IFERROR(_xlfn.LET(_xlpm.s,_xlfn.TEXTSPLIT($BP$27,","),_xlpm.k,FIND(":",_xlpm.s),INDEX(TRIM(LEFT(_xlpm.s,_xlpm.k-1)),_xlfn.XMATCH(($BM$27+14),_xlfn.SCAN(0,--MID(_xlpm.s,_xlpm.k+1,9),_xlfn.LAMBDA(_xlpm.a,_xlpm.v,_xlpm.a+_xlpm.v)),1))),""),IF(($BM$27+14)&lt;=$BQ$27,$BP$27,""))))</f>
        <v/>
      </c>
      <c r="CD169" t="str" cm="1">
        <f t="array" ref="CD169">IF(NOT(AND($BN$28&lt;&gt;"",($BM$28+14)&lt;=$BO$28)),"",IF(T169&lt;&gt;"",IF(T169="-","",T169),IF(ISNUMBER(SEARCH(":",$BP$28)),IFERROR(_xlfn.LET(_xlpm.s,_xlfn.TEXTSPLIT($BP$28,","),_xlpm.k,FIND(":",_xlpm.s),INDEX(TRIM(LEFT(_xlpm.s,_xlpm.k-1)),_xlfn.XMATCH(($BM$28+14),_xlfn.SCAN(0,--MID(_xlpm.s,_xlpm.k+1,9),_xlfn.LAMBDA(_xlpm.a,_xlpm.v,_xlpm.a+_xlpm.v)),1))),""),IF(($BM$28+14)&lt;=$BQ$28,$BP$28,""))))</f>
        <v/>
      </c>
    </row>
    <row r="170" spans="2:82" x14ac:dyDescent="0.45">
      <c r="B170" s="6"/>
      <c r="C170" s="9" t="str">
        <f>IF(CA170="","",CA170&amp;"-"&amp;TEXT(COUNTIF($CA$72:$CA$95,CA170)+COUNTIF($CB$72:$CB$95,CA170)+COUNTIF($CC$72:$CC$95,CA170)+COUNTIF($CD$72:$CD$95,CA170)+COUNTIF($CA$100:$CA$123,CA170)+COUNTIF($CB$100:$CB$123,CA170)+COUNTIF($CC$100:$CC$123,CA170)+COUNTIF($CD$100:$CD$123,CA170)+COUNTIF($CA$128:$CA$151,CA170)+COUNTIF($CB$128:$CB$151,CA170)+COUNTIF($CC$128:$CC$151,CA170)+COUNTIF($CD$128:$CD$151,CA170)+COUNTIF($CA$156:CA170,CA170),"000"))</f>
        <v/>
      </c>
      <c r="D170" s="9" t="str">
        <f>IF(AND($BN$25&lt;&gt;"",($BM$25+15)&lt;=$BO$25),$BN$25,"")</f>
        <v/>
      </c>
      <c r="E170" s="9" t="str">
        <f>IF(AND($BN$25&lt;&gt;"",($BM$25+15)&lt;=$BO$25),TEXT(($BM$25+15),"00"),"")</f>
        <v/>
      </c>
      <c r="F170" s="9" t="str">
        <f>IF(AND($BN$25&lt;&gt;"",($BM$25+15)&lt;=$BO$25),$BN$25&amp;"-"&amp;TEXT(($BM$25+15),"00"),"")</f>
        <v/>
      </c>
      <c r="H170" s="6"/>
      <c r="I170" s="9" t="str">
        <f>IF(CB170="","",CB170&amp;"-"&amp;TEXT(COUNTIF($CA$72:$CA$95,CB170)+COUNTIF($CB$72:$CB$95,CB170)+COUNTIF($CC$72:$CC$95,CB170)+COUNTIF($CD$72:$CD$95,CB170)+COUNTIF($CA$100:$CA$123,CB170)+COUNTIF($CB$100:$CB$123,CB170)+COUNTIF($CC$100:$CC$123,CB170)+COUNTIF($CD$100:$CD$123,CB170)+COUNTIF($CA$128:$CA$151,CB170)+COUNTIF($CB$128:$CB$151,CB170)+COUNTIF($CC$128:$CC$151,CB170)+COUNTIF($CD$128:$CD$151,CB170)+COUNTIF($CA$156:$CA$179,CB170)+COUNTIF($CB$156:CB170,CB170),"000"))</f>
        <v/>
      </c>
      <c r="J170" s="9" t="str">
        <f>IF(AND($BN$26&lt;&gt;"",($BM$26+15)&lt;=$BO$26),$BN$26,"")</f>
        <v/>
      </c>
      <c r="K170" s="9" t="str">
        <f>IF(AND($BN$26&lt;&gt;"",($BM$26+15)&lt;=$BO$26),TEXT(($BM$26+15),"00"),"")</f>
        <v/>
      </c>
      <c r="L170" s="9" t="str">
        <f>IF(AND($BN$26&lt;&gt;"",($BM$26+15)&lt;=$BO$26),$BN$26&amp;"-"&amp;TEXT(($BM$26+15),"00"),"")</f>
        <v/>
      </c>
      <c r="N170" s="6"/>
      <c r="O170" s="9" t="str">
        <f>IF(CC170="","",CC170&amp;"-"&amp;TEXT(COUNTIF($CA$72:$CA$95,CC170)+COUNTIF($CB$72:$CB$95,CC170)+COUNTIF($CC$72:$CC$95,CC170)+COUNTIF($CD$72:$CD$95,CC170)+COUNTIF($CA$100:$CA$123,CC170)+COUNTIF($CB$100:$CB$123,CC170)+COUNTIF($CC$100:$CC$123,CC170)+COUNTIF($CD$100:$CD$123,CC170)+COUNTIF($CA$128:$CA$151,CC170)+COUNTIF($CB$128:$CB$151,CC170)+COUNTIF($CC$128:$CC$151,CC170)+COUNTIF($CD$128:$CD$151,CC170)+COUNTIF($CA$156:$CA$179,CC170)+COUNTIF($CB$156:$CB$179,CC170)+COUNTIF($CC$156:CC170,CC170),"000"))</f>
        <v/>
      </c>
      <c r="P170" s="9" t="str">
        <f>IF(AND($BN$27&lt;&gt;"",($BM$27+15)&lt;=$BO$27),$BN$27,"")</f>
        <v/>
      </c>
      <c r="Q170" s="9" t="str">
        <f>IF(AND($BN$27&lt;&gt;"",($BM$27+15)&lt;=$BO$27),TEXT(($BM$27+15),"00"),"")</f>
        <v/>
      </c>
      <c r="R170" s="9" t="str">
        <f>IF(AND($BN$27&lt;&gt;"",($BM$27+15)&lt;=$BO$27),$BN$27&amp;"-"&amp;TEXT(($BM$27+15),"00"),"")</f>
        <v/>
      </c>
      <c r="T170" s="6"/>
      <c r="U170" s="9" t="str">
        <f>IF(CD170="","",CD170&amp;"-"&amp;TEXT(COUNTIF($CA$72:$CA$95,CD170)+COUNTIF($CB$72:$CB$95,CD170)+COUNTIF($CC$72:$CC$95,CD170)+COUNTIF($CD$72:$CD$95,CD170)+COUNTIF($CA$100:$CA$123,CD170)+COUNTIF($CB$100:$CB$123,CD170)+COUNTIF($CC$100:$CC$123,CD170)+COUNTIF($CD$100:$CD$123,CD170)+COUNTIF($CA$128:$CA$151,CD170)+COUNTIF($CB$128:$CB$151,CD170)+COUNTIF($CC$128:$CC$151,CD170)+COUNTIF($CD$128:$CD$151,CD170)+COUNTIF($CA$156:$CA$179,CD170)+COUNTIF($CB$156:$CB$179,CD170)+COUNTIF($CC$156:$CC$179,CD170)+COUNTIF($CD$156:CD170,CD170),"000"))</f>
        <v/>
      </c>
      <c r="V170" s="9" t="str">
        <f>IF(AND($BN$28&lt;&gt;"",($BM$28+15)&lt;=$BO$28),$BN$28,"")</f>
        <v/>
      </c>
      <c r="W170" s="9" t="str">
        <f>IF(AND($BN$28&lt;&gt;"",($BM$28+15)&lt;=$BO$28),TEXT(($BM$28+15),"00"),"")</f>
        <v/>
      </c>
      <c r="X170" s="9" t="str">
        <f>IF(AND($BN$28&lt;&gt;"",($BM$28+15)&lt;=$BO$28),$BN$28&amp;"-"&amp;TEXT(($BM$28+15),"00"),"")</f>
        <v/>
      </c>
      <c r="CA170" t="str" cm="1">
        <f t="array" ref="CA170">IF(NOT(AND($BN$25&lt;&gt;"",($BM$25+15)&lt;=$BO$25)),"",IF(B170&lt;&gt;"",IF(B170="-","",B170),IF(ISNUMBER(SEARCH(":",$BP$25)),IFERROR(_xlfn.LET(_xlpm.s,_xlfn.TEXTSPLIT($BP$25,","),_xlpm.k,FIND(":",_xlpm.s),INDEX(TRIM(LEFT(_xlpm.s,_xlpm.k-1)),_xlfn.XMATCH(($BM$25+15),_xlfn.SCAN(0,--MID(_xlpm.s,_xlpm.k+1,9),_xlfn.LAMBDA(_xlpm.a,_xlpm.v,_xlpm.a+_xlpm.v)),1))),""),IF(($BM$25+15)&lt;=$BQ$25,$BP$25,""))))</f>
        <v/>
      </c>
      <c r="CB170" t="str" cm="1">
        <f t="array" ref="CB170">IF(NOT(AND($BN$26&lt;&gt;"",($BM$26+15)&lt;=$BO$26)),"",IF(H170&lt;&gt;"",IF(H170="-","",H170),IF(ISNUMBER(SEARCH(":",$BP$26)),IFERROR(_xlfn.LET(_xlpm.s,_xlfn.TEXTSPLIT($BP$26,","),_xlpm.k,FIND(":",_xlpm.s),INDEX(TRIM(LEFT(_xlpm.s,_xlpm.k-1)),_xlfn.XMATCH(($BM$26+15),_xlfn.SCAN(0,--MID(_xlpm.s,_xlpm.k+1,9),_xlfn.LAMBDA(_xlpm.a,_xlpm.v,_xlpm.a+_xlpm.v)),1))),""),IF(($BM$26+15)&lt;=$BQ$26,$BP$26,""))))</f>
        <v/>
      </c>
      <c r="CC170" t="str" cm="1">
        <f t="array" ref="CC170">IF(NOT(AND($BN$27&lt;&gt;"",($BM$27+15)&lt;=$BO$27)),"",IF(N170&lt;&gt;"",IF(N170="-","",N170),IF(ISNUMBER(SEARCH(":",$BP$27)),IFERROR(_xlfn.LET(_xlpm.s,_xlfn.TEXTSPLIT($BP$27,","),_xlpm.k,FIND(":",_xlpm.s),INDEX(TRIM(LEFT(_xlpm.s,_xlpm.k-1)),_xlfn.XMATCH(($BM$27+15),_xlfn.SCAN(0,--MID(_xlpm.s,_xlpm.k+1,9),_xlfn.LAMBDA(_xlpm.a,_xlpm.v,_xlpm.a+_xlpm.v)),1))),""),IF(($BM$27+15)&lt;=$BQ$27,$BP$27,""))))</f>
        <v/>
      </c>
      <c r="CD170" t="str" cm="1">
        <f t="array" ref="CD170">IF(NOT(AND($BN$28&lt;&gt;"",($BM$28+15)&lt;=$BO$28)),"",IF(T170&lt;&gt;"",IF(T170="-","",T170),IF(ISNUMBER(SEARCH(":",$BP$28)),IFERROR(_xlfn.LET(_xlpm.s,_xlfn.TEXTSPLIT($BP$28,","),_xlpm.k,FIND(":",_xlpm.s),INDEX(TRIM(LEFT(_xlpm.s,_xlpm.k-1)),_xlfn.XMATCH(($BM$28+15),_xlfn.SCAN(0,--MID(_xlpm.s,_xlpm.k+1,9),_xlfn.LAMBDA(_xlpm.a,_xlpm.v,_xlpm.a+_xlpm.v)),1))),""),IF(($BM$28+15)&lt;=$BQ$28,$BP$28,""))))</f>
        <v/>
      </c>
    </row>
    <row r="171" spans="2:82" x14ac:dyDescent="0.45">
      <c r="B171" s="6"/>
      <c r="C171" s="9" t="str">
        <f>IF(CA171="","",CA171&amp;"-"&amp;TEXT(COUNTIF($CA$72:$CA$95,CA171)+COUNTIF($CB$72:$CB$95,CA171)+COUNTIF($CC$72:$CC$95,CA171)+COUNTIF($CD$72:$CD$95,CA171)+COUNTIF($CA$100:$CA$123,CA171)+COUNTIF($CB$100:$CB$123,CA171)+COUNTIF($CC$100:$CC$123,CA171)+COUNTIF($CD$100:$CD$123,CA171)+COUNTIF($CA$128:$CA$151,CA171)+COUNTIF($CB$128:$CB$151,CA171)+COUNTIF($CC$128:$CC$151,CA171)+COUNTIF($CD$128:$CD$151,CA171)+COUNTIF($CA$156:CA171,CA171),"000"))</f>
        <v/>
      </c>
      <c r="D171" s="9" t="str">
        <f>IF(AND($BN$25&lt;&gt;"",($BM$25+16)&lt;=$BO$25),$BN$25,"")</f>
        <v/>
      </c>
      <c r="E171" s="9" t="str">
        <f>IF(AND($BN$25&lt;&gt;"",($BM$25+16)&lt;=$BO$25),TEXT(($BM$25+16),"00"),"")</f>
        <v/>
      </c>
      <c r="F171" s="9" t="str">
        <f>IF(AND($BN$25&lt;&gt;"",($BM$25+16)&lt;=$BO$25),$BN$25&amp;"-"&amp;TEXT(($BM$25+16),"00"),"")</f>
        <v/>
      </c>
      <c r="H171" s="6"/>
      <c r="I171" s="9" t="str">
        <f>IF(CB171="","",CB171&amp;"-"&amp;TEXT(COUNTIF($CA$72:$CA$95,CB171)+COUNTIF($CB$72:$CB$95,CB171)+COUNTIF($CC$72:$CC$95,CB171)+COUNTIF($CD$72:$CD$95,CB171)+COUNTIF($CA$100:$CA$123,CB171)+COUNTIF($CB$100:$CB$123,CB171)+COUNTIF($CC$100:$CC$123,CB171)+COUNTIF($CD$100:$CD$123,CB171)+COUNTIF($CA$128:$CA$151,CB171)+COUNTIF($CB$128:$CB$151,CB171)+COUNTIF($CC$128:$CC$151,CB171)+COUNTIF($CD$128:$CD$151,CB171)+COUNTIF($CA$156:$CA$179,CB171)+COUNTIF($CB$156:CB171,CB171),"000"))</f>
        <v/>
      </c>
      <c r="J171" s="9" t="str">
        <f>IF(AND($BN$26&lt;&gt;"",($BM$26+16)&lt;=$BO$26),$BN$26,"")</f>
        <v/>
      </c>
      <c r="K171" s="9" t="str">
        <f>IF(AND($BN$26&lt;&gt;"",($BM$26+16)&lt;=$BO$26),TEXT(($BM$26+16),"00"),"")</f>
        <v/>
      </c>
      <c r="L171" s="9" t="str">
        <f>IF(AND($BN$26&lt;&gt;"",($BM$26+16)&lt;=$BO$26),$BN$26&amp;"-"&amp;TEXT(($BM$26+16),"00"),"")</f>
        <v/>
      </c>
      <c r="N171" s="6"/>
      <c r="O171" s="9" t="str">
        <f>IF(CC171="","",CC171&amp;"-"&amp;TEXT(COUNTIF($CA$72:$CA$95,CC171)+COUNTIF($CB$72:$CB$95,CC171)+COUNTIF($CC$72:$CC$95,CC171)+COUNTIF($CD$72:$CD$95,CC171)+COUNTIF($CA$100:$CA$123,CC171)+COUNTIF($CB$100:$CB$123,CC171)+COUNTIF($CC$100:$CC$123,CC171)+COUNTIF($CD$100:$CD$123,CC171)+COUNTIF($CA$128:$CA$151,CC171)+COUNTIF($CB$128:$CB$151,CC171)+COUNTIF($CC$128:$CC$151,CC171)+COUNTIF($CD$128:$CD$151,CC171)+COUNTIF($CA$156:$CA$179,CC171)+COUNTIF($CB$156:$CB$179,CC171)+COUNTIF($CC$156:CC171,CC171),"000"))</f>
        <v/>
      </c>
      <c r="P171" s="9" t="str">
        <f>IF(AND($BN$27&lt;&gt;"",($BM$27+16)&lt;=$BO$27),$BN$27,"")</f>
        <v/>
      </c>
      <c r="Q171" s="9" t="str">
        <f>IF(AND($BN$27&lt;&gt;"",($BM$27+16)&lt;=$BO$27),TEXT(($BM$27+16),"00"),"")</f>
        <v/>
      </c>
      <c r="R171" s="9" t="str">
        <f>IF(AND($BN$27&lt;&gt;"",($BM$27+16)&lt;=$BO$27),$BN$27&amp;"-"&amp;TEXT(($BM$27+16),"00"),"")</f>
        <v/>
      </c>
      <c r="T171" s="6"/>
      <c r="U171" s="9" t="str">
        <f>IF(CD171="","",CD171&amp;"-"&amp;TEXT(COUNTIF($CA$72:$CA$95,CD171)+COUNTIF($CB$72:$CB$95,CD171)+COUNTIF($CC$72:$CC$95,CD171)+COUNTIF($CD$72:$CD$95,CD171)+COUNTIF($CA$100:$CA$123,CD171)+COUNTIF($CB$100:$CB$123,CD171)+COUNTIF($CC$100:$CC$123,CD171)+COUNTIF($CD$100:$CD$123,CD171)+COUNTIF($CA$128:$CA$151,CD171)+COUNTIF($CB$128:$CB$151,CD171)+COUNTIF($CC$128:$CC$151,CD171)+COUNTIF($CD$128:$CD$151,CD171)+COUNTIF($CA$156:$CA$179,CD171)+COUNTIF($CB$156:$CB$179,CD171)+COUNTIF($CC$156:$CC$179,CD171)+COUNTIF($CD$156:CD171,CD171),"000"))</f>
        <v/>
      </c>
      <c r="V171" s="9" t="str">
        <f>IF(AND($BN$28&lt;&gt;"",($BM$28+16)&lt;=$BO$28),$BN$28,"")</f>
        <v/>
      </c>
      <c r="W171" s="9" t="str">
        <f>IF(AND($BN$28&lt;&gt;"",($BM$28+16)&lt;=$BO$28),TEXT(($BM$28+16),"00"),"")</f>
        <v/>
      </c>
      <c r="X171" s="9" t="str">
        <f>IF(AND($BN$28&lt;&gt;"",($BM$28+16)&lt;=$BO$28),$BN$28&amp;"-"&amp;TEXT(($BM$28+16),"00"),"")</f>
        <v/>
      </c>
      <c r="CA171" t="str" cm="1">
        <f t="array" ref="CA171">IF(NOT(AND($BN$25&lt;&gt;"",($BM$25+16)&lt;=$BO$25)),"",IF(B171&lt;&gt;"",IF(B171="-","",B171),IF(ISNUMBER(SEARCH(":",$BP$25)),IFERROR(_xlfn.LET(_xlpm.s,_xlfn.TEXTSPLIT($BP$25,","),_xlpm.k,FIND(":",_xlpm.s),INDEX(TRIM(LEFT(_xlpm.s,_xlpm.k-1)),_xlfn.XMATCH(($BM$25+16),_xlfn.SCAN(0,--MID(_xlpm.s,_xlpm.k+1,9),_xlfn.LAMBDA(_xlpm.a,_xlpm.v,_xlpm.a+_xlpm.v)),1))),""),IF(($BM$25+16)&lt;=$BQ$25,$BP$25,""))))</f>
        <v/>
      </c>
      <c r="CB171" t="str" cm="1">
        <f t="array" ref="CB171">IF(NOT(AND($BN$26&lt;&gt;"",($BM$26+16)&lt;=$BO$26)),"",IF(H171&lt;&gt;"",IF(H171="-","",H171),IF(ISNUMBER(SEARCH(":",$BP$26)),IFERROR(_xlfn.LET(_xlpm.s,_xlfn.TEXTSPLIT($BP$26,","),_xlpm.k,FIND(":",_xlpm.s),INDEX(TRIM(LEFT(_xlpm.s,_xlpm.k-1)),_xlfn.XMATCH(($BM$26+16),_xlfn.SCAN(0,--MID(_xlpm.s,_xlpm.k+1,9),_xlfn.LAMBDA(_xlpm.a,_xlpm.v,_xlpm.a+_xlpm.v)),1))),""),IF(($BM$26+16)&lt;=$BQ$26,$BP$26,""))))</f>
        <v/>
      </c>
      <c r="CC171" t="str" cm="1">
        <f t="array" ref="CC171">IF(NOT(AND($BN$27&lt;&gt;"",($BM$27+16)&lt;=$BO$27)),"",IF(N171&lt;&gt;"",IF(N171="-","",N171),IF(ISNUMBER(SEARCH(":",$BP$27)),IFERROR(_xlfn.LET(_xlpm.s,_xlfn.TEXTSPLIT($BP$27,","),_xlpm.k,FIND(":",_xlpm.s),INDEX(TRIM(LEFT(_xlpm.s,_xlpm.k-1)),_xlfn.XMATCH(($BM$27+16),_xlfn.SCAN(0,--MID(_xlpm.s,_xlpm.k+1,9),_xlfn.LAMBDA(_xlpm.a,_xlpm.v,_xlpm.a+_xlpm.v)),1))),""),IF(($BM$27+16)&lt;=$BQ$27,$BP$27,""))))</f>
        <v/>
      </c>
      <c r="CD171" t="str" cm="1">
        <f t="array" ref="CD171">IF(NOT(AND($BN$28&lt;&gt;"",($BM$28+16)&lt;=$BO$28)),"",IF(T171&lt;&gt;"",IF(T171="-","",T171),IF(ISNUMBER(SEARCH(":",$BP$28)),IFERROR(_xlfn.LET(_xlpm.s,_xlfn.TEXTSPLIT($BP$28,","),_xlpm.k,FIND(":",_xlpm.s),INDEX(TRIM(LEFT(_xlpm.s,_xlpm.k-1)),_xlfn.XMATCH(($BM$28+16),_xlfn.SCAN(0,--MID(_xlpm.s,_xlpm.k+1,9),_xlfn.LAMBDA(_xlpm.a,_xlpm.v,_xlpm.a+_xlpm.v)),1))),""),IF(($BM$28+16)&lt;=$BQ$28,$BP$28,""))))</f>
        <v/>
      </c>
    </row>
    <row r="172" spans="2:82" x14ac:dyDescent="0.45">
      <c r="B172" s="6"/>
      <c r="C172" s="9" t="str">
        <f>IF(CA172="","",CA172&amp;"-"&amp;TEXT(COUNTIF($CA$72:$CA$95,CA172)+COUNTIF($CB$72:$CB$95,CA172)+COUNTIF($CC$72:$CC$95,CA172)+COUNTIF($CD$72:$CD$95,CA172)+COUNTIF($CA$100:$CA$123,CA172)+COUNTIF($CB$100:$CB$123,CA172)+COUNTIF($CC$100:$CC$123,CA172)+COUNTIF($CD$100:$CD$123,CA172)+COUNTIF($CA$128:$CA$151,CA172)+COUNTIF($CB$128:$CB$151,CA172)+COUNTIF($CC$128:$CC$151,CA172)+COUNTIF($CD$128:$CD$151,CA172)+COUNTIF($CA$156:CA172,CA172),"000"))</f>
        <v/>
      </c>
      <c r="D172" s="9" t="str">
        <f>IF(AND($BN$25&lt;&gt;"",($BM$25+17)&lt;=$BO$25),$BN$25,"")</f>
        <v/>
      </c>
      <c r="E172" s="9" t="str">
        <f>IF(AND($BN$25&lt;&gt;"",($BM$25+17)&lt;=$BO$25),TEXT(($BM$25+17),"00"),"")</f>
        <v/>
      </c>
      <c r="F172" s="9" t="str">
        <f>IF(AND($BN$25&lt;&gt;"",($BM$25+17)&lt;=$BO$25),$BN$25&amp;"-"&amp;TEXT(($BM$25+17),"00"),"")</f>
        <v/>
      </c>
      <c r="H172" s="6"/>
      <c r="I172" s="9" t="str">
        <f>IF(CB172="","",CB172&amp;"-"&amp;TEXT(COUNTIF($CA$72:$CA$95,CB172)+COUNTIF($CB$72:$CB$95,CB172)+COUNTIF($CC$72:$CC$95,CB172)+COUNTIF($CD$72:$CD$95,CB172)+COUNTIF($CA$100:$CA$123,CB172)+COUNTIF($CB$100:$CB$123,CB172)+COUNTIF($CC$100:$CC$123,CB172)+COUNTIF($CD$100:$CD$123,CB172)+COUNTIF($CA$128:$CA$151,CB172)+COUNTIF($CB$128:$CB$151,CB172)+COUNTIF($CC$128:$CC$151,CB172)+COUNTIF($CD$128:$CD$151,CB172)+COUNTIF($CA$156:$CA$179,CB172)+COUNTIF($CB$156:CB172,CB172),"000"))</f>
        <v/>
      </c>
      <c r="J172" s="9" t="str">
        <f>IF(AND($BN$26&lt;&gt;"",($BM$26+17)&lt;=$BO$26),$BN$26,"")</f>
        <v/>
      </c>
      <c r="K172" s="9" t="str">
        <f>IF(AND($BN$26&lt;&gt;"",($BM$26+17)&lt;=$BO$26),TEXT(($BM$26+17),"00"),"")</f>
        <v/>
      </c>
      <c r="L172" s="9" t="str">
        <f>IF(AND($BN$26&lt;&gt;"",($BM$26+17)&lt;=$BO$26),$BN$26&amp;"-"&amp;TEXT(($BM$26+17),"00"),"")</f>
        <v/>
      </c>
      <c r="N172" s="6"/>
      <c r="O172" s="9" t="str">
        <f>IF(CC172="","",CC172&amp;"-"&amp;TEXT(COUNTIF($CA$72:$CA$95,CC172)+COUNTIF($CB$72:$CB$95,CC172)+COUNTIF($CC$72:$CC$95,CC172)+COUNTIF($CD$72:$CD$95,CC172)+COUNTIF($CA$100:$CA$123,CC172)+COUNTIF($CB$100:$CB$123,CC172)+COUNTIF($CC$100:$CC$123,CC172)+COUNTIF($CD$100:$CD$123,CC172)+COUNTIF($CA$128:$CA$151,CC172)+COUNTIF($CB$128:$CB$151,CC172)+COUNTIF($CC$128:$CC$151,CC172)+COUNTIF($CD$128:$CD$151,CC172)+COUNTIF($CA$156:$CA$179,CC172)+COUNTIF($CB$156:$CB$179,CC172)+COUNTIF($CC$156:CC172,CC172),"000"))</f>
        <v/>
      </c>
      <c r="P172" s="9" t="str">
        <f>IF(AND($BN$27&lt;&gt;"",($BM$27+17)&lt;=$BO$27),$BN$27,"")</f>
        <v/>
      </c>
      <c r="Q172" s="9" t="str">
        <f>IF(AND($BN$27&lt;&gt;"",($BM$27+17)&lt;=$BO$27),TEXT(($BM$27+17),"00"),"")</f>
        <v/>
      </c>
      <c r="R172" s="9" t="str">
        <f>IF(AND($BN$27&lt;&gt;"",($BM$27+17)&lt;=$BO$27),$BN$27&amp;"-"&amp;TEXT(($BM$27+17),"00"),"")</f>
        <v/>
      </c>
      <c r="T172" s="6"/>
      <c r="U172" s="9" t="str">
        <f>IF(CD172="","",CD172&amp;"-"&amp;TEXT(COUNTIF($CA$72:$CA$95,CD172)+COUNTIF($CB$72:$CB$95,CD172)+COUNTIF($CC$72:$CC$95,CD172)+COUNTIF($CD$72:$CD$95,CD172)+COUNTIF($CA$100:$CA$123,CD172)+COUNTIF($CB$100:$CB$123,CD172)+COUNTIF($CC$100:$CC$123,CD172)+COUNTIF($CD$100:$CD$123,CD172)+COUNTIF($CA$128:$CA$151,CD172)+COUNTIF($CB$128:$CB$151,CD172)+COUNTIF($CC$128:$CC$151,CD172)+COUNTIF($CD$128:$CD$151,CD172)+COUNTIF($CA$156:$CA$179,CD172)+COUNTIF($CB$156:$CB$179,CD172)+COUNTIF($CC$156:$CC$179,CD172)+COUNTIF($CD$156:CD172,CD172),"000"))</f>
        <v/>
      </c>
      <c r="V172" s="9" t="str">
        <f>IF(AND($BN$28&lt;&gt;"",($BM$28+17)&lt;=$BO$28),$BN$28,"")</f>
        <v/>
      </c>
      <c r="W172" s="9" t="str">
        <f>IF(AND($BN$28&lt;&gt;"",($BM$28+17)&lt;=$BO$28),TEXT(($BM$28+17),"00"),"")</f>
        <v/>
      </c>
      <c r="X172" s="9" t="str">
        <f>IF(AND($BN$28&lt;&gt;"",($BM$28+17)&lt;=$BO$28),$BN$28&amp;"-"&amp;TEXT(($BM$28+17),"00"),"")</f>
        <v/>
      </c>
      <c r="CA172" t="str" cm="1">
        <f t="array" ref="CA172">IF(NOT(AND($BN$25&lt;&gt;"",($BM$25+17)&lt;=$BO$25)),"",IF(B172&lt;&gt;"",IF(B172="-","",B172),IF(ISNUMBER(SEARCH(":",$BP$25)),IFERROR(_xlfn.LET(_xlpm.s,_xlfn.TEXTSPLIT($BP$25,","),_xlpm.k,FIND(":",_xlpm.s),INDEX(TRIM(LEFT(_xlpm.s,_xlpm.k-1)),_xlfn.XMATCH(($BM$25+17),_xlfn.SCAN(0,--MID(_xlpm.s,_xlpm.k+1,9),_xlfn.LAMBDA(_xlpm.a,_xlpm.v,_xlpm.a+_xlpm.v)),1))),""),IF(($BM$25+17)&lt;=$BQ$25,$BP$25,""))))</f>
        <v/>
      </c>
      <c r="CB172" t="str" cm="1">
        <f t="array" ref="CB172">IF(NOT(AND($BN$26&lt;&gt;"",($BM$26+17)&lt;=$BO$26)),"",IF(H172&lt;&gt;"",IF(H172="-","",H172),IF(ISNUMBER(SEARCH(":",$BP$26)),IFERROR(_xlfn.LET(_xlpm.s,_xlfn.TEXTSPLIT($BP$26,","),_xlpm.k,FIND(":",_xlpm.s),INDEX(TRIM(LEFT(_xlpm.s,_xlpm.k-1)),_xlfn.XMATCH(($BM$26+17),_xlfn.SCAN(0,--MID(_xlpm.s,_xlpm.k+1,9),_xlfn.LAMBDA(_xlpm.a,_xlpm.v,_xlpm.a+_xlpm.v)),1))),""),IF(($BM$26+17)&lt;=$BQ$26,$BP$26,""))))</f>
        <v/>
      </c>
      <c r="CC172" t="str" cm="1">
        <f t="array" ref="CC172">IF(NOT(AND($BN$27&lt;&gt;"",($BM$27+17)&lt;=$BO$27)),"",IF(N172&lt;&gt;"",IF(N172="-","",N172),IF(ISNUMBER(SEARCH(":",$BP$27)),IFERROR(_xlfn.LET(_xlpm.s,_xlfn.TEXTSPLIT($BP$27,","),_xlpm.k,FIND(":",_xlpm.s),INDEX(TRIM(LEFT(_xlpm.s,_xlpm.k-1)),_xlfn.XMATCH(($BM$27+17),_xlfn.SCAN(0,--MID(_xlpm.s,_xlpm.k+1,9),_xlfn.LAMBDA(_xlpm.a,_xlpm.v,_xlpm.a+_xlpm.v)),1))),""),IF(($BM$27+17)&lt;=$BQ$27,$BP$27,""))))</f>
        <v/>
      </c>
      <c r="CD172" t="str" cm="1">
        <f t="array" ref="CD172">IF(NOT(AND($BN$28&lt;&gt;"",($BM$28+17)&lt;=$BO$28)),"",IF(T172&lt;&gt;"",IF(T172="-","",T172),IF(ISNUMBER(SEARCH(":",$BP$28)),IFERROR(_xlfn.LET(_xlpm.s,_xlfn.TEXTSPLIT($BP$28,","),_xlpm.k,FIND(":",_xlpm.s),INDEX(TRIM(LEFT(_xlpm.s,_xlpm.k-1)),_xlfn.XMATCH(($BM$28+17),_xlfn.SCAN(0,--MID(_xlpm.s,_xlpm.k+1,9),_xlfn.LAMBDA(_xlpm.a,_xlpm.v,_xlpm.a+_xlpm.v)),1))),""),IF(($BM$28+17)&lt;=$BQ$28,$BP$28,""))))</f>
        <v/>
      </c>
    </row>
    <row r="173" spans="2:82" x14ac:dyDescent="0.45">
      <c r="B173" s="6"/>
      <c r="C173" s="9" t="str">
        <f>IF(CA173="","",CA173&amp;"-"&amp;TEXT(COUNTIF($CA$72:$CA$95,CA173)+COUNTIF($CB$72:$CB$95,CA173)+COUNTIF($CC$72:$CC$95,CA173)+COUNTIF($CD$72:$CD$95,CA173)+COUNTIF($CA$100:$CA$123,CA173)+COUNTIF($CB$100:$CB$123,CA173)+COUNTIF($CC$100:$CC$123,CA173)+COUNTIF($CD$100:$CD$123,CA173)+COUNTIF($CA$128:$CA$151,CA173)+COUNTIF($CB$128:$CB$151,CA173)+COUNTIF($CC$128:$CC$151,CA173)+COUNTIF($CD$128:$CD$151,CA173)+COUNTIF($CA$156:CA173,CA173),"000"))</f>
        <v/>
      </c>
      <c r="D173" s="9" t="str">
        <f>IF(AND($BN$25&lt;&gt;"",($BM$25+18)&lt;=$BO$25),$BN$25,"")</f>
        <v/>
      </c>
      <c r="E173" s="9" t="str">
        <f>IF(AND($BN$25&lt;&gt;"",($BM$25+18)&lt;=$BO$25),TEXT(($BM$25+18),"00"),"")</f>
        <v/>
      </c>
      <c r="F173" s="9" t="str">
        <f>IF(AND($BN$25&lt;&gt;"",($BM$25+18)&lt;=$BO$25),$BN$25&amp;"-"&amp;TEXT(($BM$25+18),"00"),"")</f>
        <v/>
      </c>
      <c r="H173" s="6"/>
      <c r="I173" s="9" t="str">
        <f>IF(CB173="","",CB173&amp;"-"&amp;TEXT(COUNTIF($CA$72:$CA$95,CB173)+COUNTIF($CB$72:$CB$95,CB173)+COUNTIF($CC$72:$CC$95,CB173)+COUNTIF($CD$72:$CD$95,CB173)+COUNTIF($CA$100:$CA$123,CB173)+COUNTIF($CB$100:$CB$123,CB173)+COUNTIF($CC$100:$CC$123,CB173)+COUNTIF($CD$100:$CD$123,CB173)+COUNTIF($CA$128:$CA$151,CB173)+COUNTIF($CB$128:$CB$151,CB173)+COUNTIF($CC$128:$CC$151,CB173)+COUNTIF($CD$128:$CD$151,CB173)+COUNTIF($CA$156:$CA$179,CB173)+COUNTIF($CB$156:CB173,CB173),"000"))</f>
        <v/>
      </c>
      <c r="J173" s="9" t="str">
        <f>IF(AND($BN$26&lt;&gt;"",($BM$26+18)&lt;=$BO$26),$BN$26,"")</f>
        <v/>
      </c>
      <c r="K173" s="9" t="str">
        <f>IF(AND($BN$26&lt;&gt;"",($BM$26+18)&lt;=$BO$26),TEXT(($BM$26+18),"00"),"")</f>
        <v/>
      </c>
      <c r="L173" s="9" t="str">
        <f>IF(AND($BN$26&lt;&gt;"",($BM$26+18)&lt;=$BO$26),$BN$26&amp;"-"&amp;TEXT(($BM$26+18),"00"),"")</f>
        <v/>
      </c>
      <c r="N173" s="6"/>
      <c r="O173" s="9" t="str">
        <f>IF(CC173="","",CC173&amp;"-"&amp;TEXT(COUNTIF($CA$72:$CA$95,CC173)+COUNTIF($CB$72:$CB$95,CC173)+COUNTIF($CC$72:$CC$95,CC173)+COUNTIF($CD$72:$CD$95,CC173)+COUNTIF($CA$100:$CA$123,CC173)+COUNTIF($CB$100:$CB$123,CC173)+COUNTIF($CC$100:$CC$123,CC173)+COUNTIF($CD$100:$CD$123,CC173)+COUNTIF($CA$128:$CA$151,CC173)+COUNTIF($CB$128:$CB$151,CC173)+COUNTIF($CC$128:$CC$151,CC173)+COUNTIF($CD$128:$CD$151,CC173)+COUNTIF($CA$156:$CA$179,CC173)+COUNTIF($CB$156:$CB$179,CC173)+COUNTIF($CC$156:CC173,CC173),"000"))</f>
        <v/>
      </c>
      <c r="P173" s="9" t="str">
        <f>IF(AND($BN$27&lt;&gt;"",($BM$27+18)&lt;=$BO$27),$BN$27,"")</f>
        <v/>
      </c>
      <c r="Q173" s="9" t="str">
        <f>IF(AND($BN$27&lt;&gt;"",($BM$27+18)&lt;=$BO$27),TEXT(($BM$27+18),"00"),"")</f>
        <v/>
      </c>
      <c r="R173" s="9" t="str">
        <f>IF(AND($BN$27&lt;&gt;"",($BM$27+18)&lt;=$BO$27),$BN$27&amp;"-"&amp;TEXT(($BM$27+18),"00"),"")</f>
        <v/>
      </c>
      <c r="T173" s="6"/>
      <c r="U173" s="9" t="str">
        <f>IF(CD173="","",CD173&amp;"-"&amp;TEXT(COUNTIF($CA$72:$CA$95,CD173)+COUNTIF($CB$72:$CB$95,CD173)+COUNTIF($CC$72:$CC$95,CD173)+COUNTIF($CD$72:$CD$95,CD173)+COUNTIF($CA$100:$CA$123,CD173)+COUNTIF($CB$100:$CB$123,CD173)+COUNTIF($CC$100:$CC$123,CD173)+COUNTIF($CD$100:$CD$123,CD173)+COUNTIF($CA$128:$CA$151,CD173)+COUNTIF($CB$128:$CB$151,CD173)+COUNTIF($CC$128:$CC$151,CD173)+COUNTIF($CD$128:$CD$151,CD173)+COUNTIF($CA$156:$CA$179,CD173)+COUNTIF($CB$156:$CB$179,CD173)+COUNTIF($CC$156:$CC$179,CD173)+COUNTIF($CD$156:CD173,CD173),"000"))</f>
        <v/>
      </c>
      <c r="V173" s="9" t="str">
        <f>IF(AND($BN$28&lt;&gt;"",($BM$28+18)&lt;=$BO$28),$BN$28,"")</f>
        <v/>
      </c>
      <c r="W173" s="9" t="str">
        <f>IF(AND($BN$28&lt;&gt;"",($BM$28+18)&lt;=$BO$28),TEXT(($BM$28+18),"00"),"")</f>
        <v/>
      </c>
      <c r="X173" s="9" t="str">
        <f>IF(AND($BN$28&lt;&gt;"",($BM$28+18)&lt;=$BO$28),$BN$28&amp;"-"&amp;TEXT(($BM$28+18),"00"),"")</f>
        <v/>
      </c>
      <c r="CA173" t="str" cm="1">
        <f t="array" ref="CA173">IF(NOT(AND($BN$25&lt;&gt;"",($BM$25+18)&lt;=$BO$25)),"",IF(B173&lt;&gt;"",IF(B173="-","",B173),IF(ISNUMBER(SEARCH(":",$BP$25)),IFERROR(_xlfn.LET(_xlpm.s,_xlfn.TEXTSPLIT($BP$25,","),_xlpm.k,FIND(":",_xlpm.s),INDEX(TRIM(LEFT(_xlpm.s,_xlpm.k-1)),_xlfn.XMATCH(($BM$25+18),_xlfn.SCAN(0,--MID(_xlpm.s,_xlpm.k+1,9),_xlfn.LAMBDA(_xlpm.a,_xlpm.v,_xlpm.a+_xlpm.v)),1))),""),IF(($BM$25+18)&lt;=$BQ$25,$BP$25,""))))</f>
        <v/>
      </c>
      <c r="CB173" t="str" cm="1">
        <f t="array" ref="CB173">IF(NOT(AND($BN$26&lt;&gt;"",($BM$26+18)&lt;=$BO$26)),"",IF(H173&lt;&gt;"",IF(H173="-","",H173),IF(ISNUMBER(SEARCH(":",$BP$26)),IFERROR(_xlfn.LET(_xlpm.s,_xlfn.TEXTSPLIT($BP$26,","),_xlpm.k,FIND(":",_xlpm.s),INDEX(TRIM(LEFT(_xlpm.s,_xlpm.k-1)),_xlfn.XMATCH(($BM$26+18),_xlfn.SCAN(0,--MID(_xlpm.s,_xlpm.k+1,9),_xlfn.LAMBDA(_xlpm.a,_xlpm.v,_xlpm.a+_xlpm.v)),1))),""),IF(($BM$26+18)&lt;=$BQ$26,$BP$26,""))))</f>
        <v/>
      </c>
      <c r="CC173" t="str" cm="1">
        <f t="array" ref="CC173">IF(NOT(AND($BN$27&lt;&gt;"",($BM$27+18)&lt;=$BO$27)),"",IF(N173&lt;&gt;"",IF(N173="-","",N173),IF(ISNUMBER(SEARCH(":",$BP$27)),IFERROR(_xlfn.LET(_xlpm.s,_xlfn.TEXTSPLIT($BP$27,","),_xlpm.k,FIND(":",_xlpm.s),INDEX(TRIM(LEFT(_xlpm.s,_xlpm.k-1)),_xlfn.XMATCH(($BM$27+18),_xlfn.SCAN(0,--MID(_xlpm.s,_xlpm.k+1,9),_xlfn.LAMBDA(_xlpm.a,_xlpm.v,_xlpm.a+_xlpm.v)),1))),""),IF(($BM$27+18)&lt;=$BQ$27,$BP$27,""))))</f>
        <v/>
      </c>
      <c r="CD173" t="str" cm="1">
        <f t="array" ref="CD173">IF(NOT(AND($BN$28&lt;&gt;"",($BM$28+18)&lt;=$BO$28)),"",IF(T173&lt;&gt;"",IF(T173="-","",T173),IF(ISNUMBER(SEARCH(":",$BP$28)),IFERROR(_xlfn.LET(_xlpm.s,_xlfn.TEXTSPLIT($BP$28,","),_xlpm.k,FIND(":",_xlpm.s),INDEX(TRIM(LEFT(_xlpm.s,_xlpm.k-1)),_xlfn.XMATCH(($BM$28+18),_xlfn.SCAN(0,--MID(_xlpm.s,_xlpm.k+1,9),_xlfn.LAMBDA(_xlpm.a,_xlpm.v,_xlpm.a+_xlpm.v)),1))),""),IF(($BM$28+18)&lt;=$BQ$28,$BP$28,""))))</f>
        <v/>
      </c>
    </row>
    <row r="174" spans="2:82" x14ac:dyDescent="0.45">
      <c r="B174" s="6"/>
      <c r="C174" s="9" t="str">
        <f>IF(CA174="","",CA174&amp;"-"&amp;TEXT(COUNTIF($CA$72:$CA$95,CA174)+COUNTIF($CB$72:$CB$95,CA174)+COUNTIF($CC$72:$CC$95,CA174)+COUNTIF($CD$72:$CD$95,CA174)+COUNTIF($CA$100:$CA$123,CA174)+COUNTIF($CB$100:$CB$123,CA174)+COUNTIF($CC$100:$CC$123,CA174)+COUNTIF($CD$100:$CD$123,CA174)+COUNTIF($CA$128:$CA$151,CA174)+COUNTIF($CB$128:$CB$151,CA174)+COUNTIF($CC$128:$CC$151,CA174)+COUNTIF($CD$128:$CD$151,CA174)+COUNTIF($CA$156:CA174,CA174),"000"))</f>
        <v/>
      </c>
      <c r="D174" s="9" t="str">
        <f>IF(AND($BN$25&lt;&gt;"",($BM$25+19)&lt;=$BO$25),$BN$25,"")</f>
        <v/>
      </c>
      <c r="E174" s="9" t="str">
        <f>IF(AND($BN$25&lt;&gt;"",($BM$25+19)&lt;=$BO$25),TEXT(($BM$25+19),"00"),"")</f>
        <v/>
      </c>
      <c r="F174" s="9" t="str">
        <f>IF(AND($BN$25&lt;&gt;"",($BM$25+19)&lt;=$BO$25),$BN$25&amp;"-"&amp;TEXT(($BM$25+19),"00"),"")</f>
        <v/>
      </c>
      <c r="H174" s="6"/>
      <c r="I174" s="9" t="str">
        <f>IF(CB174="","",CB174&amp;"-"&amp;TEXT(COUNTIF($CA$72:$CA$95,CB174)+COUNTIF($CB$72:$CB$95,CB174)+COUNTIF($CC$72:$CC$95,CB174)+COUNTIF($CD$72:$CD$95,CB174)+COUNTIF($CA$100:$CA$123,CB174)+COUNTIF($CB$100:$CB$123,CB174)+COUNTIF($CC$100:$CC$123,CB174)+COUNTIF($CD$100:$CD$123,CB174)+COUNTIF($CA$128:$CA$151,CB174)+COUNTIF($CB$128:$CB$151,CB174)+COUNTIF($CC$128:$CC$151,CB174)+COUNTIF($CD$128:$CD$151,CB174)+COUNTIF($CA$156:$CA$179,CB174)+COUNTIF($CB$156:CB174,CB174),"000"))</f>
        <v/>
      </c>
      <c r="J174" s="9" t="str">
        <f>IF(AND($BN$26&lt;&gt;"",($BM$26+19)&lt;=$BO$26),$BN$26,"")</f>
        <v/>
      </c>
      <c r="K174" s="9" t="str">
        <f>IF(AND($BN$26&lt;&gt;"",($BM$26+19)&lt;=$BO$26),TEXT(($BM$26+19),"00"),"")</f>
        <v/>
      </c>
      <c r="L174" s="9" t="str">
        <f>IF(AND($BN$26&lt;&gt;"",($BM$26+19)&lt;=$BO$26),$BN$26&amp;"-"&amp;TEXT(($BM$26+19),"00"),"")</f>
        <v/>
      </c>
      <c r="N174" s="6"/>
      <c r="O174" s="9" t="str">
        <f>IF(CC174="","",CC174&amp;"-"&amp;TEXT(COUNTIF($CA$72:$CA$95,CC174)+COUNTIF($CB$72:$CB$95,CC174)+COUNTIF($CC$72:$CC$95,CC174)+COUNTIF($CD$72:$CD$95,CC174)+COUNTIF($CA$100:$CA$123,CC174)+COUNTIF($CB$100:$CB$123,CC174)+COUNTIF($CC$100:$CC$123,CC174)+COUNTIF($CD$100:$CD$123,CC174)+COUNTIF($CA$128:$CA$151,CC174)+COUNTIF($CB$128:$CB$151,CC174)+COUNTIF($CC$128:$CC$151,CC174)+COUNTIF($CD$128:$CD$151,CC174)+COUNTIF($CA$156:$CA$179,CC174)+COUNTIF($CB$156:$CB$179,CC174)+COUNTIF($CC$156:CC174,CC174),"000"))</f>
        <v/>
      </c>
      <c r="P174" s="9" t="str">
        <f>IF(AND($BN$27&lt;&gt;"",($BM$27+19)&lt;=$BO$27),$BN$27,"")</f>
        <v/>
      </c>
      <c r="Q174" s="9" t="str">
        <f>IF(AND($BN$27&lt;&gt;"",($BM$27+19)&lt;=$BO$27),TEXT(($BM$27+19),"00"),"")</f>
        <v/>
      </c>
      <c r="R174" s="9" t="str">
        <f>IF(AND($BN$27&lt;&gt;"",($BM$27+19)&lt;=$BO$27),$BN$27&amp;"-"&amp;TEXT(($BM$27+19),"00"),"")</f>
        <v/>
      </c>
      <c r="T174" s="6"/>
      <c r="U174" s="9" t="str">
        <f>IF(CD174="","",CD174&amp;"-"&amp;TEXT(COUNTIF($CA$72:$CA$95,CD174)+COUNTIF($CB$72:$CB$95,CD174)+COUNTIF($CC$72:$CC$95,CD174)+COUNTIF($CD$72:$CD$95,CD174)+COUNTIF($CA$100:$CA$123,CD174)+COUNTIF($CB$100:$CB$123,CD174)+COUNTIF($CC$100:$CC$123,CD174)+COUNTIF($CD$100:$CD$123,CD174)+COUNTIF($CA$128:$CA$151,CD174)+COUNTIF($CB$128:$CB$151,CD174)+COUNTIF($CC$128:$CC$151,CD174)+COUNTIF($CD$128:$CD$151,CD174)+COUNTIF($CA$156:$CA$179,CD174)+COUNTIF($CB$156:$CB$179,CD174)+COUNTIF($CC$156:$CC$179,CD174)+COUNTIF($CD$156:CD174,CD174),"000"))</f>
        <v/>
      </c>
      <c r="V174" s="9" t="str">
        <f>IF(AND($BN$28&lt;&gt;"",($BM$28+19)&lt;=$BO$28),$BN$28,"")</f>
        <v/>
      </c>
      <c r="W174" s="9" t="str">
        <f>IF(AND($BN$28&lt;&gt;"",($BM$28+19)&lt;=$BO$28),TEXT(($BM$28+19),"00"),"")</f>
        <v/>
      </c>
      <c r="X174" s="9" t="str">
        <f>IF(AND($BN$28&lt;&gt;"",($BM$28+19)&lt;=$BO$28),$BN$28&amp;"-"&amp;TEXT(($BM$28+19),"00"),"")</f>
        <v/>
      </c>
      <c r="CA174" t="str" cm="1">
        <f t="array" ref="CA174">IF(NOT(AND($BN$25&lt;&gt;"",($BM$25+19)&lt;=$BO$25)),"",IF(B174&lt;&gt;"",IF(B174="-","",B174),IF(ISNUMBER(SEARCH(":",$BP$25)),IFERROR(_xlfn.LET(_xlpm.s,_xlfn.TEXTSPLIT($BP$25,","),_xlpm.k,FIND(":",_xlpm.s),INDEX(TRIM(LEFT(_xlpm.s,_xlpm.k-1)),_xlfn.XMATCH(($BM$25+19),_xlfn.SCAN(0,--MID(_xlpm.s,_xlpm.k+1,9),_xlfn.LAMBDA(_xlpm.a,_xlpm.v,_xlpm.a+_xlpm.v)),1))),""),IF(($BM$25+19)&lt;=$BQ$25,$BP$25,""))))</f>
        <v/>
      </c>
      <c r="CB174" t="str" cm="1">
        <f t="array" ref="CB174">IF(NOT(AND($BN$26&lt;&gt;"",($BM$26+19)&lt;=$BO$26)),"",IF(H174&lt;&gt;"",IF(H174="-","",H174),IF(ISNUMBER(SEARCH(":",$BP$26)),IFERROR(_xlfn.LET(_xlpm.s,_xlfn.TEXTSPLIT($BP$26,","),_xlpm.k,FIND(":",_xlpm.s),INDEX(TRIM(LEFT(_xlpm.s,_xlpm.k-1)),_xlfn.XMATCH(($BM$26+19),_xlfn.SCAN(0,--MID(_xlpm.s,_xlpm.k+1,9),_xlfn.LAMBDA(_xlpm.a,_xlpm.v,_xlpm.a+_xlpm.v)),1))),""),IF(($BM$26+19)&lt;=$BQ$26,$BP$26,""))))</f>
        <v/>
      </c>
      <c r="CC174" t="str" cm="1">
        <f t="array" ref="CC174">IF(NOT(AND($BN$27&lt;&gt;"",($BM$27+19)&lt;=$BO$27)),"",IF(N174&lt;&gt;"",IF(N174="-","",N174),IF(ISNUMBER(SEARCH(":",$BP$27)),IFERROR(_xlfn.LET(_xlpm.s,_xlfn.TEXTSPLIT($BP$27,","),_xlpm.k,FIND(":",_xlpm.s),INDEX(TRIM(LEFT(_xlpm.s,_xlpm.k-1)),_xlfn.XMATCH(($BM$27+19),_xlfn.SCAN(0,--MID(_xlpm.s,_xlpm.k+1,9),_xlfn.LAMBDA(_xlpm.a,_xlpm.v,_xlpm.a+_xlpm.v)),1))),""),IF(($BM$27+19)&lt;=$BQ$27,$BP$27,""))))</f>
        <v/>
      </c>
      <c r="CD174" t="str" cm="1">
        <f t="array" ref="CD174">IF(NOT(AND($BN$28&lt;&gt;"",($BM$28+19)&lt;=$BO$28)),"",IF(T174&lt;&gt;"",IF(T174="-","",T174),IF(ISNUMBER(SEARCH(":",$BP$28)),IFERROR(_xlfn.LET(_xlpm.s,_xlfn.TEXTSPLIT($BP$28,","),_xlpm.k,FIND(":",_xlpm.s),INDEX(TRIM(LEFT(_xlpm.s,_xlpm.k-1)),_xlfn.XMATCH(($BM$28+19),_xlfn.SCAN(0,--MID(_xlpm.s,_xlpm.k+1,9),_xlfn.LAMBDA(_xlpm.a,_xlpm.v,_xlpm.a+_xlpm.v)),1))),""),IF(($BM$28+19)&lt;=$BQ$28,$BP$28,""))))</f>
        <v/>
      </c>
    </row>
    <row r="175" spans="2:82" x14ac:dyDescent="0.45">
      <c r="B175" s="6"/>
      <c r="C175" s="9" t="str">
        <f>IF(CA175="","",CA175&amp;"-"&amp;TEXT(COUNTIF($CA$72:$CA$95,CA175)+COUNTIF($CB$72:$CB$95,CA175)+COUNTIF($CC$72:$CC$95,CA175)+COUNTIF($CD$72:$CD$95,CA175)+COUNTIF($CA$100:$CA$123,CA175)+COUNTIF($CB$100:$CB$123,CA175)+COUNTIF($CC$100:$CC$123,CA175)+COUNTIF($CD$100:$CD$123,CA175)+COUNTIF($CA$128:$CA$151,CA175)+COUNTIF($CB$128:$CB$151,CA175)+COUNTIF($CC$128:$CC$151,CA175)+COUNTIF($CD$128:$CD$151,CA175)+COUNTIF($CA$156:CA175,CA175),"000"))</f>
        <v/>
      </c>
      <c r="D175" s="9" t="str">
        <f>IF(AND($BN$25&lt;&gt;"",($BM$25+20)&lt;=$BO$25),$BN$25,"")</f>
        <v/>
      </c>
      <c r="E175" s="9" t="str">
        <f>IF(AND($BN$25&lt;&gt;"",($BM$25+20)&lt;=$BO$25),TEXT(($BM$25+20),"00"),"")</f>
        <v/>
      </c>
      <c r="F175" s="9" t="str">
        <f>IF(AND($BN$25&lt;&gt;"",($BM$25+20)&lt;=$BO$25),$BN$25&amp;"-"&amp;TEXT(($BM$25+20),"00"),"")</f>
        <v/>
      </c>
      <c r="H175" s="6"/>
      <c r="I175" s="9" t="str">
        <f>IF(CB175="","",CB175&amp;"-"&amp;TEXT(COUNTIF($CA$72:$CA$95,CB175)+COUNTIF($CB$72:$CB$95,CB175)+COUNTIF($CC$72:$CC$95,CB175)+COUNTIF($CD$72:$CD$95,CB175)+COUNTIF($CA$100:$CA$123,CB175)+COUNTIF($CB$100:$CB$123,CB175)+COUNTIF($CC$100:$CC$123,CB175)+COUNTIF($CD$100:$CD$123,CB175)+COUNTIF($CA$128:$CA$151,CB175)+COUNTIF($CB$128:$CB$151,CB175)+COUNTIF($CC$128:$CC$151,CB175)+COUNTIF($CD$128:$CD$151,CB175)+COUNTIF($CA$156:$CA$179,CB175)+COUNTIF($CB$156:CB175,CB175),"000"))</f>
        <v/>
      </c>
      <c r="J175" s="9" t="str">
        <f>IF(AND($BN$26&lt;&gt;"",($BM$26+20)&lt;=$BO$26),$BN$26,"")</f>
        <v/>
      </c>
      <c r="K175" s="9" t="str">
        <f>IF(AND($BN$26&lt;&gt;"",($BM$26+20)&lt;=$BO$26),TEXT(($BM$26+20),"00"),"")</f>
        <v/>
      </c>
      <c r="L175" s="9" t="str">
        <f>IF(AND($BN$26&lt;&gt;"",($BM$26+20)&lt;=$BO$26),$BN$26&amp;"-"&amp;TEXT(($BM$26+20),"00"),"")</f>
        <v/>
      </c>
      <c r="N175" s="6"/>
      <c r="O175" s="9" t="str">
        <f>IF(CC175="","",CC175&amp;"-"&amp;TEXT(COUNTIF($CA$72:$CA$95,CC175)+COUNTIF($CB$72:$CB$95,CC175)+COUNTIF($CC$72:$CC$95,CC175)+COUNTIF($CD$72:$CD$95,CC175)+COUNTIF($CA$100:$CA$123,CC175)+COUNTIF($CB$100:$CB$123,CC175)+COUNTIF($CC$100:$CC$123,CC175)+COUNTIF($CD$100:$CD$123,CC175)+COUNTIF($CA$128:$CA$151,CC175)+COUNTIF($CB$128:$CB$151,CC175)+COUNTIF($CC$128:$CC$151,CC175)+COUNTIF($CD$128:$CD$151,CC175)+COUNTIF($CA$156:$CA$179,CC175)+COUNTIF($CB$156:$CB$179,CC175)+COUNTIF($CC$156:CC175,CC175),"000"))</f>
        <v/>
      </c>
      <c r="P175" s="9" t="str">
        <f>IF(AND($BN$27&lt;&gt;"",($BM$27+20)&lt;=$BO$27),$BN$27,"")</f>
        <v/>
      </c>
      <c r="Q175" s="9" t="str">
        <f>IF(AND($BN$27&lt;&gt;"",($BM$27+20)&lt;=$BO$27),TEXT(($BM$27+20),"00"),"")</f>
        <v/>
      </c>
      <c r="R175" s="9" t="str">
        <f>IF(AND($BN$27&lt;&gt;"",($BM$27+20)&lt;=$BO$27),$BN$27&amp;"-"&amp;TEXT(($BM$27+20),"00"),"")</f>
        <v/>
      </c>
      <c r="T175" s="6"/>
      <c r="U175" s="9" t="str">
        <f>IF(CD175="","",CD175&amp;"-"&amp;TEXT(COUNTIF($CA$72:$CA$95,CD175)+COUNTIF($CB$72:$CB$95,CD175)+COUNTIF($CC$72:$CC$95,CD175)+COUNTIF($CD$72:$CD$95,CD175)+COUNTIF($CA$100:$CA$123,CD175)+COUNTIF($CB$100:$CB$123,CD175)+COUNTIF($CC$100:$CC$123,CD175)+COUNTIF($CD$100:$CD$123,CD175)+COUNTIF($CA$128:$CA$151,CD175)+COUNTIF($CB$128:$CB$151,CD175)+COUNTIF($CC$128:$CC$151,CD175)+COUNTIF($CD$128:$CD$151,CD175)+COUNTIF($CA$156:$CA$179,CD175)+COUNTIF($CB$156:$CB$179,CD175)+COUNTIF($CC$156:$CC$179,CD175)+COUNTIF($CD$156:CD175,CD175),"000"))</f>
        <v/>
      </c>
      <c r="V175" s="9" t="str">
        <f>IF(AND($BN$28&lt;&gt;"",($BM$28+20)&lt;=$BO$28),$BN$28,"")</f>
        <v/>
      </c>
      <c r="W175" s="9" t="str">
        <f>IF(AND($BN$28&lt;&gt;"",($BM$28+20)&lt;=$BO$28),TEXT(($BM$28+20),"00"),"")</f>
        <v/>
      </c>
      <c r="X175" s="9" t="str">
        <f>IF(AND($BN$28&lt;&gt;"",($BM$28+20)&lt;=$BO$28),$BN$28&amp;"-"&amp;TEXT(($BM$28+20),"00"),"")</f>
        <v/>
      </c>
      <c r="CA175" t="str" cm="1">
        <f t="array" ref="CA175">IF(NOT(AND($BN$25&lt;&gt;"",($BM$25+20)&lt;=$BO$25)),"",IF(B175&lt;&gt;"",IF(B175="-","",B175),IF(ISNUMBER(SEARCH(":",$BP$25)),IFERROR(_xlfn.LET(_xlpm.s,_xlfn.TEXTSPLIT($BP$25,","),_xlpm.k,FIND(":",_xlpm.s),INDEX(TRIM(LEFT(_xlpm.s,_xlpm.k-1)),_xlfn.XMATCH(($BM$25+20),_xlfn.SCAN(0,--MID(_xlpm.s,_xlpm.k+1,9),_xlfn.LAMBDA(_xlpm.a,_xlpm.v,_xlpm.a+_xlpm.v)),1))),""),IF(($BM$25+20)&lt;=$BQ$25,$BP$25,""))))</f>
        <v/>
      </c>
      <c r="CB175" t="str" cm="1">
        <f t="array" ref="CB175">IF(NOT(AND($BN$26&lt;&gt;"",($BM$26+20)&lt;=$BO$26)),"",IF(H175&lt;&gt;"",IF(H175="-","",H175),IF(ISNUMBER(SEARCH(":",$BP$26)),IFERROR(_xlfn.LET(_xlpm.s,_xlfn.TEXTSPLIT($BP$26,","),_xlpm.k,FIND(":",_xlpm.s),INDEX(TRIM(LEFT(_xlpm.s,_xlpm.k-1)),_xlfn.XMATCH(($BM$26+20),_xlfn.SCAN(0,--MID(_xlpm.s,_xlpm.k+1,9),_xlfn.LAMBDA(_xlpm.a,_xlpm.v,_xlpm.a+_xlpm.v)),1))),""),IF(($BM$26+20)&lt;=$BQ$26,$BP$26,""))))</f>
        <v/>
      </c>
      <c r="CC175" t="str" cm="1">
        <f t="array" ref="CC175">IF(NOT(AND($BN$27&lt;&gt;"",($BM$27+20)&lt;=$BO$27)),"",IF(N175&lt;&gt;"",IF(N175="-","",N175),IF(ISNUMBER(SEARCH(":",$BP$27)),IFERROR(_xlfn.LET(_xlpm.s,_xlfn.TEXTSPLIT($BP$27,","),_xlpm.k,FIND(":",_xlpm.s),INDEX(TRIM(LEFT(_xlpm.s,_xlpm.k-1)),_xlfn.XMATCH(($BM$27+20),_xlfn.SCAN(0,--MID(_xlpm.s,_xlpm.k+1,9),_xlfn.LAMBDA(_xlpm.a,_xlpm.v,_xlpm.a+_xlpm.v)),1))),""),IF(($BM$27+20)&lt;=$BQ$27,$BP$27,""))))</f>
        <v/>
      </c>
      <c r="CD175" t="str" cm="1">
        <f t="array" ref="CD175">IF(NOT(AND($BN$28&lt;&gt;"",($BM$28+20)&lt;=$BO$28)),"",IF(T175&lt;&gt;"",IF(T175="-","",T175),IF(ISNUMBER(SEARCH(":",$BP$28)),IFERROR(_xlfn.LET(_xlpm.s,_xlfn.TEXTSPLIT($BP$28,","),_xlpm.k,FIND(":",_xlpm.s),INDEX(TRIM(LEFT(_xlpm.s,_xlpm.k-1)),_xlfn.XMATCH(($BM$28+20),_xlfn.SCAN(0,--MID(_xlpm.s,_xlpm.k+1,9),_xlfn.LAMBDA(_xlpm.a,_xlpm.v,_xlpm.a+_xlpm.v)),1))),""),IF(($BM$28+20)&lt;=$BQ$28,$BP$28,""))))</f>
        <v/>
      </c>
    </row>
    <row r="176" spans="2:82" x14ac:dyDescent="0.45">
      <c r="B176" s="6"/>
      <c r="C176" s="9" t="str">
        <f>IF(CA176="","",CA176&amp;"-"&amp;TEXT(COUNTIF($CA$72:$CA$95,CA176)+COUNTIF($CB$72:$CB$95,CA176)+COUNTIF($CC$72:$CC$95,CA176)+COUNTIF($CD$72:$CD$95,CA176)+COUNTIF($CA$100:$CA$123,CA176)+COUNTIF($CB$100:$CB$123,CA176)+COUNTIF($CC$100:$CC$123,CA176)+COUNTIF($CD$100:$CD$123,CA176)+COUNTIF($CA$128:$CA$151,CA176)+COUNTIF($CB$128:$CB$151,CA176)+COUNTIF($CC$128:$CC$151,CA176)+COUNTIF($CD$128:$CD$151,CA176)+COUNTIF($CA$156:CA176,CA176),"000"))</f>
        <v/>
      </c>
      <c r="D176" s="9" t="str">
        <f>IF(AND($BN$25&lt;&gt;"",($BM$25+21)&lt;=$BO$25),$BN$25,"")</f>
        <v/>
      </c>
      <c r="E176" s="9" t="str">
        <f>IF(AND($BN$25&lt;&gt;"",($BM$25+21)&lt;=$BO$25),TEXT(($BM$25+21),"00"),"")</f>
        <v/>
      </c>
      <c r="F176" s="9" t="str">
        <f>IF(AND($BN$25&lt;&gt;"",($BM$25+21)&lt;=$BO$25),$BN$25&amp;"-"&amp;TEXT(($BM$25+21),"00"),"")</f>
        <v/>
      </c>
      <c r="H176" s="6"/>
      <c r="I176" s="9" t="str">
        <f>IF(CB176="","",CB176&amp;"-"&amp;TEXT(COUNTIF($CA$72:$CA$95,CB176)+COUNTIF($CB$72:$CB$95,CB176)+COUNTIF($CC$72:$CC$95,CB176)+COUNTIF($CD$72:$CD$95,CB176)+COUNTIF($CA$100:$CA$123,CB176)+COUNTIF($CB$100:$CB$123,CB176)+COUNTIF($CC$100:$CC$123,CB176)+COUNTIF($CD$100:$CD$123,CB176)+COUNTIF($CA$128:$CA$151,CB176)+COUNTIF($CB$128:$CB$151,CB176)+COUNTIF($CC$128:$CC$151,CB176)+COUNTIF($CD$128:$CD$151,CB176)+COUNTIF($CA$156:$CA$179,CB176)+COUNTIF($CB$156:CB176,CB176),"000"))</f>
        <v/>
      </c>
      <c r="J176" s="9" t="str">
        <f>IF(AND($BN$26&lt;&gt;"",($BM$26+21)&lt;=$BO$26),$BN$26,"")</f>
        <v/>
      </c>
      <c r="K176" s="9" t="str">
        <f>IF(AND($BN$26&lt;&gt;"",($BM$26+21)&lt;=$BO$26),TEXT(($BM$26+21),"00"),"")</f>
        <v/>
      </c>
      <c r="L176" s="9" t="str">
        <f>IF(AND($BN$26&lt;&gt;"",($BM$26+21)&lt;=$BO$26),$BN$26&amp;"-"&amp;TEXT(($BM$26+21),"00"),"")</f>
        <v/>
      </c>
      <c r="N176" s="6"/>
      <c r="O176" s="9" t="str">
        <f>IF(CC176="","",CC176&amp;"-"&amp;TEXT(COUNTIF($CA$72:$CA$95,CC176)+COUNTIF($CB$72:$CB$95,CC176)+COUNTIF($CC$72:$CC$95,CC176)+COUNTIF($CD$72:$CD$95,CC176)+COUNTIF($CA$100:$CA$123,CC176)+COUNTIF($CB$100:$CB$123,CC176)+COUNTIF($CC$100:$CC$123,CC176)+COUNTIF($CD$100:$CD$123,CC176)+COUNTIF($CA$128:$CA$151,CC176)+COUNTIF($CB$128:$CB$151,CC176)+COUNTIF($CC$128:$CC$151,CC176)+COUNTIF($CD$128:$CD$151,CC176)+COUNTIF($CA$156:$CA$179,CC176)+COUNTIF($CB$156:$CB$179,CC176)+COUNTIF($CC$156:CC176,CC176),"000"))</f>
        <v/>
      </c>
      <c r="P176" s="9" t="str">
        <f>IF(AND($BN$27&lt;&gt;"",($BM$27+21)&lt;=$BO$27),$BN$27,"")</f>
        <v/>
      </c>
      <c r="Q176" s="9" t="str">
        <f>IF(AND($BN$27&lt;&gt;"",($BM$27+21)&lt;=$BO$27),TEXT(($BM$27+21),"00"),"")</f>
        <v/>
      </c>
      <c r="R176" s="9" t="str">
        <f>IF(AND($BN$27&lt;&gt;"",($BM$27+21)&lt;=$BO$27),$BN$27&amp;"-"&amp;TEXT(($BM$27+21),"00"),"")</f>
        <v/>
      </c>
      <c r="T176" s="6"/>
      <c r="U176" s="9" t="str">
        <f>IF(CD176="","",CD176&amp;"-"&amp;TEXT(COUNTIF($CA$72:$CA$95,CD176)+COUNTIF($CB$72:$CB$95,CD176)+COUNTIF($CC$72:$CC$95,CD176)+COUNTIF($CD$72:$CD$95,CD176)+COUNTIF($CA$100:$CA$123,CD176)+COUNTIF($CB$100:$CB$123,CD176)+COUNTIF($CC$100:$CC$123,CD176)+COUNTIF($CD$100:$CD$123,CD176)+COUNTIF($CA$128:$CA$151,CD176)+COUNTIF($CB$128:$CB$151,CD176)+COUNTIF($CC$128:$CC$151,CD176)+COUNTIF($CD$128:$CD$151,CD176)+COUNTIF($CA$156:$CA$179,CD176)+COUNTIF($CB$156:$CB$179,CD176)+COUNTIF($CC$156:$CC$179,CD176)+COUNTIF($CD$156:CD176,CD176),"000"))</f>
        <v/>
      </c>
      <c r="V176" s="9" t="str">
        <f>IF(AND($BN$28&lt;&gt;"",($BM$28+21)&lt;=$BO$28),$BN$28,"")</f>
        <v/>
      </c>
      <c r="W176" s="9" t="str">
        <f>IF(AND($BN$28&lt;&gt;"",($BM$28+21)&lt;=$BO$28),TEXT(($BM$28+21),"00"),"")</f>
        <v/>
      </c>
      <c r="X176" s="9" t="str">
        <f>IF(AND($BN$28&lt;&gt;"",($BM$28+21)&lt;=$BO$28),$BN$28&amp;"-"&amp;TEXT(($BM$28+21),"00"),"")</f>
        <v/>
      </c>
      <c r="CA176" t="str" cm="1">
        <f t="array" ref="CA176">IF(NOT(AND($BN$25&lt;&gt;"",($BM$25+21)&lt;=$BO$25)),"",IF(B176&lt;&gt;"",IF(B176="-","",B176),IF(ISNUMBER(SEARCH(":",$BP$25)),IFERROR(_xlfn.LET(_xlpm.s,_xlfn.TEXTSPLIT($BP$25,","),_xlpm.k,FIND(":",_xlpm.s),INDEX(TRIM(LEFT(_xlpm.s,_xlpm.k-1)),_xlfn.XMATCH(($BM$25+21),_xlfn.SCAN(0,--MID(_xlpm.s,_xlpm.k+1,9),_xlfn.LAMBDA(_xlpm.a,_xlpm.v,_xlpm.a+_xlpm.v)),1))),""),IF(($BM$25+21)&lt;=$BQ$25,$BP$25,""))))</f>
        <v/>
      </c>
      <c r="CB176" t="str" cm="1">
        <f t="array" ref="CB176">IF(NOT(AND($BN$26&lt;&gt;"",($BM$26+21)&lt;=$BO$26)),"",IF(H176&lt;&gt;"",IF(H176="-","",H176),IF(ISNUMBER(SEARCH(":",$BP$26)),IFERROR(_xlfn.LET(_xlpm.s,_xlfn.TEXTSPLIT($BP$26,","),_xlpm.k,FIND(":",_xlpm.s),INDEX(TRIM(LEFT(_xlpm.s,_xlpm.k-1)),_xlfn.XMATCH(($BM$26+21),_xlfn.SCAN(0,--MID(_xlpm.s,_xlpm.k+1,9),_xlfn.LAMBDA(_xlpm.a,_xlpm.v,_xlpm.a+_xlpm.v)),1))),""),IF(($BM$26+21)&lt;=$BQ$26,$BP$26,""))))</f>
        <v/>
      </c>
      <c r="CC176" t="str" cm="1">
        <f t="array" ref="CC176">IF(NOT(AND($BN$27&lt;&gt;"",($BM$27+21)&lt;=$BO$27)),"",IF(N176&lt;&gt;"",IF(N176="-","",N176),IF(ISNUMBER(SEARCH(":",$BP$27)),IFERROR(_xlfn.LET(_xlpm.s,_xlfn.TEXTSPLIT($BP$27,","),_xlpm.k,FIND(":",_xlpm.s),INDEX(TRIM(LEFT(_xlpm.s,_xlpm.k-1)),_xlfn.XMATCH(($BM$27+21),_xlfn.SCAN(0,--MID(_xlpm.s,_xlpm.k+1,9),_xlfn.LAMBDA(_xlpm.a,_xlpm.v,_xlpm.a+_xlpm.v)),1))),""),IF(($BM$27+21)&lt;=$BQ$27,$BP$27,""))))</f>
        <v/>
      </c>
      <c r="CD176" t="str" cm="1">
        <f t="array" ref="CD176">IF(NOT(AND($BN$28&lt;&gt;"",($BM$28+21)&lt;=$BO$28)),"",IF(T176&lt;&gt;"",IF(T176="-","",T176),IF(ISNUMBER(SEARCH(":",$BP$28)),IFERROR(_xlfn.LET(_xlpm.s,_xlfn.TEXTSPLIT($BP$28,","),_xlpm.k,FIND(":",_xlpm.s),INDEX(TRIM(LEFT(_xlpm.s,_xlpm.k-1)),_xlfn.XMATCH(($BM$28+21),_xlfn.SCAN(0,--MID(_xlpm.s,_xlpm.k+1,9),_xlfn.LAMBDA(_xlpm.a,_xlpm.v,_xlpm.a+_xlpm.v)),1))),""),IF(($BM$28+21)&lt;=$BQ$28,$BP$28,""))))</f>
        <v/>
      </c>
    </row>
    <row r="177" spans="2:82" x14ac:dyDescent="0.45">
      <c r="B177" s="6"/>
      <c r="C177" s="9" t="str">
        <f>IF(CA177="","",CA177&amp;"-"&amp;TEXT(COUNTIF($CA$72:$CA$95,CA177)+COUNTIF($CB$72:$CB$95,CA177)+COUNTIF($CC$72:$CC$95,CA177)+COUNTIF($CD$72:$CD$95,CA177)+COUNTIF($CA$100:$CA$123,CA177)+COUNTIF($CB$100:$CB$123,CA177)+COUNTIF($CC$100:$CC$123,CA177)+COUNTIF($CD$100:$CD$123,CA177)+COUNTIF($CA$128:$CA$151,CA177)+COUNTIF($CB$128:$CB$151,CA177)+COUNTIF($CC$128:$CC$151,CA177)+COUNTIF($CD$128:$CD$151,CA177)+COUNTIF($CA$156:CA177,CA177),"000"))</f>
        <v/>
      </c>
      <c r="D177" s="9" t="str">
        <f>IF(AND($BN$25&lt;&gt;"",($BM$25+22)&lt;=$BO$25),$BN$25,"")</f>
        <v/>
      </c>
      <c r="E177" s="9" t="str">
        <f>IF(AND($BN$25&lt;&gt;"",($BM$25+22)&lt;=$BO$25),TEXT(($BM$25+22),"00"),"")</f>
        <v/>
      </c>
      <c r="F177" s="9" t="str">
        <f>IF(AND($BN$25&lt;&gt;"",($BM$25+22)&lt;=$BO$25),$BN$25&amp;"-"&amp;TEXT(($BM$25+22),"00"),"")</f>
        <v/>
      </c>
      <c r="H177" s="6"/>
      <c r="I177" s="9" t="str">
        <f>IF(CB177="","",CB177&amp;"-"&amp;TEXT(COUNTIF($CA$72:$CA$95,CB177)+COUNTIF($CB$72:$CB$95,CB177)+COUNTIF($CC$72:$CC$95,CB177)+COUNTIF($CD$72:$CD$95,CB177)+COUNTIF($CA$100:$CA$123,CB177)+COUNTIF($CB$100:$CB$123,CB177)+COUNTIF($CC$100:$CC$123,CB177)+COUNTIF($CD$100:$CD$123,CB177)+COUNTIF($CA$128:$CA$151,CB177)+COUNTIF($CB$128:$CB$151,CB177)+COUNTIF($CC$128:$CC$151,CB177)+COUNTIF($CD$128:$CD$151,CB177)+COUNTIF($CA$156:$CA$179,CB177)+COUNTIF($CB$156:CB177,CB177),"000"))</f>
        <v/>
      </c>
      <c r="J177" s="9" t="str">
        <f>IF(AND($BN$26&lt;&gt;"",($BM$26+22)&lt;=$BO$26),$BN$26,"")</f>
        <v/>
      </c>
      <c r="K177" s="9" t="str">
        <f>IF(AND($BN$26&lt;&gt;"",($BM$26+22)&lt;=$BO$26),TEXT(($BM$26+22),"00"),"")</f>
        <v/>
      </c>
      <c r="L177" s="9" t="str">
        <f>IF(AND($BN$26&lt;&gt;"",($BM$26+22)&lt;=$BO$26),$BN$26&amp;"-"&amp;TEXT(($BM$26+22),"00"),"")</f>
        <v/>
      </c>
      <c r="N177" s="6"/>
      <c r="O177" s="9" t="str">
        <f>IF(CC177="","",CC177&amp;"-"&amp;TEXT(COUNTIF($CA$72:$CA$95,CC177)+COUNTIF($CB$72:$CB$95,CC177)+COUNTIF($CC$72:$CC$95,CC177)+COUNTIF($CD$72:$CD$95,CC177)+COUNTIF($CA$100:$CA$123,CC177)+COUNTIF($CB$100:$CB$123,CC177)+COUNTIF($CC$100:$CC$123,CC177)+COUNTIF($CD$100:$CD$123,CC177)+COUNTIF($CA$128:$CA$151,CC177)+COUNTIF($CB$128:$CB$151,CC177)+COUNTIF($CC$128:$CC$151,CC177)+COUNTIF($CD$128:$CD$151,CC177)+COUNTIF($CA$156:$CA$179,CC177)+COUNTIF($CB$156:$CB$179,CC177)+COUNTIF($CC$156:CC177,CC177),"000"))</f>
        <v/>
      </c>
      <c r="P177" s="9" t="str">
        <f>IF(AND($BN$27&lt;&gt;"",($BM$27+22)&lt;=$BO$27),$BN$27,"")</f>
        <v/>
      </c>
      <c r="Q177" s="9" t="str">
        <f>IF(AND($BN$27&lt;&gt;"",($BM$27+22)&lt;=$BO$27),TEXT(($BM$27+22),"00"),"")</f>
        <v/>
      </c>
      <c r="R177" s="9" t="str">
        <f>IF(AND($BN$27&lt;&gt;"",($BM$27+22)&lt;=$BO$27),$BN$27&amp;"-"&amp;TEXT(($BM$27+22),"00"),"")</f>
        <v/>
      </c>
      <c r="T177" s="6"/>
      <c r="U177" s="9" t="str">
        <f>IF(CD177="","",CD177&amp;"-"&amp;TEXT(COUNTIF($CA$72:$CA$95,CD177)+COUNTIF($CB$72:$CB$95,CD177)+COUNTIF($CC$72:$CC$95,CD177)+COUNTIF($CD$72:$CD$95,CD177)+COUNTIF($CA$100:$CA$123,CD177)+COUNTIF($CB$100:$CB$123,CD177)+COUNTIF($CC$100:$CC$123,CD177)+COUNTIF($CD$100:$CD$123,CD177)+COUNTIF($CA$128:$CA$151,CD177)+COUNTIF($CB$128:$CB$151,CD177)+COUNTIF($CC$128:$CC$151,CD177)+COUNTIF($CD$128:$CD$151,CD177)+COUNTIF($CA$156:$CA$179,CD177)+COUNTIF($CB$156:$CB$179,CD177)+COUNTIF($CC$156:$CC$179,CD177)+COUNTIF($CD$156:CD177,CD177),"000"))</f>
        <v/>
      </c>
      <c r="V177" s="9" t="str">
        <f>IF(AND($BN$28&lt;&gt;"",($BM$28+22)&lt;=$BO$28),$BN$28,"")</f>
        <v/>
      </c>
      <c r="W177" s="9" t="str">
        <f>IF(AND($BN$28&lt;&gt;"",($BM$28+22)&lt;=$BO$28),TEXT(($BM$28+22),"00"),"")</f>
        <v/>
      </c>
      <c r="X177" s="9" t="str">
        <f>IF(AND($BN$28&lt;&gt;"",($BM$28+22)&lt;=$BO$28),$BN$28&amp;"-"&amp;TEXT(($BM$28+22),"00"),"")</f>
        <v/>
      </c>
      <c r="CA177" t="str" cm="1">
        <f t="array" ref="CA177">IF(NOT(AND($BN$25&lt;&gt;"",($BM$25+22)&lt;=$BO$25)),"",IF(B177&lt;&gt;"",IF(B177="-","",B177),IF(ISNUMBER(SEARCH(":",$BP$25)),IFERROR(_xlfn.LET(_xlpm.s,_xlfn.TEXTSPLIT($BP$25,","),_xlpm.k,FIND(":",_xlpm.s),INDEX(TRIM(LEFT(_xlpm.s,_xlpm.k-1)),_xlfn.XMATCH(($BM$25+22),_xlfn.SCAN(0,--MID(_xlpm.s,_xlpm.k+1,9),_xlfn.LAMBDA(_xlpm.a,_xlpm.v,_xlpm.a+_xlpm.v)),1))),""),IF(($BM$25+22)&lt;=$BQ$25,$BP$25,""))))</f>
        <v/>
      </c>
      <c r="CB177" t="str" cm="1">
        <f t="array" ref="CB177">IF(NOT(AND($BN$26&lt;&gt;"",($BM$26+22)&lt;=$BO$26)),"",IF(H177&lt;&gt;"",IF(H177="-","",H177),IF(ISNUMBER(SEARCH(":",$BP$26)),IFERROR(_xlfn.LET(_xlpm.s,_xlfn.TEXTSPLIT($BP$26,","),_xlpm.k,FIND(":",_xlpm.s),INDEX(TRIM(LEFT(_xlpm.s,_xlpm.k-1)),_xlfn.XMATCH(($BM$26+22),_xlfn.SCAN(0,--MID(_xlpm.s,_xlpm.k+1,9),_xlfn.LAMBDA(_xlpm.a,_xlpm.v,_xlpm.a+_xlpm.v)),1))),""),IF(($BM$26+22)&lt;=$BQ$26,$BP$26,""))))</f>
        <v/>
      </c>
      <c r="CC177" t="str" cm="1">
        <f t="array" ref="CC177">IF(NOT(AND($BN$27&lt;&gt;"",($BM$27+22)&lt;=$BO$27)),"",IF(N177&lt;&gt;"",IF(N177="-","",N177),IF(ISNUMBER(SEARCH(":",$BP$27)),IFERROR(_xlfn.LET(_xlpm.s,_xlfn.TEXTSPLIT($BP$27,","),_xlpm.k,FIND(":",_xlpm.s),INDEX(TRIM(LEFT(_xlpm.s,_xlpm.k-1)),_xlfn.XMATCH(($BM$27+22),_xlfn.SCAN(0,--MID(_xlpm.s,_xlpm.k+1,9),_xlfn.LAMBDA(_xlpm.a,_xlpm.v,_xlpm.a+_xlpm.v)),1))),""),IF(($BM$27+22)&lt;=$BQ$27,$BP$27,""))))</f>
        <v/>
      </c>
      <c r="CD177" t="str" cm="1">
        <f t="array" ref="CD177">IF(NOT(AND($BN$28&lt;&gt;"",($BM$28+22)&lt;=$BO$28)),"",IF(T177&lt;&gt;"",IF(T177="-","",T177),IF(ISNUMBER(SEARCH(":",$BP$28)),IFERROR(_xlfn.LET(_xlpm.s,_xlfn.TEXTSPLIT($BP$28,","),_xlpm.k,FIND(":",_xlpm.s),INDEX(TRIM(LEFT(_xlpm.s,_xlpm.k-1)),_xlfn.XMATCH(($BM$28+22),_xlfn.SCAN(0,--MID(_xlpm.s,_xlpm.k+1,9),_xlfn.LAMBDA(_xlpm.a,_xlpm.v,_xlpm.a+_xlpm.v)),1))),""),IF(($BM$28+22)&lt;=$BQ$28,$BP$28,""))))</f>
        <v/>
      </c>
    </row>
    <row r="178" spans="2:82" x14ac:dyDescent="0.45">
      <c r="B178" s="6"/>
      <c r="C178" s="9" t="str">
        <f>IF(CA178="","",CA178&amp;"-"&amp;TEXT(COUNTIF($CA$72:$CA$95,CA178)+COUNTIF($CB$72:$CB$95,CA178)+COUNTIF($CC$72:$CC$95,CA178)+COUNTIF($CD$72:$CD$95,CA178)+COUNTIF($CA$100:$CA$123,CA178)+COUNTIF($CB$100:$CB$123,CA178)+COUNTIF($CC$100:$CC$123,CA178)+COUNTIF($CD$100:$CD$123,CA178)+COUNTIF($CA$128:$CA$151,CA178)+COUNTIF($CB$128:$CB$151,CA178)+COUNTIF($CC$128:$CC$151,CA178)+COUNTIF($CD$128:$CD$151,CA178)+COUNTIF($CA$156:CA178,CA178),"000"))</f>
        <v/>
      </c>
      <c r="D178" s="9" t="str">
        <f>IF(AND($BN$25&lt;&gt;"",($BM$25+23)&lt;=$BO$25),$BN$25,"")</f>
        <v/>
      </c>
      <c r="E178" s="9" t="str">
        <f>IF(AND($BN$25&lt;&gt;"",($BM$25+23)&lt;=$BO$25),TEXT(($BM$25+23),"00"),"")</f>
        <v/>
      </c>
      <c r="F178" s="9" t="str">
        <f>IF(AND($BN$25&lt;&gt;"",($BM$25+23)&lt;=$BO$25),$BN$25&amp;"-"&amp;TEXT(($BM$25+23),"00"),"")</f>
        <v/>
      </c>
      <c r="H178" s="6"/>
      <c r="I178" s="9" t="str">
        <f>IF(CB178="","",CB178&amp;"-"&amp;TEXT(COUNTIF($CA$72:$CA$95,CB178)+COUNTIF($CB$72:$CB$95,CB178)+COUNTIF($CC$72:$CC$95,CB178)+COUNTIF($CD$72:$CD$95,CB178)+COUNTIF($CA$100:$CA$123,CB178)+COUNTIF($CB$100:$CB$123,CB178)+COUNTIF($CC$100:$CC$123,CB178)+COUNTIF($CD$100:$CD$123,CB178)+COUNTIF($CA$128:$CA$151,CB178)+COUNTIF($CB$128:$CB$151,CB178)+COUNTIF($CC$128:$CC$151,CB178)+COUNTIF($CD$128:$CD$151,CB178)+COUNTIF($CA$156:$CA$179,CB178)+COUNTIF($CB$156:CB178,CB178),"000"))</f>
        <v/>
      </c>
      <c r="J178" s="9" t="str">
        <f>IF(AND($BN$26&lt;&gt;"",($BM$26+23)&lt;=$BO$26),$BN$26,"")</f>
        <v/>
      </c>
      <c r="K178" s="9" t="str">
        <f>IF(AND($BN$26&lt;&gt;"",($BM$26+23)&lt;=$BO$26),TEXT(($BM$26+23),"00"),"")</f>
        <v/>
      </c>
      <c r="L178" s="9" t="str">
        <f>IF(AND($BN$26&lt;&gt;"",($BM$26+23)&lt;=$BO$26),$BN$26&amp;"-"&amp;TEXT(($BM$26+23),"00"),"")</f>
        <v/>
      </c>
      <c r="N178" s="6"/>
      <c r="O178" s="9" t="str">
        <f>IF(CC178="","",CC178&amp;"-"&amp;TEXT(COUNTIF($CA$72:$CA$95,CC178)+COUNTIF($CB$72:$CB$95,CC178)+COUNTIF($CC$72:$CC$95,CC178)+COUNTIF($CD$72:$CD$95,CC178)+COUNTIF($CA$100:$CA$123,CC178)+COUNTIF($CB$100:$CB$123,CC178)+COUNTIF($CC$100:$CC$123,CC178)+COUNTIF($CD$100:$CD$123,CC178)+COUNTIF($CA$128:$CA$151,CC178)+COUNTIF($CB$128:$CB$151,CC178)+COUNTIF($CC$128:$CC$151,CC178)+COUNTIF($CD$128:$CD$151,CC178)+COUNTIF($CA$156:$CA$179,CC178)+COUNTIF($CB$156:$CB$179,CC178)+COUNTIF($CC$156:CC178,CC178),"000"))</f>
        <v/>
      </c>
      <c r="P178" s="9" t="str">
        <f>IF(AND($BN$27&lt;&gt;"",($BM$27+23)&lt;=$BO$27),$BN$27,"")</f>
        <v/>
      </c>
      <c r="Q178" s="9" t="str">
        <f>IF(AND($BN$27&lt;&gt;"",($BM$27+23)&lt;=$BO$27),TEXT(($BM$27+23),"00"),"")</f>
        <v/>
      </c>
      <c r="R178" s="9" t="str">
        <f>IF(AND($BN$27&lt;&gt;"",($BM$27+23)&lt;=$BO$27),$BN$27&amp;"-"&amp;TEXT(($BM$27+23),"00"),"")</f>
        <v/>
      </c>
      <c r="T178" s="6"/>
      <c r="U178" s="9" t="str">
        <f>IF(CD178="","",CD178&amp;"-"&amp;TEXT(COUNTIF($CA$72:$CA$95,CD178)+COUNTIF($CB$72:$CB$95,CD178)+COUNTIF($CC$72:$CC$95,CD178)+COUNTIF($CD$72:$CD$95,CD178)+COUNTIF($CA$100:$CA$123,CD178)+COUNTIF($CB$100:$CB$123,CD178)+COUNTIF($CC$100:$CC$123,CD178)+COUNTIF($CD$100:$CD$123,CD178)+COUNTIF($CA$128:$CA$151,CD178)+COUNTIF($CB$128:$CB$151,CD178)+COUNTIF($CC$128:$CC$151,CD178)+COUNTIF($CD$128:$CD$151,CD178)+COUNTIF($CA$156:$CA$179,CD178)+COUNTIF($CB$156:$CB$179,CD178)+COUNTIF($CC$156:$CC$179,CD178)+COUNTIF($CD$156:CD178,CD178),"000"))</f>
        <v/>
      </c>
      <c r="V178" s="9" t="str">
        <f>IF(AND($BN$28&lt;&gt;"",($BM$28+23)&lt;=$BO$28),$BN$28,"")</f>
        <v/>
      </c>
      <c r="W178" s="9" t="str">
        <f>IF(AND($BN$28&lt;&gt;"",($BM$28+23)&lt;=$BO$28),TEXT(($BM$28+23),"00"),"")</f>
        <v/>
      </c>
      <c r="X178" s="9" t="str">
        <f>IF(AND($BN$28&lt;&gt;"",($BM$28+23)&lt;=$BO$28),$BN$28&amp;"-"&amp;TEXT(($BM$28+23),"00"),"")</f>
        <v/>
      </c>
      <c r="CA178" t="str" cm="1">
        <f t="array" ref="CA178">IF(NOT(AND($BN$25&lt;&gt;"",($BM$25+23)&lt;=$BO$25)),"",IF(B178&lt;&gt;"",IF(B178="-","",B178),IF(ISNUMBER(SEARCH(":",$BP$25)),IFERROR(_xlfn.LET(_xlpm.s,_xlfn.TEXTSPLIT($BP$25,","),_xlpm.k,FIND(":",_xlpm.s),INDEX(TRIM(LEFT(_xlpm.s,_xlpm.k-1)),_xlfn.XMATCH(($BM$25+23),_xlfn.SCAN(0,--MID(_xlpm.s,_xlpm.k+1,9),_xlfn.LAMBDA(_xlpm.a,_xlpm.v,_xlpm.a+_xlpm.v)),1))),""),IF(($BM$25+23)&lt;=$BQ$25,$BP$25,""))))</f>
        <v/>
      </c>
      <c r="CB178" t="str" cm="1">
        <f t="array" ref="CB178">IF(NOT(AND($BN$26&lt;&gt;"",($BM$26+23)&lt;=$BO$26)),"",IF(H178&lt;&gt;"",IF(H178="-","",H178),IF(ISNUMBER(SEARCH(":",$BP$26)),IFERROR(_xlfn.LET(_xlpm.s,_xlfn.TEXTSPLIT($BP$26,","),_xlpm.k,FIND(":",_xlpm.s),INDEX(TRIM(LEFT(_xlpm.s,_xlpm.k-1)),_xlfn.XMATCH(($BM$26+23),_xlfn.SCAN(0,--MID(_xlpm.s,_xlpm.k+1,9),_xlfn.LAMBDA(_xlpm.a,_xlpm.v,_xlpm.a+_xlpm.v)),1))),""),IF(($BM$26+23)&lt;=$BQ$26,$BP$26,""))))</f>
        <v/>
      </c>
      <c r="CC178" t="str" cm="1">
        <f t="array" ref="CC178">IF(NOT(AND($BN$27&lt;&gt;"",($BM$27+23)&lt;=$BO$27)),"",IF(N178&lt;&gt;"",IF(N178="-","",N178),IF(ISNUMBER(SEARCH(":",$BP$27)),IFERROR(_xlfn.LET(_xlpm.s,_xlfn.TEXTSPLIT($BP$27,","),_xlpm.k,FIND(":",_xlpm.s),INDEX(TRIM(LEFT(_xlpm.s,_xlpm.k-1)),_xlfn.XMATCH(($BM$27+23),_xlfn.SCAN(0,--MID(_xlpm.s,_xlpm.k+1,9),_xlfn.LAMBDA(_xlpm.a,_xlpm.v,_xlpm.a+_xlpm.v)),1))),""),IF(($BM$27+23)&lt;=$BQ$27,$BP$27,""))))</f>
        <v/>
      </c>
      <c r="CD178" t="str" cm="1">
        <f t="array" ref="CD178">IF(NOT(AND($BN$28&lt;&gt;"",($BM$28+23)&lt;=$BO$28)),"",IF(T178&lt;&gt;"",IF(T178="-","",T178),IF(ISNUMBER(SEARCH(":",$BP$28)),IFERROR(_xlfn.LET(_xlpm.s,_xlfn.TEXTSPLIT($BP$28,","),_xlpm.k,FIND(":",_xlpm.s),INDEX(TRIM(LEFT(_xlpm.s,_xlpm.k-1)),_xlfn.XMATCH(($BM$28+23),_xlfn.SCAN(0,--MID(_xlpm.s,_xlpm.k+1,9),_xlfn.LAMBDA(_xlpm.a,_xlpm.v,_xlpm.a+_xlpm.v)),1))),""),IF(($BM$28+23)&lt;=$BQ$28,$BP$28,""))))</f>
        <v/>
      </c>
    </row>
    <row r="179" spans="2:82" x14ac:dyDescent="0.45">
      <c r="B179" s="6"/>
      <c r="C179" s="9" t="str">
        <f>IF(CA179="","",CA179&amp;"-"&amp;TEXT(COUNTIF($CA$72:$CA$95,CA179)+COUNTIF($CB$72:$CB$95,CA179)+COUNTIF($CC$72:$CC$95,CA179)+COUNTIF($CD$72:$CD$95,CA179)+COUNTIF($CA$100:$CA$123,CA179)+COUNTIF($CB$100:$CB$123,CA179)+COUNTIF($CC$100:$CC$123,CA179)+COUNTIF($CD$100:$CD$123,CA179)+COUNTIF($CA$128:$CA$151,CA179)+COUNTIF($CB$128:$CB$151,CA179)+COUNTIF($CC$128:$CC$151,CA179)+COUNTIF($CD$128:$CD$151,CA179)+COUNTIF($CA$156:CA179,CA179),"000"))</f>
        <v/>
      </c>
      <c r="D179" s="9" t="str">
        <f>IF(AND($BN$25&lt;&gt;"",($BM$25+24)&lt;=$BO$25),$BN$25,"")</f>
        <v/>
      </c>
      <c r="E179" s="9" t="str">
        <f>IF(AND($BN$25&lt;&gt;"",($BM$25+24)&lt;=$BO$25),TEXT(($BM$25+24),"00"),"")</f>
        <v/>
      </c>
      <c r="F179" s="9" t="str">
        <f>IF(AND($BN$25&lt;&gt;"",($BM$25+24)&lt;=$BO$25),$BN$25&amp;"-"&amp;TEXT(($BM$25+24),"00"),"")</f>
        <v/>
      </c>
      <c r="H179" s="6"/>
      <c r="I179" s="9" t="str">
        <f>IF(CB179="","",CB179&amp;"-"&amp;TEXT(COUNTIF($CA$72:$CA$95,CB179)+COUNTIF($CB$72:$CB$95,CB179)+COUNTIF($CC$72:$CC$95,CB179)+COUNTIF($CD$72:$CD$95,CB179)+COUNTIF($CA$100:$CA$123,CB179)+COUNTIF($CB$100:$CB$123,CB179)+COUNTIF($CC$100:$CC$123,CB179)+COUNTIF($CD$100:$CD$123,CB179)+COUNTIF($CA$128:$CA$151,CB179)+COUNTIF($CB$128:$CB$151,CB179)+COUNTIF($CC$128:$CC$151,CB179)+COUNTIF($CD$128:$CD$151,CB179)+COUNTIF($CA$156:$CA$179,CB179)+COUNTIF($CB$156:CB179,CB179),"000"))</f>
        <v/>
      </c>
      <c r="J179" s="9" t="str">
        <f>IF(AND($BN$26&lt;&gt;"",($BM$26+24)&lt;=$BO$26),$BN$26,"")</f>
        <v/>
      </c>
      <c r="K179" s="9" t="str">
        <f>IF(AND($BN$26&lt;&gt;"",($BM$26+24)&lt;=$BO$26),TEXT(($BM$26+24),"00"),"")</f>
        <v/>
      </c>
      <c r="L179" s="9" t="str">
        <f>IF(AND($BN$26&lt;&gt;"",($BM$26+24)&lt;=$BO$26),$BN$26&amp;"-"&amp;TEXT(($BM$26+24),"00"),"")</f>
        <v/>
      </c>
      <c r="N179" s="6"/>
      <c r="O179" s="9" t="str">
        <f>IF(CC179="","",CC179&amp;"-"&amp;TEXT(COUNTIF($CA$72:$CA$95,CC179)+COUNTIF($CB$72:$CB$95,CC179)+COUNTIF($CC$72:$CC$95,CC179)+COUNTIF($CD$72:$CD$95,CC179)+COUNTIF($CA$100:$CA$123,CC179)+COUNTIF($CB$100:$CB$123,CC179)+COUNTIF($CC$100:$CC$123,CC179)+COUNTIF($CD$100:$CD$123,CC179)+COUNTIF($CA$128:$CA$151,CC179)+COUNTIF($CB$128:$CB$151,CC179)+COUNTIF($CC$128:$CC$151,CC179)+COUNTIF($CD$128:$CD$151,CC179)+COUNTIF($CA$156:$CA$179,CC179)+COUNTIF($CB$156:$CB$179,CC179)+COUNTIF($CC$156:CC179,CC179),"000"))</f>
        <v/>
      </c>
      <c r="P179" s="9" t="str">
        <f>IF(AND($BN$27&lt;&gt;"",($BM$27+24)&lt;=$BO$27),$BN$27,"")</f>
        <v/>
      </c>
      <c r="Q179" s="9" t="str">
        <f>IF(AND($BN$27&lt;&gt;"",($BM$27+24)&lt;=$BO$27),TEXT(($BM$27+24),"00"),"")</f>
        <v/>
      </c>
      <c r="R179" s="9" t="str">
        <f>IF(AND($BN$27&lt;&gt;"",($BM$27+24)&lt;=$BO$27),$BN$27&amp;"-"&amp;TEXT(($BM$27+24),"00"),"")</f>
        <v/>
      </c>
      <c r="T179" s="6"/>
      <c r="U179" s="9" t="str">
        <f>IF(CD179="","",CD179&amp;"-"&amp;TEXT(COUNTIF($CA$72:$CA$95,CD179)+COUNTIF($CB$72:$CB$95,CD179)+COUNTIF($CC$72:$CC$95,CD179)+COUNTIF($CD$72:$CD$95,CD179)+COUNTIF($CA$100:$CA$123,CD179)+COUNTIF($CB$100:$CB$123,CD179)+COUNTIF($CC$100:$CC$123,CD179)+COUNTIF($CD$100:$CD$123,CD179)+COUNTIF($CA$128:$CA$151,CD179)+COUNTIF($CB$128:$CB$151,CD179)+COUNTIF($CC$128:$CC$151,CD179)+COUNTIF($CD$128:$CD$151,CD179)+COUNTIF($CA$156:$CA$179,CD179)+COUNTIF($CB$156:$CB$179,CD179)+COUNTIF($CC$156:$CC$179,CD179)+COUNTIF($CD$156:CD179,CD179),"000"))</f>
        <v/>
      </c>
      <c r="V179" s="9" t="str">
        <f>IF(AND($BN$28&lt;&gt;"",($BM$28+24)&lt;=$BO$28),$BN$28,"")</f>
        <v/>
      </c>
      <c r="W179" s="9" t="str">
        <f>IF(AND($BN$28&lt;&gt;"",($BM$28+24)&lt;=$BO$28),TEXT(($BM$28+24),"00"),"")</f>
        <v/>
      </c>
      <c r="X179" s="9" t="str">
        <f>IF(AND($BN$28&lt;&gt;"",($BM$28+24)&lt;=$BO$28),$BN$28&amp;"-"&amp;TEXT(($BM$28+24),"00"),"")</f>
        <v/>
      </c>
      <c r="CA179" t="str" cm="1">
        <f t="array" ref="CA179">IF(NOT(AND($BN$25&lt;&gt;"",($BM$25+24)&lt;=$BO$25)),"",IF(B179&lt;&gt;"",IF(B179="-","",B179),IF(ISNUMBER(SEARCH(":",$BP$25)),IFERROR(_xlfn.LET(_xlpm.s,_xlfn.TEXTSPLIT($BP$25,","),_xlpm.k,FIND(":",_xlpm.s),INDEX(TRIM(LEFT(_xlpm.s,_xlpm.k-1)),_xlfn.XMATCH(($BM$25+24),_xlfn.SCAN(0,--MID(_xlpm.s,_xlpm.k+1,9),_xlfn.LAMBDA(_xlpm.a,_xlpm.v,_xlpm.a+_xlpm.v)),1))),""),IF(($BM$25+24)&lt;=$BQ$25,$BP$25,""))))</f>
        <v/>
      </c>
      <c r="CB179" t="str" cm="1">
        <f t="array" ref="CB179">IF(NOT(AND($BN$26&lt;&gt;"",($BM$26+24)&lt;=$BO$26)),"",IF(H179&lt;&gt;"",IF(H179="-","",H179),IF(ISNUMBER(SEARCH(":",$BP$26)),IFERROR(_xlfn.LET(_xlpm.s,_xlfn.TEXTSPLIT($BP$26,","),_xlpm.k,FIND(":",_xlpm.s),INDEX(TRIM(LEFT(_xlpm.s,_xlpm.k-1)),_xlfn.XMATCH(($BM$26+24),_xlfn.SCAN(0,--MID(_xlpm.s,_xlpm.k+1,9),_xlfn.LAMBDA(_xlpm.a,_xlpm.v,_xlpm.a+_xlpm.v)),1))),""),IF(($BM$26+24)&lt;=$BQ$26,$BP$26,""))))</f>
        <v/>
      </c>
      <c r="CC179" t="str" cm="1">
        <f t="array" ref="CC179">IF(NOT(AND($BN$27&lt;&gt;"",($BM$27+24)&lt;=$BO$27)),"",IF(N179&lt;&gt;"",IF(N179="-","",N179),IF(ISNUMBER(SEARCH(":",$BP$27)),IFERROR(_xlfn.LET(_xlpm.s,_xlfn.TEXTSPLIT($BP$27,","),_xlpm.k,FIND(":",_xlpm.s),INDEX(TRIM(LEFT(_xlpm.s,_xlpm.k-1)),_xlfn.XMATCH(($BM$27+24),_xlfn.SCAN(0,--MID(_xlpm.s,_xlpm.k+1,9),_xlfn.LAMBDA(_xlpm.a,_xlpm.v,_xlpm.a+_xlpm.v)),1))),""),IF(($BM$27+24)&lt;=$BQ$27,$BP$27,""))))</f>
        <v/>
      </c>
      <c r="CD179" t="str" cm="1">
        <f t="array" ref="CD179">IF(NOT(AND($BN$28&lt;&gt;"",($BM$28+24)&lt;=$BO$28)),"",IF(T179&lt;&gt;"",IF(T179="-","",T179),IF(ISNUMBER(SEARCH(":",$BP$28)),IFERROR(_xlfn.LET(_xlpm.s,_xlfn.TEXTSPLIT($BP$28,","),_xlpm.k,FIND(":",_xlpm.s),INDEX(TRIM(LEFT(_xlpm.s,_xlpm.k-1)),_xlfn.XMATCH(($BM$28+24),_xlfn.SCAN(0,--MID(_xlpm.s,_xlpm.k+1,9),_xlfn.LAMBDA(_xlpm.a,_xlpm.v,_xlpm.a+_xlpm.v)),1))),""),IF(($BM$28+24)&lt;=$BQ$28,$BP$28,""))))</f>
        <v/>
      </c>
    </row>
  </sheetData>
  <mergeCells count="224">
    <mergeCell ref="B65:G65"/>
    <mergeCell ref="J65:Q65"/>
    <mergeCell ref="B66:G66"/>
    <mergeCell ref="J66:Q66"/>
    <mergeCell ref="B67:G67"/>
    <mergeCell ref="J67:Q67"/>
    <mergeCell ref="B60:G60"/>
    <mergeCell ref="J60:Q60"/>
    <mergeCell ref="B61:G61"/>
    <mergeCell ref="J61:Q61"/>
    <mergeCell ref="B62:G62"/>
    <mergeCell ref="J62:Q62"/>
    <mergeCell ref="B63:G63"/>
    <mergeCell ref="J63:Q63"/>
    <mergeCell ref="B64:G64"/>
    <mergeCell ref="J64:Q64"/>
    <mergeCell ref="B7:D7"/>
    <mergeCell ref="F27:G27"/>
    <mergeCell ref="I48:J48"/>
    <mergeCell ref="P18:Q18"/>
    <mergeCell ref="F37:G37"/>
    <mergeCell ref="P42:Q42"/>
    <mergeCell ref="C29:E29"/>
    <mergeCell ref="N7:Q7"/>
    <mergeCell ref="E9:I9"/>
    <mergeCell ref="P27:Q27"/>
    <mergeCell ref="P12:Q12"/>
    <mergeCell ref="B8:D8"/>
    <mergeCell ref="P25:Q25"/>
    <mergeCell ref="E8:I8"/>
    <mergeCell ref="C12:E12"/>
    <mergeCell ref="P34:Q34"/>
    <mergeCell ref="B154:F154"/>
    <mergeCell ref="T25:V25"/>
    <mergeCell ref="N154:R154"/>
    <mergeCell ref="C41:E41"/>
    <mergeCell ref="P29:Q29"/>
    <mergeCell ref="P38:Q38"/>
    <mergeCell ref="I49:J49"/>
    <mergeCell ref="F40:G40"/>
    <mergeCell ref="P31:Q31"/>
    <mergeCell ref="L58:Q58"/>
    <mergeCell ref="P40:Q40"/>
    <mergeCell ref="C51:H51"/>
    <mergeCell ref="T70:X70"/>
    <mergeCell ref="T38:V38"/>
    <mergeCell ref="T53:V53"/>
    <mergeCell ref="H154:L154"/>
    <mergeCell ref="T98:X98"/>
    <mergeCell ref="T154:X154"/>
    <mergeCell ref="P41:Q41"/>
    <mergeCell ref="C56:H56"/>
    <mergeCell ref="T56:V56"/>
    <mergeCell ref="T54:V54"/>
    <mergeCell ref="N126:R126"/>
    <mergeCell ref="P26:Q26"/>
    <mergeCell ref="H70:L70"/>
    <mergeCell ref="T52:V52"/>
    <mergeCell ref="P17:Q17"/>
    <mergeCell ref="E6:F6"/>
    <mergeCell ref="C28:E28"/>
    <mergeCell ref="C57:H57"/>
    <mergeCell ref="C37:E37"/>
    <mergeCell ref="K8:L8"/>
    <mergeCell ref="T27:V27"/>
    <mergeCell ref="C53:H53"/>
    <mergeCell ref="T36:V36"/>
    <mergeCell ref="T18:V18"/>
    <mergeCell ref="F22:G22"/>
    <mergeCell ref="L48:Q48"/>
    <mergeCell ref="P19:Q19"/>
    <mergeCell ref="C30:E30"/>
    <mergeCell ref="T33:V33"/>
    <mergeCell ref="C14:E14"/>
    <mergeCell ref="I51:J51"/>
    <mergeCell ref="C58:H58"/>
    <mergeCell ref="T12:V12"/>
    <mergeCell ref="H6:I6"/>
    <mergeCell ref="T13:V13"/>
    <mergeCell ref="F41:G41"/>
    <mergeCell ref="P15:Q15"/>
    <mergeCell ref="P24:Q24"/>
    <mergeCell ref="P33:Q33"/>
    <mergeCell ref="C20:E20"/>
    <mergeCell ref="C25:E25"/>
    <mergeCell ref="T16:V16"/>
    <mergeCell ref="C27:E27"/>
    <mergeCell ref="P21:Q21"/>
    <mergeCell ref="R13:R57"/>
    <mergeCell ref="C17:E17"/>
    <mergeCell ref="F32:G32"/>
    <mergeCell ref="I53:J53"/>
    <mergeCell ref="F26:G26"/>
    <mergeCell ref="F19:G19"/>
    <mergeCell ref="C22:E22"/>
    <mergeCell ref="F34:G34"/>
    <mergeCell ref="T43:V43"/>
    <mergeCell ref="P23:Q23"/>
    <mergeCell ref="F35:G35"/>
    <mergeCell ref="C19:E19"/>
    <mergeCell ref="F38:G38"/>
    <mergeCell ref="I55:J55"/>
    <mergeCell ref="P16:Q16"/>
    <mergeCell ref="C49:H49"/>
    <mergeCell ref="B2:X2"/>
    <mergeCell ref="N98:R98"/>
    <mergeCell ref="F17:G17"/>
    <mergeCell ref="I56:J56"/>
    <mergeCell ref="C32:E32"/>
    <mergeCell ref="C38:E38"/>
    <mergeCell ref="C13:E13"/>
    <mergeCell ref="T19:V19"/>
    <mergeCell ref="F31:G31"/>
    <mergeCell ref="F28:G28"/>
    <mergeCell ref="P28:Q28"/>
    <mergeCell ref="P37:Q37"/>
    <mergeCell ref="T39:V39"/>
    <mergeCell ref="C15:E15"/>
    <mergeCell ref="C24:E24"/>
    <mergeCell ref="T49:V49"/>
    <mergeCell ref="F39:G39"/>
    <mergeCell ref="C33:E33"/>
    <mergeCell ref="P30:Q30"/>
    <mergeCell ref="T32:V32"/>
    <mergeCell ref="L57:Q57"/>
    <mergeCell ref="T45:V45"/>
    <mergeCell ref="K43:N43"/>
    <mergeCell ref="T42:V42"/>
    <mergeCell ref="T40:V40"/>
    <mergeCell ref="F30:G30"/>
    <mergeCell ref="F20:G20"/>
    <mergeCell ref="F18:G18"/>
    <mergeCell ref="F33:G33"/>
    <mergeCell ref="B9:D9"/>
    <mergeCell ref="C39:E39"/>
    <mergeCell ref="P36:Q36"/>
    <mergeCell ref="T17:V17"/>
    <mergeCell ref="C26:E26"/>
    <mergeCell ref="P14:Q14"/>
    <mergeCell ref="C35:E35"/>
    <mergeCell ref="T21:V21"/>
    <mergeCell ref="F21:G21"/>
    <mergeCell ref="C36:E36"/>
    <mergeCell ref="F29:G29"/>
    <mergeCell ref="F16:G16"/>
    <mergeCell ref="P20:Q20"/>
    <mergeCell ref="C31:E31"/>
    <mergeCell ref="T35:V35"/>
    <mergeCell ref="F14:G14"/>
    <mergeCell ref="F12:G12"/>
    <mergeCell ref="T15:V15"/>
    <mergeCell ref="T24:V24"/>
    <mergeCell ref="B6:D6"/>
    <mergeCell ref="I58:J58"/>
    <mergeCell ref="P39:Q39"/>
    <mergeCell ref="T34:V34"/>
    <mergeCell ref="L52:Q52"/>
    <mergeCell ref="T46:V46"/>
    <mergeCell ref="T28:V28"/>
    <mergeCell ref="L49:Q49"/>
    <mergeCell ref="T37:V37"/>
    <mergeCell ref="F23:G23"/>
    <mergeCell ref="P32:Q32"/>
    <mergeCell ref="C18:E18"/>
    <mergeCell ref="T48:V48"/>
    <mergeCell ref="F13:G13"/>
    <mergeCell ref="P13:Q13"/>
    <mergeCell ref="I52:J52"/>
    <mergeCell ref="L55:Q55"/>
    <mergeCell ref="I57:J57"/>
    <mergeCell ref="I54:J54"/>
    <mergeCell ref="L53:Q53"/>
    <mergeCell ref="T47:V47"/>
    <mergeCell ref="L7:M7"/>
    <mergeCell ref="P35:Q35"/>
    <mergeCell ref="C50:H50"/>
    <mergeCell ref="T55:V55"/>
    <mergeCell ref="F25:G25"/>
    <mergeCell ref="C40:E40"/>
    <mergeCell ref="C16:E16"/>
    <mergeCell ref="B126:F126"/>
    <mergeCell ref="T50:V50"/>
    <mergeCell ref="T126:X126"/>
    <mergeCell ref="C54:H54"/>
    <mergeCell ref="T44:V44"/>
    <mergeCell ref="H98:L98"/>
    <mergeCell ref="L56:Q56"/>
    <mergeCell ref="N70:R70"/>
    <mergeCell ref="B70:F70"/>
    <mergeCell ref="B98:F98"/>
    <mergeCell ref="H126:L126"/>
    <mergeCell ref="F42:G42"/>
    <mergeCell ref="T51:V51"/>
    <mergeCell ref="T41:V41"/>
    <mergeCell ref="T23:V23"/>
    <mergeCell ref="F36:G36"/>
    <mergeCell ref="T26:V26"/>
    <mergeCell ref="B43:G43"/>
    <mergeCell ref="I50:J50"/>
    <mergeCell ref="F24:G24"/>
    <mergeCell ref="B3:X3"/>
    <mergeCell ref="C21:E21"/>
    <mergeCell ref="L51:Q51"/>
    <mergeCell ref="P22:Q22"/>
    <mergeCell ref="L54:Q54"/>
    <mergeCell ref="F15:G15"/>
    <mergeCell ref="J6:Q6"/>
    <mergeCell ref="C23:E23"/>
    <mergeCell ref="C52:H52"/>
    <mergeCell ref="L50:Q50"/>
    <mergeCell ref="T22:V22"/>
    <mergeCell ref="C48:H48"/>
    <mergeCell ref="T31:V31"/>
    <mergeCell ref="X13:X57"/>
    <mergeCell ref="E7:I7"/>
    <mergeCell ref="P43:Q43"/>
    <mergeCell ref="C34:E34"/>
    <mergeCell ref="T30:V30"/>
    <mergeCell ref="T57:V57"/>
    <mergeCell ref="C42:E42"/>
    <mergeCell ref="T20:V20"/>
    <mergeCell ref="T14:V14"/>
    <mergeCell ref="T29:V29"/>
    <mergeCell ref="C55:H55"/>
  </mergeCells>
  <conditionalFormatting sqref="B72:F95">
    <cfRule type="expression" dxfId="42" priority="26">
      <formula>NOT(AND($BN$13&lt;&gt;"",$BM$13+ROW()-71&lt;=$BO$13))</formula>
    </cfRule>
  </conditionalFormatting>
  <conditionalFormatting sqref="B100:F123">
    <cfRule type="expression" dxfId="41" priority="30">
      <formula>NOT(AND($BN$17&lt;&gt;"",$BM$17+ROW()-99&lt;=$BO$17))</formula>
    </cfRule>
  </conditionalFormatting>
  <conditionalFormatting sqref="B128:F151">
    <cfRule type="expression" dxfId="40" priority="34">
      <formula>NOT(AND($BN$21&lt;&gt;"",$BM$21+ROW()-127&lt;=$BO$21))</formula>
    </cfRule>
  </conditionalFormatting>
  <conditionalFormatting sqref="B156:F179">
    <cfRule type="expression" dxfId="39" priority="38">
      <formula>NOT(AND($BN$25&lt;&gt;"",$BM$25+ROW()-155&lt;=$BO$25))</formula>
    </cfRule>
  </conditionalFormatting>
  <conditionalFormatting sqref="B13:L42">
    <cfRule type="expression" dxfId="38" priority="4">
      <formula>AND(ISNUMBER($K13),$K13&lt;1)</formula>
    </cfRule>
  </conditionalFormatting>
  <conditionalFormatting sqref="H72:L95">
    <cfRule type="expression" dxfId="37" priority="27">
      <formula>NOT(AND($BN$14&lt;&gt;"",$BM$14+ROW()-71&lt;=$BO$14))</formula>
    </cfRule>
  </conditionalFormatting>
  <conditionalFormatting sqref="H100:L123">
    <cfRule type="expression" dxfId="36" priority="31">
      <formula>NOT(AND($BN$18&lt;&gt;"",$BM$18+ROW()-99&lt;=$BO$18))</formula>
    </cfRule>
  </conditionalFormatting>
  <conditionalFormatting sqref="H128:L151">
    <cfRule type="expression" dxfId="35" priority="35">
      <formula>NOT(AND($BN$22&lt;&gt;"",$BM$22+ROW()-127&lt;=$BO$22))</formula>
    </cfRule>
  </conditionalFormatting>
  <conditionalFormatting sqref="H156:L179">
    <cfRule type="expression" dxfId="34" priority="39">
      <formula>NOT(AND($BN$26&lt;&gt;"",$BM$26+ROW()-155&lt;=$BO$26))</formula>
    </cfRule>
  </conditionalFormatting>
  <conditionalFormatting sqref="I43">
    <cfRule type="expression" dxfId="33" priority="3">
      <formula>$I$43&lt;0</formula>
    </cfRule>
  </conditionalFormatting>
  <conditionalFormatting sqref="J60:Q67">
    <cfRule type="expression" dxfId="32" priority="43">
      <formula>LEFT($J60,1)="✓"</formula>
    </cfRule>
    <cfRule type="expression" dxfId="31" priority="42">
      <formula>LEFT($J60,1)="⚠"</formula>
    </cfRule>
  </conditionalFormatting>
  <conditionalFormatting sqref="K43:N43">
    <cfRule type="expression" dxfId="30" priority="1" stopIfTrue="1">
      <formula>LEFT($K$43,1)="❌"</formula>
    </cfRule>
    <cfRule type="expression" dxfId="29" priority="2">
      <formula>LEFT($K$43,1)="✓"</formula>
    </cfRule>
  </conditionalFormatting>
  <conditionalFormatting sqref="N72:R95">
    <cfRule type="expression" dxfId="28" priority="28">
      <formula>NOT(AND($BN$15&lt;&gt;"",$BM$15+ROW()-71&lt;=$BO$15))</formula>
    </cfRule>
  </conditionalFormatting>
  <conditionalFormatting sqref="N100:R123">
    <cfRule type="expression" dxfId="27" priority="32">
      <formula>NOT(AND($BN$19&lt;&gt;"",$BM$19+ROW()-99&lt;=$BO$19))</formula>
    </cfRule>
  </conditionalFormatting>
  <conditionalFormatting sqref="N128:R151">
    <cfRule type="expression" dxfId="26" priority="36">
      <formula>NOT(AND($BN$23&lt;&gt;"",$BM$23+ROW()-127&lt;=$BO$23))</formula>
    </cfRule>
  </conditionalFormatting>
  <conditionalFormatting sqref="N156:R179">
    <cfRule type="expression" dxfId="25" priority="40">
      <formula>NOT(AND($BN$27&lt;&gt;"",$BM$27+ROW()-155&lt;=$BO$27))</formula>
    </cfRule>
  </conditionalFormatting>
  <conditionalFormatting sqref="R13:R57">
    <cfRule type="expression" dxfId="24" priority="24">
      <formula>AND(OR($K$8="Ambos lados",$K$8="Lado izquierdo"),$E$8&lt;&gt;"")</formula>
    </cfRule>
  </conditionalFormatting>
  <conditionalFormatting sqref="T13:V57">
    <cfRule type="expression" dxfId="23" priority="20">
      <formula>$AN13="Fuente de poder"</formula>
    </cfRule>
    <cfRule type="expression" dxfId="22" priority="21">
      <formula>$AN13="Tapa ciega"</formula>
    </cfRule>
    <cfRule type="expression" dxfId="21" priority="6">
      <formula>$AN13="Patch panel cobre"</formula>
    </cfRule>
    <cfRule type="expression" dxfId="20" priority="23">
      <formula>$AN13="Otro"</formula>
    </cfRule>
    <cfRule type="expression" dxfId="19" priority="5">
      <formula>$AN13="Fuera"</formula>
    </cfRule>
    <cfRule type="expression" dxfId="18" priority="7">
      <formula>$AN13="CCTV"</formula>
    </cfRule>
    <cfRule type="expression" dxfId="17" priority="22">
      <formula>$AN13="Bandeja"</formula>
    </cfRule>
    <cfRule type="expression" dxfId="16" priority="8">
      <formula>$AN13="Control de acceso"</formula>
    </cfRule>
    <cfRule type="expression" dxfId="15" priority="9">
      <formula>$AN13="Organizador horizontal"</formula>
    </cfRule>
    <cfRule type="expression" dxfId="14" priority="10">
      <formula>$AN13="Switch"</formula>
    </cfRule>
    <cfRule type="expression" dxfId="13" priority="11">
      <formula>$AN13="Fibra"</formula>
    </cfRule>
    <cfRule type="expression" dxfId="12" priority="12">
      <formula>$AN13="Espacio reservado"</formula>
    </cfRule>
    <cfRule type="expression" dxfId="11" priority="13">
      <formula>$AN13="Espacio libre"</formula>
    </cfRule>
    <cfRule type="expression" dxfId="10" priority="14">
      <formula>$AN13="Equipo activo"</formula>
    </cfRule>
    <cfRule type="expression" dxfId="9" priority="15">
      <formula>$AN13="Servidor"</formula>
    </cfRule>
    <cfRule type="expression" dxfId="8" priority="17">
      <formula>$AN13="PDU"</formula>
    </cfRule>
    <cfRule type="expression" dxfId="7" priority="16">
      <formula>$AN13="UPS"</formula>
    </cfRule>
    <cfRule type="expression" dxfId="6" priority="18">
      <formula>$AN13="Puesta a tierra"</formula>
    </cfRule>
    <cfRule type="expression" dxfId="5" priority="19">
      <formula>$AN13="Audio"</formula>
    </cfRule>
  </conditionalFormatting>
  <conditionalFormatting sqref="T72:X95">
    <cfRule type="expression" dxfId="4" priority="29">
      <formula>NOT(AND($BN$16&lt;&gt;"",$BM$16+ROW()-71&lt;=$BO$16))</formula>
    </cfRule>
  </conditionalFormatting>
  <conditionalFormatting sqref="T100:X123">
    <cfRule type="expression" dxfId="3" priority="33">
      <formula>NOT(AND($BN$20&lt;&gt;"",$BM$20+ROW()-99&lt;=$BO$20))</formula>
    </cfRule>
  </conditionalFormatting>
  <conditionalFormatting sqref="T128:X151">
    <cfRule type="expression" dxfId="2" priority="37">
      <formula>NOT(AND($BN$24&lt;&gt;"",$BM$24+ROW()-127&lt;=$BO$24))</formula>
    </cfRule>
  </conditionalFormatting>
  <conditionalFormatting sqref="T156:X179">
    <cfRule type="expression" dxfId="1" priority="41">
      <formula>NOT(AND($BN$28&lt;&gt;"",$BM$28+ROW()-155&lt;=$BO$28))</formula>
    </cfRule>
  </conditionalFormatting>
  <conditionalFormatting sqref="X13:X57">
    <cfRule type="expression" dxfId="0" priority="25">
      <formula>AND(OR($K$8="Ambos lados",$K$8="Lado derecho"),$E$8&lt;&gt;"")</formula>
    </cfRule>
  </conditionalFormatting>
  <dataValidations count="1">
    <dataValidation type="whole" allowBlank="1" sqref="N13:N42" xr:uid="{00000000-0002-0000-0700-000005000000}">
      <formula1>0</formula1>
      <formula2>384</formula2>
    </dataValidation>
  </dataValidations>
  <pageMargins left="0.75" right="0.75" top="1" bottom="1" header="0.5" footer="0.5"/>
  <pageSetup fitToHeight="0" orientation="portrait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xr:uid="{00000000-0002-0000-0700-000000000000}">
          <x14:formula1>
            <xm:f>listas!$C$2:$C$41</xm:f>
          </x14:formula1>
          <xm:sqref>E7</xm:sqref>
        </x14:dataValidation>
        <x14:dataValidation type="list" allowBlank="1" xr:uid="{00000000-0002-0000-0700-000001000000}">
          <x14:formula1>
            <xm:f>listas!$D$2:$D$41</xm:f>
          </x14:formula1>
          <xm:sqref>E8</xm:sqref>
        </x14:dataValidation>
        <x14:dataValidation type="list" allowBlank="1" xr:uid="{00000000-0002-0000-0700-000002000000}">
          <x14:formula1>
            <xm:f>listas!$H$2:$H$5</xm:f>
          </x14:formula1>
          <xm:sqref>K8</xm:sqref>
        </x14:dataValidation>
        <x14:dataValidation type="list" allowBlank="1" xr:uid="{00000000-0002-0000-0700-000003000000}">
          <x14:formula1>
            <xm:f>listas!$B$2:$B$121</xm:f>
          </x14:formula1>
          <xm:sqref>C13:C42</xm:sqref>
        </x14:dataValidation>
        <x14:dataValidation type="list" allowBlank="1" xr:uid="{00000000-0002-0000-0700-000006000000}">
          <x14:formula1>
            <xm:f>listas!$F$2:$F$41</xm:f>
          </x14:formula1>
          <xm:sqref>C49:C58</xm:sqref>
        </x14:dataValidation>
        <x14:dataValidation type="list" allowBlank="1" showErrorMessage="1" errorTitle="Tipo de salida" error="Use un código de la nomenclatura en la pestaña Proyecto (o &quot;-&quot;)" xr:uid="{00000000-0002-0000-0700-000007000000}">
          <x14:formula1>
            <xm:f>Proyecto!$C$16:$C$27</xm:f>
          </x14:formula1>
          <xm:sqref>B72:B95 B100:B123 B128:B151 B156:B179 H72:H95 H100:H123 H128:H151 H156:H179 N72:N95 N100:N123 N128:N151 N156:N179 T72:T95 T100:T123 T128:T151 T156:T179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F7F7F"/>
  </sheetPr>
  <dimension ref="B2:B4"/>
  <sheetViews>
    <sheetView showGridLines="0" workbookViewId="0"/>
  </sheetViews>
  <sheetFormatPr defaultRowHeight="14.25" x14ac:dyDescent="0.45"/>
  <cols>
    <col min="2" max="2" width="110" customWidth="1"/>
  </cols>
  <sheetData>
    <row r="2" spans="2:2" ht="17.649999999999999" x14ac:dyDescent="0.5">
      <c r="B2" s="33" t="s">
        <v>429</v>
      </c>
    </row>
    <row r="4" spans="2:2" x14ac:dyDescent="0.45">
      <c r="B4" s="1" t="s">
        <v>430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D19"/>
  <sheetViews>
    <sheetView showGridLines="0" topLeftCell="A3" zoomScale="85" zoomScaleNormal="85" workbookViewId="0">
      <selection activeCell="B10" sqref="B10:D10"/>
    </sheetView>
  </sheetViews>
  <sheetFormatPr defaultRowHeight="14.25" x14ac:dyDescent="0.45"/>
  <cols>
    <col min="1" max="1" width="2" customWidth="1"/>
    <col min="2" max="2" width="8" customWidth="1"/>
    <col min="3" max="3" width="14" customWidth="1"/>
    <col min="4" max="4" width="110" customWidth="1"/>
  </cols>
  <sheetData>
    <row r="2" spans="2:4" ht="22.05" customHeight="1" x14ac:dyDescent="0.45">
      <c r="B2" s="41" t="s">
        <v>431</v>
      </c>
      <c r="C2" s="40"/>
      <c r="D2" s="40"/>
    </row>
    <row r="4" spans="2:4" x14ac:dyDescent="0.45">
      <c r="B4" s="5" t="s">
        <v>385</v>
      </c>
      <c r="C4" s="5" t="s">
        <v>6</v>
      </c>
      <c r="D4" s="5" t="s">
        <v>60</v>
      </c>
    </row>
    <row r="5" spans="2:4" ht="60" customHeight="1" x14ac:dyDescent="0.45">
      <c r="B5" s="9">
        <v>1</v>
      </c>
      <c r="C5" s="34">
        <v>46296</v>
      </c>
      <c r="D5" s="35" t="s">
        <v>432</v>
      </c>
    </row>
    <row r="6" spans="2:4" ht="45" customHeight="1" x14ac:dyDescent="0.45">
      <c r="B6" s="9">
        <v>2</v>
      </c>
      <c r="C6" s="34">
        <v>46296</v>
      </c>
      <c r="D6" s="35" t="s">
        <v>433</v>
      </c>
    </row>
    <row r="7" spans="2:4" ht="30" customHeight="1" x14ac:dyDescent="0.45">
      <c r="B7" s="9">
        <v>3</v>
      </c>
      <c r="C7" s="34">
        <v>46296</v>
      </c>
      <c r="D7" s="35" t="s">
        <v>434</v>
      </c>
    </row>
    <row r="8" spans="2:4" ht="25.5" x14ac:dyDescent="0.45">
      <c r="B8" s="9">
        <v>4</v>
      </c>
      <c r="C8" s="34">
        <v>46300</v>
      </c>
      <c r="D8" s="35" t="s">
        <v>459</v>
      </c>
    </row>
    <row r="9" spans="2:4" ht="38.25" x14ac:dyDescent="0.45">
      <c r="B9" s="9">
        <v>5</v>
      </c>
      <c r="C9" s="36">
        <v>46302</v>
      </c>
      <c r="D9" s="8" t="s">
        <v>461</v>
      </c>
    </row>
    <row r="10" spans="2:4" ht="38.25" x14ac:dyDescent="0.45">
      <c r="B10" s="9">
        <v>6</v>
      </c>
      <c r="C10" s="36">
        <f>DATE(2026,10,8)</f>
        <v>46303</v>
      </c>
      <c r="D10" s="8" t="s">
        <v>504</v>
      </c>
    </row>
    <row r="11" spans="2:4" x14ac:dyDescent="0.45">
      <c r="B11" s="9">
        <v>7</v>
      </c>
      <c r="C11" s="8"/>
      <c r="D11" s="8"/>
    </row>
    <row r="12" spans="2:4" x14ac:dyDescent="0.45">
      <c r="B12" s="9">
        <v>8</v>
      </c>
      <c r="C12" s="8"/>
      <c r="D12" s="8"/>
    </row>
    <row r="13" spans="2:4" x14ac:dyDescent="0.45">
      <c r="B13" s="9">
        <v>9</v>
      </c>
      <c r="C13" s="8"/>
      <c r="D13" s="8"/>
    </row>
    <row r="14" spans="2:4" x14ac:dyDescent="0.45">
      <c r="B14" s="9">
        <v>10</v>
      </c>
      <c r="C14" s="8"/>
      <c r="D14" s="8"/>
    </row>
    <row r="15" spans="2:4" x14ac:dyDescent="0.45">
      <c r="B15" s="9">
        <v>11</v>
      </c>
      <c r="C15" s="8"/>
      <c r="D15" s="8"/>
    </row>
    <row r="16" spans="2:4" x14ac:dyDescent="0.45">
      <c r="B16" s="9">
        <v>12</v>
      </c>
      <c r="C16" s="8"/>
      <c r="D16" s="8"/>
    </row>
    <row r="17" spans="2:4" x14ac:dyDescent="0.45">
      <c r="B17" s="9">
        <v>13</v>
      </c>
      <c r="C17" s="8"/>
      <c r="D17" s="8"/>
    </row>
    <row r="18" spans="2:4" x14ac:dyDescent="0.45">
      <c r="B18" s="9">
        <v>14</v>
      </c>
      <c r="C18" s="8"/>
      <c r="D18" s="8"/>
    </row>
    <row r="19" spans="2:4" x14ac:dyDescent="0.45">
      <c r="B19" s="9">
        <v>15</v>
      </c>
      <c r="C19" s="8"/>
      <c r="D19" s="8"/>
    </row>
  </sheetData>
  <mergeCells count="1">
    <mergeCell ref="B2:D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H121"/>
  <sheetViews>
    <sheetView workbookViewId="0"/>
  </sheetViews>
  <sheetFormatPr defaultRowHeight="14.25" x14ac:dyDescent="0.45"/>
  <sheetData>
    <row r="2" spans="2:8" x14ac:dyDescent="0.45">
      <c r="B2" t="str">
        <f>IFERROR(INDEX(Catalogo!$C$6:$C$125,MATCH(1,Catalogo!$I$6:$I$125,0)),"")</f>
        <v>Patch panel plano 24 puertos 1RU</v>
      </c>
      <c r="C2" t="str">
        <f>IFERROR(INDEX(Catalogo!$C$6:$C$125,MATCH(1,Catalogo!$J$6:$J$125,0)),"")</f>
        <v>Rack 2 postes 45RU aluminio, canal 3", rosca #12-24</v>
      </c>
      <c r="D2" t="str">
        <f>IFERROR(INDEX(Catalogo!$C$6:$C$125,MATCH(1,Catalogo!$K$6:$K$125,0)),"")</f>
        <v>Org. vertical 6" frontal (PatchRunner 2)</v>
      </c>
      <c r="E2" t="str">
        <f>IFERROR(INDEX(Catalogo!$C$6:$C$125,MATCH(1,Catalogo!$L$6:$L$125,0)),"")</f>
        <v>Jack Cat 6A UTP azul (Mini-Com TX6A)</v>
      </c>
      <c r="F2" t="str">
        <f>IFERROR(INDEX(Catalogo!$C$6:$C$125,MATCH(1,Catalogo!$M$6:$M$125,0)),"")</f>
        <v>Controlador iSTAR Ultra 8 lectoras (pared)</v>
      </c>
      <c r="G2" t="s">
        <v>65</v>
      </c>
      <c r="H2" t="s">
        <v>379</v>
      </c>
    </row>
    <row r="3" spans="2:8" x14ac:dyDescent="0.45">
      <c r="B3" t="str">
        <f>IFERROR(INDEX(Catalogo!$C$6:$C$125,MATCH(2,Catalogo!$I$6:$I$125,0)),"")</f>
        <v>Patch panel plano 48 puertos 2RU</v>
      </c>
      <c r="C3" t="str">
        <f>IFERROR(INDEX(Catalogo!$C$6:$C$125,MATCH(2,Catalogo!$J$6:$J$125,0)),"")</f>
        <v>Rack 2 postes 45RU acero, canal 3"</v>
      </c>
      <c r="D3" t="str">
        <f>IFERROR(INDEX(Catalogo!$C$6:$C$125,MATCH(2,Catalogo!$K$6:$K$125,0)),"")</f>
        <v>Org. vertical 8" frontal (PatchRunner 2)</v>
      </c>
      <c r="E3" t="str">
        <f>IFERROR(INDEX(Catalogo!$C$6:$C$125,MATCH(2,Catalogo!$L$6:$L$125,0)),"")</f>
        <v>Jack Cat 6 UTP azul (Mini-Com TX6 PLUS)</v>
      </c>
      <c r="F3" t="str">
        <f>IFERROR(INDEX(Catalogo!$C$6:$C$125,MATCH(2,Catalogo!$M$6:$M$125,0)),"")</f>
        <v>Controlador iSTAR Ultra 16 lectoras (pared)</v>
      </c>
      <c r="G3" t="s">
        <v>301</v>
      </c>
      <c r="H3" t="s">
        <v>435</v>
      </c>
    </row>
    <row r="4" spans="2:8" x14ac:dyDescent="0.45">
      <c r="B4" t="str">
        <f>IFERROR(INDEX(Catalogo!$C$6:$C$125,MATCH(3,Catalogo!$I$6:$I$125,0)),"")</f>
        <v>Patch panel angulado 24 puertos 1RU</v>
      </c>
      <c r="C4" t="str">
        <f>IFERROR(INDEX(Catalogo!$C$6:$C$125,MATCH(3,Catalogo!$J$6:$J$125,0)),"")</f>
        <v>Rack 2 postes 45RU acero, canal 6"</v>
      </c>
      <c r="D4" t="str">
        <f>IFERROR(INDEX(Catalogo!$C$6:$C$125,MATCH(3,Catalogo!$K$6:$K$125,0)),"")</f>
        <v>Org. vertical 10" frontal (PatchRunner 2)</v>
      </c>
      <c r="E4" t="str">
        <f>IFERROR(INDEX(Catalogo!$C$6:$C$125,MATCH(3,Catalogo!$L$6:$L$125,0)),"")</f>
        <v/>
      </c>
      <c r="F4" t="str">
        <f>IFERROR(INDEX(Catalogo!$C$6:$C$125,MATCH(3,Catalogo!$M$6:$M$125,0)),"")</f>
        <v>Controlador Kantech KT-400 4 puertas (pared)</v>
      </c>
      <c r="G4" t="s">
        <v>196</v>
      </c>
      <c r="H4" t="s">
        <v>436</v>
      </c>
    </row>
    <row r="5" spans="2:8" x14ac:dyDescent="0.45">
      <c r="B5" t="str">
        <f>IFERROR(INDEX(Catalogo!$C$6:$C$125,MATCH(4,Catalogo!$I$6:$I$125,0)),"")</f>
        <v>Patch panel angulado 48 puertos 2RU</v>
      </c>
      <c r="C5" t="str">
        <f>IFERROR(INDEX(Catalogo!$C$6:$C$125,MATCH(4,Catalogo!$J$6:$J$125,0)),"")</f>
        <v>Rack 2 postes 42RU aluminio, canal 3"</v>
      </c>
      <c r="D5" t="str">
        <f>IFERROR(INDEX(Catalogo!$C$6:$C$125,MATCH(4,Catalogo!$K$6:$K$125,0)),"")</f>
        <v>Org. vertical 12" frontal (PatchRunner 2)</v>
      </c>
      <c r="E5" t="str">
        <f>IFERROR(INDEX(Catalogo!$C$6:$C$125,MATCH(4,Catalogo!$L$6:$L$125,0)),"")</f>
        <v/>
      </c>
      <c r="F5" t="str">
        <f>IFERROR(INDEX(Catalogo!$C$6:$C$125,MATCH(4,Catalogo!$M$6:$M$125,0)),"")</f>
        <v>Decodificador AV sobre IP AMX SVSI NMX-DEC-N3322D</v>
      </c>
      <c r="G5" t="s">
        <v>215</v>
      </c>
      <c r="H5" t="s">
        <v>417</v>
      </c>
    </row>
    <row r="6" spans="2:8" x14ac:dyDescent="0.45">
      <c r="B6" t="str">
        <f>IFERROR(INDEX(Catalogo!$C$6:$C$125,MATCH(5,Catalogo!$I$6:$I$125,0)),"")</f>
        <v>Patch panel alta densidad plano 48 puertos 1RU</v>
      </c>
      <c r="C6" t="str">
        <f>IFERROR(INDEX(Catalogo!$C$6:$C$125,MATCH(5,Catalogo!$J$6:$J$125,0)),"")</f>
        <v>Soporte de pared abatible 1RU</v>
      </c>
      <c r="D6" t="str">
        <f>IFERROR(INDEX(Catalogo!$C$6:$C$125,MATCH(5,Catalogo!$K$6:$K$125,0)),"")</f>
        <v>Org. vertical 6" frontal/posterior (PatchRunner 2)</v>
      </c>
      <c r="E6" t="str">
        <f>IFERROR(INDEX(Catalogo!$C$6:$C$125,MATCH(5,Catalogo!$L$6:$L$125,0)),"")</f>
        <v/>
      </c>
      <c r="F6" t="str">
        <f>IFERROR(INDEX(Catalogo!$C$6:$C$125,MATCH(5,Catalogo!$M$6:$M$125,0)),"")</f>
        <v>Micrófono remoto TOA RM-200M</v>
      </c>
      <c r="G6" t="s">
        <v>19</v>
      </c>
    </row>
    <row r="7" spans="2:8" x14ac:dyDescent="0.45">
      <c r="B7" t="str">
        <f>IFERROR(INDEX(Catalogo!$C$6:$C$125,MATCH(6,Catalogo!$I$6:$I$125,0)),"")</f>
        <v>Patch panel alta densidad angulado 48 puertos 1RU</v>
      </c>
      <c r="C7" t="str">
        <f>IFERROR(INDEX(Catalogo!$C$6:$C$125,MATCH(6,Catalogo!$J$6:$J$125,0)),"")</f>
        <v>Soporte de pared abatible 2RU</v>
      </c>
      <c r="D7" t="str">
        <f>IFERROR(INDEX(Catalogo!$C$6:$C$125,MATCH(6,Catalogo!$K$6:$K$125,0)),"")</f>
        <v>Org. vertical 8" frontal/posterior (PatchRunner 2)</v>
      </c>
      <c r="E7" t="str">
        <f>IFERROR(INDEX(Catalogo!$C$6:$C$125,MATCH(6,Catalogo!$L$6:$L$125,0)),"")</f>
        <v/>
      </c>
      <c r="F7" t="str">
        <f>IFERROR(INDEX(Catalogo!$C$6:$C$125,MATCH(6,Catalogo!$M$6:$M$125,0)),"")</f>
        <v>Parlante Bose FreeSpace DS 100SE (superficie)</v>
      </c>
      <c r="G7" t="s">
        <v>27</v>
      </c>
    </row>
    <row r="8" spans="2:8" x14ac:dyDescent="0.45">
      <c r="B8" t="str">
        <f>IFERROR(INDEX(Catalogo!$C$6:$C$125,MATCH(7,Catalogo!$I$6:$I$125,0)),"")</f>
        <v>Org. horizontal 1RU frontal</v>
      </c>
      <c r="C8" t="str">
        <f>IFERROR(INDEX(Catalogo!$C$6:$C$125,MATCH(7,Catalogo!$J$6:$J$125,0)),"")</f>
        <v>Soporte de pared abatible 3RU</v>
      </c>
      <c r="D8" t="str">
        <f>IFERROR(INDEX(Catalogo!$C$6:$C$125,MATCH(7,Catalogo!$K$6:$K$125,0)),"")</f>
        <v>Org. vertical 10" frontal/posterior (PatchRunner 2)</v>
      </c>
      <c r="E8" t="str">
        <f>IFERROR(INDEX(Catalogo!$C$6:$C$125,MATCH(7,Catalogo!$L$6:$L$125,0)),"")</f>
        <v/>
      </c>
      <c r="F8" t="str">
        <f>IFERROR(INDEX(Catalogo!$C$6:$C$125,MATCH(7,Catalogo!$M$6:$M$125,0)),"")</f>
        <v>Parlante Bose FreeSpace DS 100F (empotrado)</v>
      </c>
      <c r="G8" t="s">
        <v>233</v>
      </c>
    </row>
    <row r="9" spans="2:8" x14ac:dyDescent="0.45">
      <c r="B9" t="str">
        <f>IFERROR(INDEX(Catalogo!$C$6:$C$125,MATCH(8,Catalogo!$I$6:$I$125,0)),"")</f>
        <v>Org. horizontal 1RU frontal/posterior</v>
      </c>
      <c r="C9" t="str">
        <f>IFERROR(INDEX(Catalogo!$C$6:$C$125,MATCH(8,Catalogo!$J$6:$J$125,0)),"")</f>
        <v>Soporte de pared abatible 4RU</v>
      </c>
      <c r="D9" t="str">
        <f>IFERROR(INDEX(Catalogo!$C$6:$C$125,MATCH(8,Catalogo!$K$6:$K$125,0)),"")</f>
        <v>Org. vertical 12" frontal/posterior (PatchRunner 2)</v>
      </c>
      <c r="E9" t="str">
        <f>IFERROR(INDEX(Catalogo!$C$6:$C$125,MATCH(8,Catalogo!$L$6:$L$125,0)),"")</f>
        <v/>
      </c>
      <c r="F9" t="str">
        <f>IFERROR(INDEX(Catalogo!$C$6:$C$125,MATCH(8,Catalogo!$M$6:$M$125,0)),"")</f>
        <v>Parlante Bose FreeSpace DS 16F (empotrado)</v>
      </c>
      <c r="G9" t="s">
        <v>51</v>
      </c>
    </row>
    <row r="10" spans="2:8" x14ac:dyDescent="0.45">
      <c r="B10" t="str">
        <f>IFERROR(INDEX(Catalogo!$C$6:$C$125,MATCH(9,Catalogo!$I$6:$I$125,0)),"")</f>
        <v>Org. horizontal 2RU frontal</v>
      </c>
      <c r="C10" t="str">
        <f>IFERROR(INDEX(Catalogo!$C$6:$C$125,MATCH(9,Catalogo!$J$6:$J$125,0)),"")</f>
        <v>Soporte de pared abatible 4RU profundo</v>
      </c>
      <c r="D10" t="str">
        <f>IFERROR(INDEX(Catalogo!$C$6:$C$125,MATCH(9,Catalogo!$K$6:$K$125,0)),"")</f>
        <v>Org. vertical 4.9" frontal/posterior (NetRunner)</v>
      </c>
      <c r="E10" t="str">
        <f>IFERROR(INDEX(Catalogo!$C$6:$C$125,MATCH(9,Catalogo!$L$6:$L$125,0)),"")</f>
        <v/>
      </c>
      <c r="F10" t="str">
        <f>IFERROR(INDEX(Catalogo!$C$6:$C$125,MATCH(9,Catalogo!$M$6:$M$125,0)),"")</f>
        <v>Parlante paisajismo Bose FreeSpace 360P Series II</v>
      </c>
      <c r="G10" t="s">
        <v>280</v>
      </c>
    </row>
    <row r="11" spans="2:8" x14ac:dyDescent="0.45">
      <c r="B11" t="str">
        <f>IFERROR(INDEX(Catalogo!$C$6:$C$125,MATCH(10,Catalogo!$I$6:$I$125,0)),"")</f>
        <v>Org. horizontal 2RU frontal/posterior</v>
      </c>
      <c r="C11" t="str">
        <f>IFERROR(INDEX(Catalogo!$C$6:$C$125,MATCH(10,Catalogo!$J$6:$J$125,0)),"")</f>
        <v>Soporte de pared abatible 6RU profundo</v>
      </c>
      <c r="D11" t="str">
        <f>IFERROR(INDEX(Catalogo!$C$6:$C$125,MATCH(10,Catalogo!$K$6:$K$125,0)),"")</f>
        <v>Org. vertical 6.7" frontal/posterior (NetRunner)</v>
      </c>
      <c r="E11" t="str">
        <f>IFERROR(INDEX(Catalogo!$C$6:$C$125,MATCH(10,Catalogo!$L$6:$L$125,0)),"")</f>
        <v/>
      </c>
      <c r="F11" t="str">
        <f>IFERROR(INDEX(Catalogo!$C$6:$C$125,MATCH(10,Catalogo!$M$6:$M$125,0)),"")</f>
        <v/>
      </c>
      <c r="G11" t="s">
        <v>79</v>
      </c>
    </row>
    <row r="12" spans="2:8" x14ac:dyDescent="0.45">
      <c r="B12" t="str">
        <f>IFERROR(INDEX(Catalogo!$C$6:$C$125,MATCH(11,Catalogo!$I$6:$I$125,0)),"")</f>
        <v>Org. horizontal 1RU frontal (NetRunner)</v>
      </c>
      <c r="C12" t="str">
        <f>IFERROR(INDEX(Catalogo!$C$6:$C$125,MATCH(11,Catalogo!$J$6:$J$125,0)),"")</f>
        <v>Gabinete de pared PanZone 9RU, 25" prof., puerta con ventana</v>
      </c>
      <c r="D12" t="str">
        <f>IFERROR(INDEX(Catalogo!$C$6:$C$125,MATCH(11,Catalogo!$K$6:$K$125,0)),"")</f>
        <v/>
      </c>
      <c r="E12" t="str">
        <f>IFERROR(INDEX(Catalogo!$C$6:$C$125,MATCH(11,Catalogo!$L$6:$L$125,0)),"")</f>
        <v/>
      </c>
      <c r="F12" t="str">
        <f>IFERROR(INDEX(Catalogo!$C$6:$C$125,MATCH(11,Catalogo!$M$6:$M$125,0)),"")</f>
        <v/>
      </c>
      <c r="G12" t="s">
        <v>103</v>
      </c>
    </row>
    <row r="13" spans="2:8" x14ac:dyDescent="0.45">
      <c r="B13" t="str">
        <f>IFERROR(INDEX(Catalogo!$C$6:$C$125,MATCH(12,Catalogo!$I$6:$I$125,0)),"")</f>
        <v>Org. horizontal 2RU frontal (NetRunner)</v>
      </c>
      <c r="C13" t="str">
        <f>IFERROR(INDEX(Catalogo!$C$6:$C$125,MATCH(12,Catalogo!$J$6:$J$125,0)),"")</f>
        <v>Gabinete de pared PanZone 12RU, 25" prof., puerta con ventana</v>
      </c>
      <c r="D13" t="str">
        <f>IFERROR(INDEX(Catalogo!$C$6:$C$125,MATCH(12,Catalogo!$K$6:$K$125,0)),"")</f>
        <v/>
      </c>
      <c r="E13" t="str">
        <f>IFERROR(INDEX(Catalogo!$C$6:$C$125,MATCH(12,Catalogo!$L$6:$L$125,0)),"")</f>
        <v/>
      </c>
      <c r="F13" t="str">
        <f>IFERROR(INDEX(Catalogo!$C$6:$C$125,MATCH(12,Catalogo!$M$6:$M$125,0)),"")</f>
        <v/>
      </c>
      <c r="G13" t="s">
        <v>120</v>
      </c>
    </row>
    <row r="14" spans="2:8" x14ac:dyDescent="0.45">
      <c r="B14" t="str">
        <f>IFERROR(INDEX(Catalogo!$C$6:$C$125,MATCH(13,Catalogo!$I$6:$I$125,0)),"")</f>
        <v>Org. horizontal 1RU frontal/posterior (NetRunner)</v>
      </c>
      <c r="C14" t="str">
        <f>IFERROR(INDEX(Catalogo!$C$6:$C$125,MATCH(13,Catalogo!$J$6:$J$125,0)),"")</f>
        <v>Gabinete de pared PanZone 12RU, 25" prof., puerta perforada</v>
      </c>
      <c r="D14" t="str">
        <f>IFERROR(INDEX(Catalogo!$C$6:$C$125,MATCH(13,Catalogo!$K$6:$K$125,0)),"")</f>
        <v/>
      </c>
      <c r="E14" t="str">
        <f>IFERROR(INDEX(Catalogo!$C$6:$C$125,MATCH(13,Catalogo!$L$6:$L$125,0)),"")</f>
        <v/>
      </c>
      <c r="F14" t="str">
        <f>IFERROR(INDEX(Catalogo!$C$6:$C$125,MATCH(13,Catalogo!$M$6:$M$125,0)),"")</f>
        <v/>
      </c>
      <c r="G14" t="s">
        <v>147</v>
      </c>
    </row>
    <row r="15" spans="2:8" x14ac:dyDescent="0.45">
      <c r="B15" t="str">
        <f>IFERROR(INDEX(Catalogo!$C$6:$C$125,MATCH(14,Catalogo!$I$6:$I$125,0)),"")</f>
        <v>Org. horizontal 2RU frontal/posterior (NetRunner)</v>
      </c>
      <c r="C15" t="str">
        <f>IFERROR(INDEX(Catalogo!$C$6:$C$125,MATCH(14,Catalogo!$J$6:$J$125,0)),"")</f>
        <v>Gabinete de pared PanZone 12RU, 30" prof., puerta con ventana</v>
      </c>
      <c r="D15" t="str">
        <f>IFERROR(INDEX(Catalogo!$C$6:$C$125,MATCH(14,Catalogo!$K$6:$K$125,0)),"")</f>
        <v/>
      </c>
      <c r="E15" t="str">
        <f>IFERROR(INDEX(Catalogo!$C$6:$C$125,MATCH(14,Catalogo!$L$6:$L$125,0)),"")</f>
        <v/>
      </c>
      <c r="F15" t="str">
        <f>IFERROR(INDEX(Catalogo!$C$6:$C$125,MATCH(14,Catalogo!$M$6:$M$125,0)),"")</f>
        <v/>
      </c>
      <c r="G15" t="s">
        <v>139</v>
      </c>
    </row>
    <row r="16" spans="2:8" x14ac:dyDescent="0.45">
      <c r="B16" t="str">
        <f>IFERROR(INDEX(Catalogo!$C$6:$C$125,MATCH(15,Catalogo!$I$6:$I$125,0)),"")</f>
        <v>Bandeja de fibra 1RU (4 cassettes/FAP, 96 fibras)</v>
      </c>
      <c r="C16" t="str">
        <f>IFERROR(INDEX(Catalogo!$C$6:$C$125,MATCH(15,Catalogo!$J$6:$J$125,0)),"")</f>
        <v>Gabinete de pared PanZone 18RU, 25" prof., puerta con ventana</v>
      </c>
      <c r="D16" t="str">
        <f>IFERROR(INDEX(Catalogo!$C$6:$C$125,MATCH(15,Catalogo!$K$6:$K$125,0)),"")</f>
        <v/>
      </c>
      <c r="E16" t="str">
        <f>IFERROR(INDEX(Catalogo!$C$6:$C$125,MATCH(15,Catalogo!$L$6:$L$125,0)),"")</f>
        <v/>
      </c>
      <c r="F16" t="str">
        <f>IFERROR(INDEX(Catalogo!$C$6:$C$125,MATCH(15,Catalogo!$M$6:$M$125,0)),"")</f>
        <v/>
      </c>
      <c r="G16" t="s">
        <v>316</v>
      </c>
    </row>
    <row r="17" spans="2:7" x14ac:dyDescent="0.45">
      <c r="B17" t="str">
        <f>IFERROR(INDEX(Catalogo!$C$6:$C$125,MATCH(16,Catalogo!$I$6:$I$125,0)),"")</f>
        <v>Bandeja de fibra 2RU (8 cassettes/FAP, 192 fibras)</v>
      </c>
      <c r="C17" t="str">
        <f>IFERROR(INDEX(Catalogo!$C$6:$C$125,MATCH(16,Catalogo!$J$6:$J$125,0)),"")</f>
        <v>Gabinete de pared PanZone 18RU, 30" prof., puerta con ventana</v>
      </c>
      <c r="D17" t="str">
        <f>IFERROR(INDEX(Catalogo!$C$6:$C$125,MATCH(16,Catalogo!$K$6:$K$125,0)),"")</f>
        <v/>
      </c>
      <c r="E17" t="str">
        <f>IFERROR(INDEX(Catalogo!$C$6:$C$125,MATCH(16,Catalogo!$L$6:$L$125,0)),"")</f>
        <v/>
      </c>
      <c r="F17" t="str">
        <f>IFERROR(INDEX(Catalogo!$C$6:$C$125,MATCH(16,Catalogo!$M$6:$M$125,0)),"")</f>
        <v/>
      </c>
      <c r="G17" t="s">
        <v>322</v>
      </c>
    </row>
    <row r="18" spans="2:7" x14ac:dyDescent="0.45">
      <c r="B18" t="str">
        <f>IFERROR(INDEX(Catalogo!$C$6:$C$125,MATCH(17,Catalogo!$I$6:$I$125,0)),"")</f>
        <v>Bandeja de fibra 4RU (12 cassettes/FAP, 288 fibras)</v>
      </c>
      <c r="C18" t="str">
        <f>IFERROR(INDEX(Catalogo!$C$6:$C$125,MATCH(17,Catalogo!$J$6:$J$125,0)),"")</f>
        <v>Gabinete de pared PanZone 26RU, 25" prof., puerta con ventana</v>
      </c>
      <c r="D18" t="str">
        <f>IFERROR(INDEX(Catalogo!$C$6:$C$125,MATCH(17,Catalogo!$K$6:$K$125,0)),"")</f>
        <v/>
      </c>
      <c r="E18" t="str">
        <f>IFERROR(INDEX(Catalogo!$C$6:$C$125,MATCH(17,Catalogo!$L$6:$L$125,0)),"")</f>
        <v/>
      </c>
      <c r="F18" t="str">
        <f>IFERROR(INDEX(Catalogo!$C$6:$C$125,MATCH(17,Catalogo!$M$6:$M$125,0)),"")</f>
        <v/>
      </c>
      <c r="G18" t="s">
        <v>349</v>
      </c>
    </row>
    <row r="19" spans="2:7" x14ac:dyDescent="0.45">
      <c r="B19" t="str">
        <f>IFERROR(INDEX(Catalogo!$C$6:$C$125,MATCH(18,Catalogo!$I$6:$I$125,0)),"")</f>
        <v>Switch Cisco 24p 1G (C9200L-24T-4G)</v>
      </c>
      <c r="C19" t="str">
        <f>IFERROR(INDEX(Catalogo!$C$6:$C$125,MATCH(18,Catalogo!$J$6:$J$125,0)),"")</f>
        <v>Gabinete de pared PanZone 26RU, 30" prof., puerta con ventana</v>
      </c>
      <c r="D19" t="str">
        <f>IFERROR(INDEX(Catalogo!$C$6:$C$125,MATCH(18,Catalogo!$K$6:$K$125,0)),"")</f>
        <v/>
      </c>
      <c r="E19" t="str">
        <f>IFERROR(INDEX(Catalogo!$C$6:$C$125,MATCH(18,Catalogo!$L$6:$L$125,0)),"")</f>
        <v/>
      </c>
      <c r="F19" t="str">
        <f>IFERROR(INDEX(Catalogo!$C$6:$C$125,MATCH(18,Catalogo!$M$6:$M$125,0)),"")</f>
        <v/>
      </c>
      <c r="G19" t="s">
        <v>352</v>
      </c>
    </row>
    <row r="20" spans="2:7" x14ac:dyDescent="0.45">
      <c r="B20" t="str">
        <f>IFERROR(INDEX(Catalogo!$C$6:$C$125,MATCH(19,Catalogo!$I$6:$I$125,0)),"")</f>
        <v>Switch Cisco 24p 1G PoE+ (C9200L-24P-4G)</v>
      </c>
      <c r="C20" t="str">
        <f>IFERROR(INDEX(Catalogo!$C$6:$C$125,MATCH(19,Catalogo!$J$6:$J$125,0)),"")</f>
        <v>Gabinete FlexFusion 600 mm × 42RU × 1070 mm negro</v>
      </c>
      <c r="D20" t="str">
        <f>IFERROR(INDEX(Catalogo!$C$6:$C$125,MATCH(19,Catalogo!$K$6:$K$125,0)),"")</f>
        <v/>
      </c>
      <c r="E20" t="str">
        <f>IFERROR(INDEX(Catalogo!$C$6:$C$125,MATCH(19,Catalogo!$L$6:$L$125,0)),"")</f>
        <v/>
      </c>
      <c r="F20" t="str">
        <f>IFERROR(INDEX(Catalogo!$C$6:$C$125,MATCH(19,Catalogo!$M$6:$M$125,0)),"")</f>
        <v/>
      </c>
      <c r="G20" t="s">
        <v>339</v>
      </c>
    </row>
    <row r="21" spans="2:7" x14ac:dyDescent="0.45">
      <c r="B21" t="str">
        <f>IFERROR(INDEX(Catalogo!$C$6:$C$125,MATCH(20,Catalogo!$I$6:$I$125,0)),"")</f>
        <v>Switch Cisco 48p 1G (C9200L-48T-4G)</v>
      </c>
      <c r="C21" t="str">
        <f>IFERROR(INDEX(Catalogo!$C$6:$C$125,MATCH(20,Catalogo!$J$6:$J$125,0)),"")</f>
        <v>Gabinete FlexFusion 600 mm × 42RU × 1200 mm negro</v>
      </c>
      <c r="D21" t="str">
        <f>IFERROR(INDEX(Catalogo!$C$6:$C$125,MATCH(20,Catalogo!$K$6:$K$125,0)),"")</f>
        <v/>
      </c>
      <c r="E21" t="str">
        <f>IFERROR(INDEX(Catalogo!$C$6:$C$125,MATCH(20,Catalogo!$L$6:$L$125,0)),"")</f>
        <v/>
      </c>
      <c r="F21" t="str">
        <f>IFERROR(INDEX(Catalogo!$C$6:$C$125,MATCH(20,Catalogo!$M$6:$M$125,0)),"")</f>
        <v/>
      </c>
      <c r="G21" t="s">
        <v>343</v>
      </c>
    </row>
    <row r="22" spans="2:7" x14ac:dyDescent="0.45">
      <c r="B22" t="str">
        <f>IFERROR(INDEX(Catalogo!$C$6:$C$125,MATCH(21,Catalogo!$I$6:$I$125,0)),"")</f>
        <v>Switch Cisco 48p 1G PoE+ (C9200L-48P-4G)</v>
      </c>
      <c r="C22" t="str">
        <f>IFERROR(INDEX(Catalogo!$C$6:$C$125,MATCH(21,Catalogo!$J$6:$J$125,0)),"")</f>
        <v>Gabinete FlexFusion 600 mm × 48RU × 1070 mm negro</v>
      </c>
      <c r="D22" t="str">
        <f>IFERROR(INDEX(Catalogo!$C$6:$C$125,MATCH(21,Catalogo!$K$6:$K$125,0)),"")</f>
        <v/>
      </c>
      <c r="F22" t="str">
        <f>IFERROR(INDEX(Catalogo!$C$6:$C$125,MATCH(21,Catalogo!$M$6:$M$125,0)),"")</f>
        <v/>
      </c>
      <c r="G22" t="s">
        <v>359</v>
      </c>
    </row>
    <row r="23" spans="2:7" x14ac:dyDescent="0.45">
      <c r="B23" t="str">
        <f>IFERROR(INDEX(Catalogo!$C$6:$C$125,MATCH(22,Catalogo!$I$6:$I$125,0)),"")</f>
        <v>Switch Cisco 24p PoE+ 10G uplink (C9200L-24P-4X)</v>
      </c>
      <c r="C23" t="str">
        <f>IFERROR(INDEX(Catalogo!$C$6:$C$125,MATCH(22,Catalogo!$J$6:$J$125,0)),"")</f>
        <v>Gabinete FlexFusion 800 mm × 42RU × 1070 mm negro</v>
      </c>
      <c r="D23" t="str">
        <f>IFERROR(INDEX(Catalogo!$C$6:$C$125,MATCH(22,Catalogo!$K$6:$K$125,0)),"")</f>
        <v/>
      </c>
      <c r="F23" t="str">
        <f>IFERROR(INDEX(Catalogo!$C$6:$C$125,MATCH(22,Catalogo!$M$6:$M$125,0)),"")</f>
        <v/>
      </c>
      <c r="G23" t="s">
        <v>326</v>
      </c>
    </row>
    <row r="24" spans="2:7" x14ac:dyDescent="0.45">
      <c r="B24" t="str">
        <f>IFERROR(INDEX(Catalogo!$C$6:$C$125,MATCH(23,Catalogo!$I$6:$I$125,0)),"")</f>
        <v>Switch Cisco 48p PoE+ 10G uplink (C9200L-48P-4X)</v>
      </c>
      <c r="C24" t="str">
        <f>IFERROR(INDEX(Catalogo!$C$6:$C$125,MATCH(23,Catalogo!$J$6:$J$125,0)),"")</f>
        <v>Gabinete FlexFusion 800 mm × 42RU × 1200 mm negro</v>
      </c>
      <c r="D24" t="str">
        <f>IFERROR(INDEX(Catalogo!$C$6:$C$125,MATCH(23,Catalogo!$K$6:$K$125,0)),"")</f>
        <v/>
      </c>
      <c r="F24" t="str">
        <f>IFERROR(INDEX(Catalogo!$C$6:$C$125,MATCH(23,Catalogo!$M$6:$M$125,0)),"")</f>
        <v/>
      </c>
      <c r="G24" t="s">
        <v>330</v>
      </c>
    </row>
    <row r="25" spans="2:7" x14ac:dyDescent="0.45">
      <c r="B25" t="str">
        <f>IFERROR(INDEX(Catalogo!$C$6:$C$125,MATCH(24,Catalogo!$I$6:$I$125,0)),"")</f>
        <v>Switch Cisco 48p PoE+ mGig (C9200L-48PXG-4X)</v>
      </c>
      <c r="C25" t="str">
        <f>IFERROR(INDEX(Catalogo!$C$6:$C$125,MATCH(24,Catalogo!$J$6:$J$125,0)),"")</f>
        <v>Gabinete FlexFusion 800 mm × 48RU × 1070 mm negro</v>
      </c>
      <c r="D25" t="str">
        <f>IFERROR(INDEX(Catalogo!$C$6:$C$125,MATCH(24,Catalogo!$K$6:$K$125,0)),"")</f>
        <v/>
      </c>
      <c r="F25" t="str">
        <f>IFERROR(INDEX(Catalogo!$C$6:$C$125,MATCH(24,Catalogo!$M$6:$M$125,0)),"")</f>
        <v/>
      </c>
      <c r="G25" t="s">
        <v>363</v>
      </c>
    </row>
    <row r="26" spans="2:7" x14ac:dyDescent="0.45">
      <c r="B26" t="str">
        <f>IFERROR(INDEX(Catalogo!$C$6:$C$125,MATCH(25,Catalogo!$I$6:$I$125,0)),"")</f>
        <v>Grabador AXIS S1224 Rack 1U (12 TB, 32 cámaras)</v>
      </c>
      <c r="C26" t="str">
        <f>IFERROR(INDEX(Catalogo!$C$6:$C$125,MATCH(25,Catalogo!$J$6:$J$125,0)),"")</f>
        <v/>
      </c>
      <c r="D26" t="str">
        <f>IFERROR(INDEX(Catalogo!$C$6:$C$125,MATCH(25,Catalogo!$K$6:$K$125,0)),"")</f>
        <v/>
      </c>
      <c r="F26" t="str">
        <f>IFERROR(INDEX(Catalogo!$C$6:$C$125,MATCH(25,Catalogo!$M$6:$M$125,0)),"")</f>
        <v/>
      </c>
      <c r="G26" t="s">
        <v>408</v>
      </c>
    </row>
    <row r="27" spans="2:7" x14ac:dyDescent="0.45">
      <c r="B27" t="str">
        <f>IFERROR(INDEX(Catalogo!$C$6:$C$125,MATCH(26,Catalogo!$I$6:$I$125,0)),"")</f>
        <v>Grabador AXIS S1232 Rack 1U (16 TB, 64 cámaras)</v>
      </c>
      <c r="C27" t="str">
        <f>IFERROR(INDEX(Catalogo!$C$6:$C$125,MATCH(26,Catalogo!$J$6:$J$125,0)),"")</f>
        <v/>
      </c>
      <c r="D27" t="str">
        <f>IFERROR(INDEX(Catalogo!$C$6:$C$125,MATCH(26,Catalogo!$K$6:$K$125,0)),"")</f>
        <v/>
      </c>
      <c r="F27" t="str">
        <f>IFERROR(INDEX(Catalogo!$C$6:$C$125,MATCH(26,Catalogo!$M$6:$M$125,0)),"")</f>
        <v/>
      </c>
    </row>
    <row r="28" spans="2:7" x14ac:dyDescent="0.45">
      <c r="B28" t="str">
        <f>IFERROR(INDEX(Catalogo!$C$6:$C$125,MATCH(27,Catalogo!$I$6:$I$125,0)),"")</f>
        <v>Grabador AXIS S1264 Rack 2U (24 TB, 96 cámaras)</v>
      </c>
      <c r="C28" t="str">
        <f>IFERROR(INDEX(Catalogo!$C$6:$C$125,MATCH(27,Catalogo!$J$6:$J$125,0)),"")</f>
        <v/>
      </c>
      <c r="D28" t="str">
        <f>IFERROR(INDEX(Catalogo!$C$6:$C$125,MATCH(27,Catalogo!$K$6:$K$125,0)),"")</f>
        <v/>
      </c>
      <c r="F28" t="str">
        <f>IFERROR(INDEX(Catalogo!$C$6:$C$125,MATCH(27,Catalogo!$M$6:$M$125,0)),"")</f>
        <v/>
      </c>
    </row>
    <row r="29" spans="2:7" x14ac:dyDescent="0.45">
      <c r="B29" t="str">
        <f>IFERROR(INDEX(Catalogo!$C$6:$C$125,MATCH(28,Catalogo!$I$6:$I$125,0)),"")</f>
        <v>Grabador AXIS S1296 Rack 2U (96 TB, 150 cámaras)</v>
      </c>
      <c r="C29" t="str">
        <f>IFERROR(INDEX(Catalogo!$C$6:$C$125,MATCH(28,Catalogo!$J$6:$J$125,0)),"")</f>
        <v/>
      </c>
      <c r="D29" t="str">
        <f>IFERROR(INDEX(Catalogo!$C$6:$C$125,MATCH(28,Catalogo!$K$6:$K$125,0)),"")</f>
        <v/>
      </c>
      <c r="F29" t="str">
        <f>IFERROR(INDEX(Catalogo!$C$6:$C$125,MATCH(28,Catalogo!$M$6:$M$125,0)),"")</f>
        <v/>
      </c>
    </row>
    <row r="30" spans="2:7" x14ac:dyDescent="0.45">
      <c r="B30" t="str">
        <f>IFERROR(INDEX(Catalogo!$C$6:$C$125,MATCH(29,Catalogo!$I$6:$I$125,0)),"")</f>
        <v>iSTAR Ultra GCM en gabinete rack 2U</v>
      </c>
      <c r="C30" t="str">
        <f>IFERROR(INDEX(Catalogo!$C$6:$C$125,MATCH(29,Catalogo!$J$6:$J$125,0)),"")</f>
        <v/>
      </c>
      <c r="D30" t="str">
        <f>IFERROR(INDEX(Catalogo!$C$6:$C$125,MATCH(29,Catalogo!$K$6:$K$125,0)),"")</f>
        <v/>
      </c>
      <c r="F30" t="str">
        <f>IFERROR(INDEX(Catalogo!$C$6:$C$125,MATCH(29,Catalogo!$M$6:$M$125,0)),"")</f>
        <v/>
      </c>
    </row>
    <row r="31" spans="2:7" x14ac:dyDescent="0.45">
      <c r="B31" t="str">
        <f>IFERROR(INDEX(Catalogo!$C$6:$C$125,MATCH(30,Catalogo!$I$6:$I$125,0)),"")</f>
        <v>iSTAR Ultra ACM 8 lectoras en gabinete rack 4U</v>
      </c>
      <c r="C31" t="str">
        <f>IFERROR(INDEX(Catalogo!$C$6:$C$125,MATCH(30,Catalogo!$J$6:$J$125,0)),"")</f>
        <v/>
      </c>
      <c r="D31" t="str">
        <f>IFERROR(INDEX(Catalogo!$C$6:$C$125,MATCH(30,Catalogo!$K$6:$K$125,0)),"")</f>
        <v/>
      </c>
      <c r="F31" t="str">
        <f>IFERROR(INDEX(Catalogo!$C$6:$C$125,MATCH(30,Catalogo!$M$6:$M$125,0)),"")</f>
        <v/>
      </c>
    </row>
    <row r="32" spans="2:7" x14ac:dyDescent="0.45">
      <c r="B32" t="str">
        <f>IFERROR(INDEX(Catalogo!$C$6:$C$125,MATCH(31,Catalogo!$I$6:$I$125,0)),"")</f>
        <v>Fuente control de acceso rack 2U, 8 salidas, 12 V 4 A / 24 V 3 A</v>
      </c>
      <c r="C32" t="str">
        <f>IFERROR(INDEX(Catalogo!$C$6:$C$125,MATCH(31,Catalogo!$J$6:$J$125,0)),"")</f>
        <v/>
      </c>
      <c r="D32" t="str">
        <f>IFERROR(INDEX(Catalogo!$C$6:$C$125,MATCH(31,Catalogo!$K$6:$K$125,0)),"")</f>
        <v/>
      </c>
      <c r="F32" t="str">
        <f>IFERROR(INDEX(Catalogo!$C$6:$C$125,MATCH(31,Catalogo!$M$6:$M$125,0)),"")</f>
        <v/>
      </c>
    </row>
    <row r="33" spans="2:6" x14ac:dyDescent="0.45">
      <c r="B33" t="str">
        <f>IFERROR(INDEX(Catalogo!$C$6:$C$125,MATCH(32,Catalogo!$I$6:$I$125,0)),"")</f>
        <v>Fuente control de acceso rack 2U, 16 salidas, 12 V 4 A / 24 V 3 A</v>
      </c>
      <c r="C33" t="str">
        <f>IFERROR(INDEX(Catalogo!$C$6:$C$125,MATCH(32,Catalogo!$J$6:$J$125,0)),"")</f>
        <v/>
      </c>
      <c r="D33" t="str">
        <f>IFERROR(INDEX(Catalogo!$C$6:$C$125,MATCH(32,Catalogo!$K$6:$K$125,0)),"")</f>
        <v/>
      </c>
      <c r="F33" t="str">
        <f>IFERROR(INDEX(Catalogo!$C$6:$C$125,MATCH(32,Catalogo!$M$6:$M$125,0)),"")</f>
        <v/>
      </c>
    </row>
    <row r="34" spans="2:6" x14ac:dyDescent="0.45">
      <c r="B34" t="str">
        <f>IFERROR(INDEX(Catalogo!$C$6:$C$125,MATCH(33,Catalogo!$I$6:$I$125,0)),"")</f>
        <v>Fuente control de acceso rack 2U, 8 salidas, 12/24 V 6 A</v>
      </c>
      <c r="C34" t="str">
        <f>IFERROR(INDEX(Catalogo!$C$6:$C$125,MATCH(33,Catalogo!$J$6:$J$125,0)),"")</f>
        <v/>
      </c>
      <c r="D34" t="str">
        <f>IFERROR(INDEX(Catalogo!$C$6:$C$125,MATCH(33,Catalogo!$K$6:$K$125,0)),"")</f>
        <v/>
      </c>
      <c r="F34" t="str">
        <f>IFERROR(INDEX(Catalogo!$C$6:$C$125,MATCH(33,Catalogo!$M$6:$M$125,0)),"")</f>
        <v/>
      </c>
    </row>
    <row r="35" spans="2:6" x14ac:dyDescent="0.45">
      <c r="B35" t="str">
        <f>IFERROR(INDEX(Catalogo!$C$6:$C$125,MATCH(34,Catalogo!$I$6:$I$125,0)),"")</f>
        <v>Fuente control de acceso rack 2U, 16 salidas, 12/24 V 6 A</v>
      </c>
      <c r="C35" t="str">
        <f>IFERROR(INDEX(Catalogo!$C$6:$C$125,MATCH(34,Catalogo!$J$6:$J$125,0)),"")</f>
        <v/>
      </c>
      <c r="D35" t="str">
        <f>IFERROR(INDEX(Catalogo!$C$6:$C$125,MATCH(34,Catalogo!$K$6:$K$125,0)),"")</f>
        <v/>
      </c>
      <c r="F35" t="str">
        <f>IFERROR(INDEX(Catalogo!$C$6:$C$125,MATCH(34,Catalogo!$M$6:$M$125,0)),"")</f>
        <v/>
      </c>
    </row>
    <row r="36" spans="2:6" x14ac:dyDescent="0.45">
      <c r="B36" t="str">
        <f>IFERROR(INDEX(Catalogo!$C$6:$C$125,MATCH(35,Catalogo!$I$6:$I$125,0)),"")</f>
        <v>Fuente control de acceso rack 2U, 16 salidas, doble fuente 12/24 V 6 A</v>
      </c>
      <c r="C36" t="str">
        <f>IFERROR(INDEX(Catalogo!$C$6:$C$125,MATCH(35,Catalogo!$J$6:$J$125,0)),"")</f>
        <v/>
      </c>
      <c r="D36" t="str">
        <f>IFERROR(INDEX(Catalogo!$C$6:$C$125,MATCH(35,Catalogo!$K$6:$K$125,0)),"")</f>
        <v/>
      </c>
      <c r="F36" t="str">
        <f>IFERROR(INDEX(Catalogo!$C$6:$C$125,MATCH(35,Catalogo!$M$6:$M$125,0)),"")</f>
        <v/>
      </c>
    </row>
    <row r="37" spans="2:6" x14ac:dyDescent="0.45">
      <c r="B37" t="str">
        <f>IFERROR(INDEX(Catalogo!$C$6:$C$125,MATCH(36,Catalogo!$I$6:$I$125,0)),"")</f>
        <v>Amplificador Crown CDi DriveCore 2|300 (2 × 300 W)</v>
      </c>
      <c r="C37" t="str">
        <f>IFERROR(INDEX(Catalogo!$C$6:$C$125,MATCH(36,Catalogo!$J$6:$J$125,0)),"")</f>
        <v/>
      </c>
      <c r="D37" t="str">
        <f>IFERROR(INDEX(Catalogo!$C$6:$C$125,MATCH(36,Catalogo!$K$6:$K$125,0)),"")</f>
        <v/>
      </c>
      <c r="F37" t="str">
        <f>IFERROR(INDEX(Catalogo!$C$6:$C$125,MATCH(36,Catalogo!$M$6:$M$125,0)),"")</f>
        <v/>
      </c>
    </row>
    <row r="38" spans="2:6" x14ac:dyDescent="0.45">
      <c r="B38" t="str">
        <f>IFERROR(INDEX(Catalogo!$C$6:$C$125,MATCH(37,Catalogo!$I$6:$I$125,0)),"")</f>
        <v>Amplificador Crown CDi DriveCore 4|300 (4 × 300 W)</v>
      </c>
      <c r="C38" t="str">
        <f>IFERROR(INDEX(Catalogo!$C$6:$C$125,MATCH(37,Catalogo!$J$6:$J$125,0)),"")</f>
        <v/>
      </c>
      <c r="D38" t="str">
        <f>IFERROR(INDEX(Catalogo!$C$6:$C$125,MATCH(37,Catalogo!$K$6:$K$125,0)),"")</f>
        <v/>
      </c>
      <c r="F38" t="str">
        <f>IFERROR(INDEX(Catalogo!$C$6:$C$125,MATCH(37,Catalogo!$M$6:$M$125,0)),"")</f>
        <v/>
      </c>
    </row>
    <row r="39" spans="2:6" x14ac:dyDescent="0.45">
      <c r="B39" t="str">
        <f>IFERROR(INDEX(Catalogo!$C$6:$C$125,MATCH(38,Catalogo!$I$6:$I$125,0)),"")</f>
        <v>Amplificador Crown CDi DriveCore 2|600 (2 × 600 W)</v>
      </c>
      <c r="C39" t="str">
        <f>IFERROR(INDEX(Catalogo!$C$6:$C$125,MATCH(38,Catalogo!$J$6:$J$125,0)),"")</f>
        <v/>
      </c>
      <c r="D39" t="str">
        <f>IFERROR(INDEX(Catalogo!$C$6:$C$125,MATCH(38,Catalogo!$K$6:$K$125,0)),"")</f>
        <v/>
      </c>
      <c r="F39" t="str">
        <f>IFERROR(INDEX(Catalogo!$C$6:$C$125,MATCH(38,Catalogo!$M$6:$M$125,0)),"")</f>
        <v/>
      </c>
    </row>
    <row r="40" spans="2:6" x14ac:dyDescent="0.45">
      <c r="B40" t="str">
        <f>IFERROR(INDEX(Catalogo!$C$6:$C$125,MATCH(39,Catalogo!$I$6:$I$125,0)),"")</f>
        <v>Amplificador Crown CDi DriveCore 4|600 (4 × 600 W)</v>
      </c>
      <c r="C40" t="str">
        <f>IFERROR(INDEX(Catalogo!$C$6:$C$125,MATCH(39,Catalogo!$J$6:$J$125,0)),"")</f>
        <v/>
      </c>
      <c r="D40" t="str">
        <f>IFERROR(INDEX(Catalogo!$C$6:$C$125,MATCH(39,Catalogo!$K$6:$K$125,0)),"")</f>
        <v/>
      </c>
      <c r="F40" t="str">
        <f>IFERROR(INDEX(Catalogo!$C$6:$C$125,MATCH(39,Catalogo!$M$6:$M$125,0)),"")</f>
        <v/>
      </c>
    </row>
    <row r="41" spans="2:6" x14ac:dyDescent="0.45">
      <c r="B41" t="str">
        <f>IFERROR(INDEX(Catalogo!$C$6:$C$125,MATCH(40,Catalogo!$I$6:$I$125,0)),"")</f>
        <v>Amplificador Crown CDi DriveCore 2|1200 (2 × 1200 W)</v>
      </c>
      <c r="C41" t="str">
        <f>IFERROR(INDEX(Catalogo!$C$6:$C$125,MATCH(40,Catalogo!$J$6:$J$125,0)),"")</f>
        <v/>
      </c>
      <c r="D41" t="str">
        <f>IFERROR(INDEX(Catalogo!$C$6:$C$125,MATCH(40,Catalogo!$K$6:$K$125,0)),"")</f>
        <v/>
      </c>
      <c r="F41" t="str">
        <f>IFERROR(INDEX(Catalogo!$C$6:$C$125,MATCH(40,Catalogo!$M$6:$M$125,0)),"")</f>
        <v/>
      </c>
    </row>
    <row r="42" spans="2:6" x14ac:dyDescent="0.45">
      <c r="B42" t="str">
        <f>IFERROR(INDEX(Catalogo!$C$6:$C$125,MATCH(41,Catalogo!$I$6:$I$125,0)),"")</f>
        <v>Amplificador Crown CDi DriveCore 4|1200 (4 × 1200 W)</v>
      </c>
    </row>
    <row r="43" spans="2:6" x14ac:dyDescent="0.45">
      <c r="B43" t="str">
        <f>IFERROR(INDEX(Catalogo!$C$6:$C$125,MATCH(42,Catalogo!$I$6:$I$125,0)),"")</f>
        <v>Procesador BSS Soundweb London BLU-100 (12 in / 8 out)</v>
      </c>
    </row>
    <row r="44" spans="2:6" x14ac:dyDescent="0.45">
      <c r="B44" t="str">
        <f>IFERROR(INDEX(Catalogo!$C$6:$C$125,MATCH(43,Catalogo!$I$6:$I$125,0)),"")</f>
        <v>Interfaz BSS Soundweb London BLU-DA (Dante / AES67)</v>
      </c>
    </row>
    <row r="45" spans="2:6" x14ac:dyDescent="0.45">
      <c r="B45" t="str">
        <f>IFERROR(INDEX(Catalogo!$C$6:$C$125,MATCH(44,Catalogo!$I$6:$I$125,0)),"")</f>
        <v>Amplificador de evacuación TOA VM-2120 (120 W, 5 zonas)</v>
      </c>
    </row>
    <row r="46" spans="2:6" x14ac:dyDescent="0.45">
      <c r="B46" t="str">
        <f>IFERROR(INDEX(Catalogo!$C$6:$C$125,MATCH(45,Catalogo!$I$6:$I$125,0)),"")</f>
        <v>Amplificador de evacuación TOA VM-2240 (240 W, 5 zonas)</v>
      </c>
    </row>
    <row r="47" spans="2:6" x14ac:dyDescent="0.45">
      <c r="B47" t="str">
        <f>IFERROR(INDEX(Catalogo!$C$6:$C$125,MATCH(46,Catalogo!$I$6:$I$125,0)),"")</f>
        <v>PDU horizontal 1RU 8 tomas 120 V 15 A</v>
      </c>
    </row>
    <row r="48" spans="2:6" x14ac:dyDescent="0.45">
      <c r="B48" t="str">
        <f>IFERROR(INDEX(Catalogo!$C$6:$C$125,MATCH(47,Catalogo!$I$6:$I$125,0)),"")</f>
        <v>PDU horizontal 1RU 12 tomas 120 V 20 A</v>
      </c>
    </row>
    <row r="49" spans="2:2" x14ac:dyDescent="0.45">
      <c r="B49" t="str">
        <f>IFERROR(INDEX(Catalogo!$C$6:$C$125,MATCH(48,Catalogo!$I$6:$I$125,0)),"")</f>
        <v>UPS rack 2RU 1500 VA</v>
      </c>
    </row>
    <row r="50" spans="2:2" x14ac:dyDescent="0.45">
      <c r="B50" t="str">
        <f>IFERROR(INDEX(Catalogo!$C$6:$C$125,MATCH(49,Catalogo!$I$6:$I$125,0)),"")</f>
        <v>UPS rack 3RU 3000 VA</v>
      </c>
    </row>
    <row r="51" spans="2:2" x14ac:dyDescent="0.45">
      <c r="B51" t="str">
        <f>IFERROR(INDEX(Catalogo!$C$6:$C$125,MATCH(50,Catalogo!$I$6:$I$125,0)),"")</f>
        <v>Tapa ciega 1RU sin herramienta</v>
      </c>
    </row>
    <row r="52" spans="2:2" x14ac:dyDescent="0.45">
      <c r="B52" t="str">
        <f>IFERROR(INDEX(Catalogo!$C$6:$C$125,MATCH(51,Catalogo!$I$6:$I$125,0)),"")</f>
        <v>Bandeja fija 2RU</v>
      </c>
    </row>
    <row r="53" spans="2:2" x14ac:dyDescent="0.45">
      <c r="B53" t="str">
        <f>IFERROR(INDEX(Catalogo!$C$6:$C$125,MATCH(52,Catalogo!$I$6:$I$125,0)),"")</f>
        <v>Bandeja de fibra 1RU FMD1 + adaptador LC FAP12WAQDLCZ</v>
      </c>
    </row>
    <row r="54" spans="2:2" x14ac:dyDescent="0.45">
      <c r="B54" t="str">
        <f>IFERROR(INDEX(Catalogo!$C$6:$C$125,MATCH(53,Catalogo!$I$6:$I$125,0)),"")</f>
        <v>Org. horizontal 2RU frontal/posterior con radio de curvatura (NetRunner)</v>
      </c>
    </row>
    <row r="55" spans="2:2" x14ac:dyDescent="0.45">
      <c r="B55" t="str">
        <f>IFERROR(INDEX(Catalogo!$C$6:$C$125,MATCH(54,Catalogo!$I$6:$I$125,0)),"")</f>
        <v>Espacio libre 1RU</v>
      </c>
    </row>
    <row r="56" spans="2:2" x14ac:dyDescent="0.45">
      <c r="B56" t="str">
        <f>IFERROR(INDEX(Catalogo!$C$6:$C$125,MATCH(55,Catalogo!$I$6:$I$125,0)),"")</f>
        <v>Espacio para switch 24 puertos 1RU</v>
      </c>
    </row>
    <row r="57" spans="2:2" x14ac:dyDescent="0.45">
      <c r="B57" t="str">
        <f>IFERROR(INDEX(Catalogo!$C$6:$C$125,MATCH(56,Catalogo!$I$6:$I$125,0)),"")</f>
        <v>Espacio para switch 48 puertos 1RU</v>
      </c>
    </row>
    <row r="58" spans="2:2" x14ac:dyDescent="0.45">
      <c r="B58" t="str">
        <f>IFERROR(INDEX(Catalogo!$C$6:$C$125,MATCH(57,Catalogo!$I$6:$I$125,0)),"")</f>
        <v>Espacio para fibra del proveedor (ICE) 1RU</v>
      </c>
    </row>
    <row r="59" spans="2:2" x14ac:dyDescent="0.45">
      <c r="B59" t="str">
        <f>IFERROR(INDEX(Catalogo!$C$6:$C$125,MATCH(58,Catalogo!$I$6:$I$125,0)),"")</f>
        <v>Servidor 1RU (disco 2 TB)</v>
      </c>
    </row>
    <row r="60" spans="2:2" x14ac:dyDescent="0.45">
      <c r="B60" t="str">
        <f>IFERROR(INDEX(Catalogo!$C$6:$C$125,MATCH(59,Catalogo!$I$6:$I$125,0)),"")</f>
        <v>Servidor 8RU</v>
      </c>
    </row>
    <row r="61" spans="2:2" x14ac:dyDescent="0.45">
      <c r="B61" t="str">
        <f>IFERROR(INDEX(Catalogo!$C$6:$C$125,MATCH(60,Catalogo!$I$6:$I$125,0)),"")</f>
        <v>Lector de discos DVD 1RU</v>
      </c>
    </row>
    <row r="62" spans="2:2" x14ac:dyDescent="0.45">
      <c r="B62" t="str">
        <f>IFERROR(INDEX(Catalogo!$C$6:$C$125,MATCH(61,Catalogo!$I$6:$I$125,0)),"")</f>
        <v>Equipo activo 2RU</v>
      </c>
    </row>
    <row r="63" spans="2:2" x14ac:dyDescent="0.45">
      <c r="B63" t="str">
        <f>IFERROR(INDEX(Catalogo!$C$6:$C$125,MATCH(62,Catalogo!$I$6:$I$125,0)),"")</f>
        <v>UPS 3 kVA 2RU, 120 V, 6 salidas (APC SMT3000RM2U)</v>
      </c>
    </row>
    <row r="64" spans="2:2" x14ac:dyDescent="0.45">
      <c r="B64" t="str">
        <f>IFERROR(INDEX(Catalogo!$C$6:$C$125,MATCH(63,Catalogo!$I$6:$I$125,0)),"")</f>
        <v>Barra de tierra para rack 19"</v>
      </c>
    </row>
    <row r="65" spans="2:2" x14ac:dyDescent="0.45">
      <c r="B65" t="str">
        <f>IFERROR(INDEX(Catalogo!$C$6:$C$125,MATCH(64,Catalogo!$I$6:$I$125,0)),"")</f>
        <v/>
      </c>
    </row>
    <row r="66" spans="2:2" x14ac:dyDescent="0.45">
      <c r="B66" t="str">
        <f>IFERROR(INDEX(Catalogo!$C$6:$C$125,MATCH(65,Catalogo!$I$6:$I$125,0)),"")</f>
        <v/>
      </c>
    </row>
    <row r="67" spans="2:2" x14ac:dyDescent="0.45">
      <c r="B67" t="str">
        <f>IFERROR(INDEX(Catalogo!$C$6:$C$125,MATCH(66,Catalogo!$I$6:$I$125,0)),"")</f>
        <v/>
      </c>
    </row>
    <row r="68" spans="2:2" x14ac:dyDescent="0.45">
      <c r="B68" t="str">
        <f>IFERROR(INDEX(Catalogo!$C$6:$C$125,MATCH(67,Catalogo!$I$6:$I$125,0)),"")</f>
        <v/>
      </c>
    </row>
    <row r="69" spans="2:2" x14ac:dyDescent="0.45">
      <c r="B69" t="str">
        <f>IFERROR(INDEX(Catalogo!$C$6:$C$125,MATCH(68,Catalogo!$I$6:$I$125,0)),"")</f>
        <v/>
      </c>
    </row>
    <row r="70" spans="2:2" x14ac:dyDescent="0.45">
      <c r="B70" t="str">
        <f>IFERROR(INDEX(Catalogo!$C$6:$C$125,MATCH(69,Catalogo!$I$6:$I$125,0)),"")</f>
        <v/>
      </c>
    </row>
    <row r="71" spans="2:2" x14ac:dyDescent="0.45">
      <c r="B71" t="str">
        <f>IFERROR(INDEX(Catalogo!$C$6:$C$125,MATCH(70,Catalogo!$I$6:$I$125,0)),"")</f>
        <v/>
      </c>
    </row>
    <row r="72" spans="2:2" x14ac:dyDescent="0.45">
      <c r="B72" t="str">
        <f>IFERROR(INDEX(Catalogo!$C$6:$C$125,MATCH(71,Catalogo!$I$6:$I$125,0)),"")</f>
        <v/>
      </c>
    </row>
    <row r="73" spans="2:2" x14ac:dyDescent="0.45">
      <c r="B73" t="str">
        <f>IFERROR(INDEX(Catalogo!$C$6:$C$125,MATCH(72,Catalogo!$I$6:$I$125,0)),"")</f>
        <v/>
      </c>
    </row>
    <row r="74" spans="2:2" x14ac:dyDescent="0.45">
      <c r="B74" t="str">
        <f>IFERROR(INDEX(Catalogo!$C$6:$C$125,MATCH(73,Catalogo!$I$6:$I$125,0)),"")</f>
        <v/>
      </c>
    </row>
    <row r="75" spans="2:2" x14ac:dyDescent="0.45">
      <c r="B75" t="str">
        <f>IFERROR(INDEX(Catalogo!$C$6:$C$125,MATCH(74,Catalogo!$I$6:$I$125,0)),"")</f>
        <v/>
      </c>
    </row>
    <row r="76" spans="2:2" x14ac:dyDescent="0.45">
      <c r="B76" t="str">
        <f>IFERROR(INDEX(Catalogo!$C$6:$C$125,MATCH(75,Catalogo!$I$6:$I$125,0)),"")</f>
        <v/>
      </c>
    </row>
    <row r="77" spans="2:2" x14ac:dyDescent="0.45">
      <c r="B77" t="str">
        <f>IFERROR(INDEX(Catalogo!$C$6:$C$125,MATCH(76,Catalogo!$I$6:$I$125,0)),"")</f>
        <v/>
      </c>
    </row>
    <row r="78" spans="2:2" x14ac:dyDescent="0.45">
      <c r="B78" t="str">
        <f>IFERROR(INDEX(Catalogo!$C$6:$C$125,MATCH(77,Catalogo!$I$6:$I$125,0)),"")</f>
        <v/>
      </c>
    </row>
    <row r="79" spans="2:2" x14ac:dyDescent="0.45">
      <c r="B79" t="str">
        <f>IFERROR(INDEX(Catalogo!$C$6:$C$125,MATCH(78,Catalogo!$I$6:$I$125,0)),"")</f>
        <v/>
      </c>
    </row>
    <row r="80" spans="2:2" x14ac:dyDescent="0.45">
      <c r="B80" t="str">
        <f>IFERROR(INDEX(Catalogo!$C$6:$C$125,MATCH(79,Catalogo!$I$6:$I$125,0)),"")</f>
        <v/>
      </c>
    </row>
    <row r="81" spans="2:2" x14ac:dyDescent="0.45">
      <c r="B81" t="str">
        <f>IFERROR(INDEX(Catalogo!$C$6:$C$125,MATCH(80,Catalogo!$I$6:$I$125,0)),"")</f>
        <v/>
      </c>
    </row>
    <row r="82" spans="2:2" x14ac:dyDescent="0.45">
      <c r="B82" t="str">
        <f>IFERROR(INDEX(Catalogo!$C$6:$C$125,MATCH(81,Catalogo!$I$6:$I$125,0)),"")</f>
        <v/>
      </c>
    </row>
    <row r="83" spans="2:2" x14ac:dyDescent="0.45">
      <c r="B83" t="str">
        <f>IFERROR(INDEX(Catalogo!$C$6:$C$125,MATCH(82,Catalogo!$I$6:$I$125,0)),"")</f>
        <v/>
      </c>
    </row>
    <row r="84" spans="2:2" x14ac:dyDescent="0.45">
      <c r="B84" t="str">
        <f>IFERROR(INDEX(Catalogo!$C$6:$C$125,MATCH(83,Catalogo!$I$6:$I$125,0)),"")</f>
        <v/>
      </c>
    </row>
    <row r="85" spans="2:2" x14ac:dyDescent="0.45">
      <c r="B85" t="str">
        <f>IFERROR(INDEX(Catalogo!$C$6:$C$125,MATCH(84,Catalogo!$I$6:$I$125,0)),"")</f>
        <v/>
      </c>
    </row>
    <row r="86" spans="2:2" x14ac:dyDescent="0.45">
      <c r="B86" t="str">
        <f>IFERROR(INDEX(Catalogo!$C$6:$C$125,MATCH(85,Catalogo!$I$6:$I$125,0)),"")</f>
        <v/>
      </c>
    </row>
    <row r="87" spans="2:2" x14ac:dyDescent="0.45">
      <c r="B87" t="str">
        <f>IFERROR(INDEX(Catalogo!$C$6:$C$125,MATCH(86,Catalogo!$I$6:$I$125,0)),"")</f>
        <v/>
      </c>
    </row>
    <row r="88" spans="2:2" x14ac:dyDescent="0.45">
      <c r="B88" t="str">
        <f>IFERROR(INDEX(Catalogo!$C$6:$C$125,MATCH(87,Catalogo!$I$6:$I$125,0)),"")</f>
        <v/>
      </c>
    </row>
    <row r="89" spans="2:2" x14ac:dyDescent="0.45">
      <c r="B89" t="str">
        <f>IFERROR(INDEX(Catalogo!$C$6:$C$125,MATCH(88,Catalogo!$I$6:$I$125,0)),"")</f>
        <v/>
      </c>
    </row>
    <row r="90" spans="2:2" x14ac:dyDescent="0.45">
      <c r="B90" t="str">
        <f>IFERROR(INDEX(Catalogo!$C$6:$C$125,MATCH(89,Catalogo!$I$6:$I$125,0)),"")</f>
        <v/>
      </c>
    </row>
    <row r="91" spans="2:2" x14ac:dyDescent="0.45">
      <c r="B91" t="str">
        <f>IFERROR(INDEX(Catalogo!$C$6:$C$125,MATCH(90,Catalogo!$I$6:$I$125,0)),"")</f>
        <v/>
      </c>
    </row>
    <row r="92" spans="2:2" x14ac:dyDescent="0.45">
      <c r="B92" t="str">
        <f>IFERROR(INDEX(Catalogo!$C$6:$C$125,MATCH(91,Catalogo!$I$6:$I$125,0)),"")</f>
        <v/>
      </c>
    </row>
    <row r="93" spans="2:2" x14ac:dyDescent="0.45">
      <c r="B93" t="str">
        <f>IFERROR(INDEX(Catalogo!$C$6:$C$125,MATCH(92,Catalogo!$I$6:$I$125,0)),"")</f>
        <v/>
      </c>
    </row>
    <row r="94" spans="2:2" x14ac:dyDescent="0.45">
      <c r="B94" t="str">
        <f>IFERROR(INDEX(Catalogo!$C$6:$C$125,MATCH(93,Catalogo!$I$6:$I$125,0)),"")</f>
        <v/>
      </c>
    </row>
    <row r="95" spans="2:2" x14ac:dyDescent="0.45">
      <c r="B95" t="str">
        <f>IFERROR(INDEX(Catalogo!$C$6:$C$125,MATCH(94,Catalogo!$I$6:$I$125,0)),"")</f>
        <v/>
      </c>
    </row>
    <row r="96" spans="2:2" x14ac:dyDescent="0.45">
      <c r="B96" t="str">
        <f>IFERROR(INDEX(Catalogo!$C$6:$C$125,MATCH(95,Catalogo!$I$6:$I$125,0)),"")</f>
        <v/>
      </c>
    </row>
    <row r="97" spans="2:2" x14ac:dyDescent="0.45">
      <c r="B97" t="str">
        <f>IFERROR(INDEX(Catalogo!$C$6:$C$125,MATCH(96,Catalogo!$I$6:$I$125,0)),"")</f>
        <v/>
      </c>
    </row>
    <row r="98" spans="2:2" x14ac:dyDescent="0.45">
      <c r="B98" t="str">
        <f>IFERROR(INDEX(Catalogo!$C$6:$C$125,MATCH(97,Catalogo!$I$6:$I$125,0)),"")</f>
        <v/>
      </c>
    </row>
    <row r="99" spans="2:2" x14ac:dyDescent="0.45">
      <c r="B99" t="str">
        <f>IFERROR(INDEX(Catalogo!$C$6:$C$125,MATCH(98,Catalogo!$I$6:$I$125,0)),"")</f>
        <v/>
      </c>
    </row>
    <row r="100" spans="2:2" x14ac:dyDescent="0.45">
      <c r="B100" t="str">
        <f>IFERROR(INDEX(Catalogo!$C$6:$C$125,MATCH(99,Catalogo!$I$6:$I$125,0)),"")</f>
        <v/>
      </c>
    </row>
    <row r="101" spans="2:2" x14ac:dyDescent="0.45">
      <c r="B101" t="str">
        <f>IFERROR(INDEX(Catalogo!$C$6:$C$125,MATCH(100,Catalogo!$I$6:$I$125,0)),"")</f>
        <v/>
      </c>
    </row>
    <row r="102" spans="2:2" x14ac:dyDescent="0.45">
      <c r="B102" t="str">
        <f>IFERROR(INDEX(Catalogo!$C$6:$C$125,MATCH(101,Catalogo!$I$6:$I$125,0)),"")</f>
        <v/>
      </c>
    </row>
    <row r="103" spans="2:2" x14ac:dyDescent="0.45">
      <c r="B103" t="str">
        <f>IFERROR(INDEX(Catalogo!$C$6:$C$125,MATCH(102,Catalogo!$I$6:$I$125,0)),"")</f>
        <v/>
      </c>
    </row>
    <row r="104" spans="2:2" x14ac:dyDescent="0.45">
      <c r="B104" t="str">
        <f>IFERROR(INDEX(Catalogo!$C$6:$C$125,MATCH(103,Catalogo!$I$6:$I$125,0)),"")</f>
        <v/>
      </c>
    </row>
    <row r="105" spans="2:2" x14ac:dyDescent="0.45">
      <c r="B105" t="str">
        <f>IFERROR(INDEX(Catalogo!$C$6:$C$125,MATCH(104,Catalogo!$I$6:$I$125,0)),"")</f>
        <v/>
      </c>
    </row>
    <row r="106" spans="2:2" x14ac:dyDescent="0.45">
      <c r="B106" t="str">
        <f>IFERROR(INDEX(Catalogo!$C$6:$C$125,MATCH(105,Catalogo!$I$6:$I$125,0)),"")</f>
        <v/>
      </c>
    </row>
    <row r="107" spans="2:2" x14ac:dyDescent="0.45">
      <c r="B107" t="str">
        <f>IFERROR(INDEX(Catalogo!$C$6:$C$125,MATCH(106,Catalogo!$I$6:$I$125,0)),"")</f>
        <v/>
      </c>
    </row>
    <row r="108" spans="2:2" x14ac:dyDescent="0.45">
      <c r="B108" t="str">
        <f>IFERROR(INDEX(Catalogo!$C$6:$C$125,MATCH(107,Catalogo!$I$6:$I$125,0)),"")</f>
        <v/>
      </c>
    </row>
    <row r="109" spans="2:2" x14ac:dyDescent="0.45">
      <c r="B109" t="str">
        <f>IFERROR(INDEX(Catalogo!$C$6:$C$125,MATCH(108,Catalogo!$I$6:$I$125,0)),"")</f>
        <v/>
      </c>
    </row>
    <row r="110" spans="2:2" x14ac:dyDescent="0.45">
      <c r="B110" t="str">
        <f>IFERROR(INDEX(Catalogo!$C$6:$C$125,MATCH(109,Catalogo!$I$6:$I$125,0)),"")</f>
        <v/>
      </c>
    </row>
    <row r="111" spans="2:2" x14ac:dyDescent="0.45">
      <c r="B111" t="str">
        <f>IFERROR(INDEX(Catalogo!$C$6:$C$125,MATCH(110,Catalogo!$I$6:$I$125,0)),"")</f>
        <v/>
      </c>
    </row>
    <row r="112" spans="2:2" x14ac:dyDescent="0.45">
      <c r="B112" t="str">
        <f>IFERROR(INDEX(Catalogo!$C$6:$C$125,MATCH(111,Catalogo!$I$6:$I$125,0)),"")</f>
        <v/>
      </c>
    </row>
    <row r="113" spans="2:2" x14ac:dyDescent="0.45">
      <c r="B113" t="str">
        <f>IFERROR(INDEX(Catalogo!$C$6:$C$125,MATCH(112,Catalogo!$I$6:$I$125,0)),"")</f>
        <v/>
      </c>
    </row>
    <row r="114" spans="2:2" x14ac:dyDescent="0.45">
      <c r="B114" t="str">
        <f>IFERROR(INDEX(Catalogo!$C$6:$C$125,MATCH(113,Catalogo!$I$6:$I$125,0)),"")</f>
        <v/>
      </c>
    </row>
    <row r="115" spans="2:2" x14ac:dyDescent="0.45">
      <c r="B115" t="str">
        <f>IFERROR(INDEX(Catalogo!$C$6:$C$125,MATCH(114,Catalogo!$I$6:$I$125,0)),"")</f>
        <v/>
      </c>
    </row>
    <row r="116" spans="2:2" x14ac:dyDescent="0.45">
      <c r="B116" t="str">
        <f>IFERROR(INDEX(Catalogo!$C$6:$C$125,MATCH(115,Catalogo!$I$6:$I$125,0)),"")</f>
        <v/>
      </c>
    </row>
    <row r="117" spans="2:2" x14ac:dyDescent="0.45">
      <c r="B117" t="str">
        <f>IFERROR(INDEX(Catalogo!$C$6:$C$125,MATCH(116,Catalogo!$I$6:$I$125,0)),"")</f>
        <v/>
      </c>
    </row>
    <row r="118" spans="2:2" x14ac:dyDescent="0.45">
      <c r="B118" t="str">
        <f>IFERROR(INDEX(Catalogo!$C$6:$C$125,MATCH(117,Catalogo!$I$6:$I$125,0)),"")</f>
        <v/>
      </c>
    </row>
    <row r="119" spans="2:2" x14ac:dyDescent="0.45">
      <c r="B119" t="str">
        <f>IFERROR(INDEX(Catalogo!$C$6:$C$125,MATCH(118,Catalogo!$I$6:$I$125,0)),"")</f>
        <v/>
      </c>
    </row>
    <row r="120" spans="2:2" x14ac:dyDescent="0.45">
      <c r="B120" t="str">
        <f>IFERROR(INDEX(Catalogo!$C$6:$C$125,MATCH(119,Catalogo!$I$6:$I$125,0)),"")</f>
        <v/>
      </c>
    </row>
    <row r="121" spans="2:2" x14ac:dyDescent="0.45">
      <c r="B121" t="str">
        <f>IFERROR(INDEX(Catalogo!$C$6:$C$125,MATCH(120,Catalogo!$I$6:$I$125,0)),"")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4</vt:i4>
      </vt:variant>
    </vt:vector>
  </HeadingPairs>
  <TitlesOfParts>
    <vt:vector size="16" baseType="lpstr">
      <vt:lpstr>Proyecto</vt:lpstr>
      <vt:lpstr>Servicios y fibra</vt:lpstr>
      <vt:lpstr>Resumen</vt:lpstr>
      <vt:lpstr>Catalogo</vt:lpstr>
      <vt:lpstr>MUESTRA PISO</vt:lpstr>
      <vt:lpstr>MUESTRA GABINETE</vt:lpstr>
      <vt:lpstr>MUESTRA PARED</vt:lpstr>
      <vt:lpstr>INICIO_TR</vt:lpstr>
      <vt:lpstr>TR-01</vt:lpstr>
      <vt:lpstr>FIN_TR</vt:lpstr>
      <vt:lpstr>Revisiones</vt:lpstr>
      <vt:lpstr>listas</vt:lpstr>
      <vt:lpstr>'MUESTRA GABINETE'!Print_Area</vt:lpstr>
      <vt:lpstr>'MUESTRA PARED'!Print_Area</vt:lpstr>
      <vt:lpstr>'MUESTRA PISO'!Print_Area</vt:lpstr>
      <vt:lpstr>'TR-01'!Print_Area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Oscar Quiros</cp:lastModifiedBy>
  <dcterms:created xsi:type="dcterms:W3CDTF">2026-10-01T17:46:14Z</dcterms:created>
  <dcterms:modified xsi:type="dcterms:W3CDTF">2026-10-08T15:58:04Z</dcterms:modified>
</cp:coreProperties>
</file>